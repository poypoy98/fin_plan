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 yWindow="350" windowWidth="19010" windowHeight="5580"/>
  </bookViews>
  <sheets>
    <sheet name="Forecast" sheetId="10" r:id="rId1"/>
    <sheet name="Income" sheetId="2" r:id="rId2"/>
    <sheet name="Assets" sheetId="3" r:id="rId3"/>
    <sheet name="Liabilities" sheetId="4" r:id="rId4"/>
    <sheet name="Expenses" sheetId="7" r:id="rId5"/>
    <sheet name="Repayments" sheetId="8" r:id="rId6"/>
    <sheet name="Depreciation" sheetId="9" r:id="rId7"/>
    <sheet name="WizdomActuals" sheetId="11" r:id="rId8"/>
    <sheet name="ToDo" sheetId="12" r:id="rId9"/>
  </sheets>
  <definedNames>
    <definedName name="_Hlk503351175" localSheetId="7">WizdomActuals!$I$4</definedName>
    <definedName name="_Hlk517339798" localSheetId="4">Expenses!$B$2</definedName>
  </definedNames>
  <calcPr calcId="145621"/>
  <pivotCaches>
    <pivotCache cacheId="34" r:id="rId10"/>
    <pivotCache cacheId="38" r:id="rId11"/>
    <pivotCache cacheId="41" r:id="rId12"/>
  </pivotCaches>
</workbook>
</file>

<file path=xl/calcChain.xml><?xml version="1.0" encoding="utf-8"?>
<calcChain xmlns="http://schemas.openxmlformats.org/spreadsheetml/2006/main">
  <c r="AG7" i="10" l="1"/>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E7" i="10"/>
  <c r="F10" i="2" l="1"/>
  <c r="L10" i="2" s="1"/>
  <c r="I10" i="2"/>
  <c r="H10" i="2"/>
  <c r="F14" i="2"/>
  <c r="F13" i="2"/>
  <c r="F12" i="2"/>
  <c r="F11" i="2"/>
  <c r="F24" i="2"/>
  <c r="F23" i="2"/>
  <c r="AG19" i="10"/>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AU10" i="8"/>
  <c r="AU11" i="8"/>
  <c r="AU12" i="8"/>
  <c r="AU13" i="8"/>
  <c r="AU14" i="8"/>
  <c r="AU15" i="8"/>
  <c r="AU16" i="8"/>
  <c r="AU17" i="8"/>
  <c r="AU18" i="8"/>
  <c r="AU19" i="8"/>
  <c r="AU20" i="8"/>
  <c r="AU21" i="8"/>
  <c r="AU22" i="8"/>
  <c r="AU23" i="8"/>
  <c r="AU24" i="8"/>
  <c r="AU25" i="8"/>
  <c r="AU26" i="8"/>
  <c r="AU27" i="8"/>
  <c r="AU28" i="8"/>
  <c r="AU29" i="8"/>
  <c r="AU30" i="8"/>
  <c r="AU31" i="8"/>
  <c r="AU32" i="8"/>
  <c r="AU33" i="8"/>
  <c r="AU34" i="8"/>
  <c r="AU35" i="8"/>
  <c r="AU36" i="8"/>
  <c r="AU37" i="8"/>
  <c r="AU38" i="8"/>
  <c r="AU39" i="8"/>
  <c r="AU40" i="8"/>
  <c r="AU41" i="8"/>
  <c r="AU42" i="8"/>
  <c r="AU43" i="8"/>
  <c r="AU44" i="8"/>
  <c r="AU45" i="8"/>
  <c r="AU46" i="8"/>
  <c r="AU47" i="8"/>
  <c r="AU48" i="8"/>
  <c r="AU49" i="8"/>
  <c r="AU50" i="8"/>
  <c r="AU51" i="8"/>
  <c r="AU52" i="8"/>
  <c r="AU53" i="8"/>
  <c r="AU54" i="8"/>
  <c r="AU55" i="8"/>
  <c r="AU56" i="8"/>
  <c r="AU57" i="8"/>
  <c r="AU58" i="8"/>
  <c r="AU59" i="8"/>
  <c r="AU60" i="8"/>
  <c r="AU61" i="8"/>
  <c r="AU62" i="8"/>
  <c r="AU63" i="8"/>
  <c r="AU64" i="8"/>
  <c r="AU65" i="8"/>
  <c r="AU66" i="8"/>
  <c r="AU67" i="8"/>
  <c r="AU68" i="8"/>
  <c r="AU69" i="8"/>
  <c r="AU70" i="8"/>
  <c r="AU71" i="8"/>
  <c r="AU72" i="8"/>
  <c r="AU73" i="8"/>
  <c r="AU74" i="8"/>
  <c r="AU75" i="8"/>
  <c r="AU76" i="8"/>
  <c r="AU77" i="8"/>
  <c r="AU78" i="8"/>
  <c r="AU79" i="8"/>
  <c r="AU80" i="8"/>
  <c r="AU81" i="8"/>
  <c r="AU82" i="8"/>
  <c r="AU83" i="8"/>
  <c r="AU84" i="8"/>
  <c r="AU85" i="8"/>
  <c r="AU86" i="8"/>
  <c r="AU87" i="8"/>
  <c r="AU88" i="8"/>
  <c r="AU89" i="8"/>
  <c r="AU90" i="8"/>
  <c r="AU91" i="8"/>
  <c r="AU92" i="8"/>
  <c r="AU93" i="8"/>
  <c r="AU94" i="8"/>
  <c r="AU95" i="8"/>
  <c r="AU96" i="8"/>
  <c r="AU97" i="8"/>
  <c r="AU98" i="8"/>
  <c r="AU99" i="8"/>
  <c r="AU100" i="8"/>
  <c r="AU101" i="8"/>
  <c r="AU102" i="8"/>
  <c r="AU103" i="8"/>
  <c r="AU104" i="8"/>
  <c r="AU105" i="8"/>
  <c r="AU106" i="8"/>
  <c r="AU107" i="8"/>
  <c r="AU108" i="8"/>
  <c r="AU109" i="8"/>
  <c r="AU110" i="8"/>
  <c r="AU111" i="8"/>
  <c r="AU112" i="8"/>
  <c r="AU113" i="8"/>
  <c r="AU114" i="8"/>
  <c r="AU115" i="8"/>
  <c r="AU116" i="8"/>
  <c r="AU117" i="8"/>
  <c r="AU118" i="8"/>
  <c r="AU119" i="8"/>
  <c r="AU120" i="8"/>
  <c r="AU121" i="8"/>
  <c r="AU122" i="8"/>
  <c r="AU123" i="8"/>
  <c r="AU124" i="8"/>
  <c r="AU125" i="8"/>
  <c r="AU126" i="8"/>
  <c r="AU127" i="8"/>
  <c r="AU128" i="8"/>
  <c r="AU129" i="8"/>
  <c r="AU130" i="8"/>
  <c r="AU131" i="8"/>
  <c r="AU132" i="8"/>
  <c r="AU133" i="8"/>
  <c r="AU134" i="8"/>
  <c r="AU135" i="8"/>
  <c r="AU136" i="8"/>
  <c r="AU137" i="8"/>
  <c r="AU138" i="8"/>
  <c r="AU139" i="8"/>
  <c r="AU140" i="8"/>
  <c r="AU141" i="8"/>
  <c r="AU142" i="8"/>
  <c r="AU143" i="8"/>
  <c r="AU144" i="8"/>
  <c r="AU145" i="8"/>
  <c r="AU146" i="8"/>
  <c r="AU147" i="8"/>
  <c r="AU148" i="8"/>
  <c r="AU149" i="8"/>
  <c r="AU150" i="8"/>
  <c r="AU151" i="8"/>
  <c r="AU152" i="8"/>
  <c r="AU153" i="8"/>
  <c r="AU154" i="8"/>
  <c r="AU155" i="8"/>
  <c r="AU156" i="8"/>
  <c r="AU157" i="8"/>
  <c r="AU158" i="8"/>
  <c r="AU159" i="8"/>
  <c r="AU160" i="8"/>
  <c r="AU161" i="8"/>
  <c r="AU162" i="8"/>
  <c r="AU163" i="8"/>
  <c r="AU164" i="8"/>
  <c r="AU165" i="8"/>
  <c r="AU166" i="8"/>
  <c r="AU167" i="8"/>
  <c r="AU168" i="8"/>
  <c r="AU169" i="8"/>
  <c r="AU170" i="8"/>
  <c r="AU171" i="8"/>
  <c r="AU172" i="8"/>
  <c r="AU173" i="8"/>
  <c r="AU174" i="8"/>
  <c r="AU175" i="8"/>
  <c r="AU176" i="8"/>
  <c r="AU177" i="8"/>
  <c r="AU178" i="8"/>
  <c r="AU179" i="8"/>
  <c r="AU180" i="8"/>
  <c r="AU181" i="8"/>
  <c r="AU182" i="8"/>
  <c r="AU183" i="8"/>
  <c r="AU184" i="8"/>
  <c r="AU185" i="8"/>
  <c r="AU186" i="8"/>
  <c r="AU187" i="8"/>
  <c r="AU188" i="8"/>
  <c r="AU189" i="8"/>
  <c r="AU190" i="8"/>
  <c r="AU191" i="8"/>
  <c r="AU192" i="8"/>
  <c r="AU193" i="8"/>
  <c r="AU194" i="8"/>
  <c r="AU195" i="8"/>
  <c r="AU196" i="8"/>
  <c r="AU197" i="8"/>
  <c r="AU198" i="8"/>
  <c r="AU199" i="8"/>
  <c r="AU200" i="8"/>
  <c r="AU201" i="8"/>
  <c r="AU202" i="8"/>
  <c r="AU203" i="8"/>
  <c r="AU204" i="8"/>
  <c r="AU205" i="8"/>
  <c r="AU206" i="8"/>
  <c r="AU207" i="8"/>
  <c r="AU208" i="8"/>
  <c r="AU209" i="8"/>
  <c r="AU210" i="8"/>
  <c r="AU211" i="8"/>
  <c r="AU212" i="8"/>
  <c r="AU213" i="8"/>
  <c r="AU214" i="8"/>
  <c r="AU215" i="8"/>
  <c r="AU216" i="8"/>
  <c r="AU217" i="8"/>
  <c r="AU218" i="8"/>
  <c r="AU219" i="8"/>
  <c r="AU220" i="8"/>
  <c r="AU221" i="8"/>
  <c r="AU222" i="8"/>
  <c r="AU223" i="8"/>
  <c r="AU224" i="8"/>
  <c r="AU225" i="8"/>
  <c r="AU226" i="8"/>
  <c r="AU227" i="8"/>
  <c r="AU228" i="8"/>
  <c r="AU229" i="8"/>
  <c r="AU230" i="8"/>
  <c r="AU231" i="8"/>
  <c r="AU232" i="8"/>
  <c r="AU233" i="8"/>
  <c r="AU234" i="8"/>
  <c r="AU235" i="8"/>
  <c r="AU236" i="8"/>
  <c r="AU237" i="8"/>
  <c r="AU238" i="8"/>
  <c r="AU239" i="8"/>
  <c r="AU240" i="8"/>
  <c r="AU241" i="8"/>
  <c r="AU242" i="8"/>
  <c r="AU243" i="8"/>
  <c r="AU244" i="8"/>
  <c r="AU245" i="8"/>
  <c r="AU246" i="8"/>
  <c r="AU247" i="8"/>
  <c r="AU248" i="8"/>
  <c r="AU249" i="8"/>
  <c r="AU250" i="8"/>
  <c r="AU251" i="8"/>
  <c r="AU252" i="8"/>
  <c r="AU253" i="8"/>
  <c r="AU254" i="8"/>
  <c r="AU255" i="8"/>
  <c r="AU256" i="8"/>
  <c r="AU257" i="8"/>
  <c r="AU258" i="8"/>
  <c r="AU259" i="8"/>
  <c r="AU260" i="8"/>
  <c r="AU261" i="8"/>
  <c r="AU262" i="8"/>
  <c r="AU263" i="8"/>
  <c r="AU264" i="8"/>
  <c r="AU265" i="8"/>
  <c r="AU266" i="8"/>
  <c r="AU267" i="8"/>
  <c r="AU268" i="8"/>
  <c r="AU269" i="8"/>
  <c r="AU270" i="8"/>
  <c r="AU271" i="8"/>
  <c r="AU272" i="8"/>
  <c r="AU273" i="8"/>
  <c r="AU274" i="8"/>
  <c r="AU275" i="8"/>
  <c r="AU276" i="8"/>
  <c r="AU277" i="8"/>
  <c r="AU278" i="8"/>
  <c r="AU279" i="8"/>
  <c r="AU280" i="8"/>
  <c r="AU281" i="8"/>
  <c r="AU282" i="8"/>
  <c r="AU283" i="8"/>
  <c r="AU284" i="8"/>
  <c r="AU285" i="8"/>
  <c r="AU286" i="8"/>
  <c r="AU287" i="8"/>
  <c r="AU288" i="8"/>
  <c r="AU289" i="8"/>
  <c r="AU290" i="8"/>
  <c r="AU291" i="8"/>
  <c r="AU292" i="8"/>
  <c r="AU293" i="8"/>
  <c r="AU294" i="8"/>
  <c r="AU295" i="8"/>
  <c r="AU296" i="8"/>
  <c r="AU297" i="8"/>
  <c r="AU298" i="8"/>
  <c r="AU299" i="8"/>
  <c r="AU300" i="8"/>
  <c r="AU301" i="8"/>
  <c r="AU302" i="8"/>
  <c r="AU303" i="8"/>
  <c r="AU304" i="8"/>
  <c r="AU305" i="8"/>
  <c r="AU306" i="8"/>
  <c r="AU307" i="8"/>
  <c r="AU308" i="8"/>
  <c r="AU309" i="8"/>
  <c r="AU310" i="8"/>
  <c r="AU311" i="8"/>
  <c r="AU312" i="8"/>
  <c r="AU313" i="8"/>
  <c r="AU314" i="8"/>
  <c r="AU315" i="8"/>
  <c r="AU316" i="8"/>
  <c r="AU317" i="8"/>
  <c r="AU318" i="8"/>
  <c r="AU319" i="8"/>
  <c r="AU320" i="8"/>
  <c r="AU321" i="8"/>
  <c r="AU322" i="8"/>
  <c r="AU323" i="8"/>
  <c r="AU324" i="8"/>
  <c r="AU325" i="8"/>
  <c r="AU326" i="8"/>
  <c r="AU327" i="8"/>
  <c r="AU328" i="8"/>
  <c r="AU329" i="8"/>
  <c r="AU330" i="8"/>
  <c r="AU331" i="8"/>
  <c r="AU332" i="8"/>
  <c r="AU333" i="8"/>
  <c r="AU334" i="8"/>
  <c r="AU335" i="8"/>
  <c r="AU336" i="8"/>
  <c r="AU337" i="8"/>
  <c r="AU338" i="8"/>
  <c r="AU339" i="8"/>
  <c r="AU340" i="8"/>
  <c r="AU341" i="8"/>
  <c r="AU342" i="8"/>
  <c r="AU343" i="8"/>
  <c r="AU344" i="8"/>
  <c r="AU345" i="8"/>
  <c r="AU346" i="8"/>
  <c r="AU347" i="8"/>
  <c r="AU348" i="8"/>
  <c r="AU349" i="8"/>
  <c r="AU350" i="8"/>
  <c r="AU351" i="8"/>
  <c r="AU352" i="8"/>
  <c r="AU353" i="8"/>
  <c r="AU354" i="8"/>
  <c r="AU355" i="8"/>
  <c r="AU356" i="8"/>
  <c r="AU357" i="8"/>
  <c r="AU358" i="8"/>
  <c r="AU359" i="8"/>
  <c r="AU360" i="8"/>
  <c r="AU361" i="8"/>
  <c r="AU362" i="8"/>
  <c r="AU363" i="8"/>
  <c r="AU364" i="8"/>
  <c r="AU365" i="8"/>
  <c r="AU366" i="8"/>
  <c r="AU367" i="8"/>
  <c r="AU9" i="8"/>
  <c r="J10" i="2" l="1"/>
  <c r="K10" i="2"/>
  <c r="AG18"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AG17"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H25" i="2" l="1"/>
  <c r="H18" i="2"/>
  <c r="H17" i="2"/>
  <c r="H16" i="2"/>
  <c r="H15" i="2"/>
  <c r="D33" i="10" l="1"/>
  <c r="D17" i="10" l="1"/>
  <c r="H14" i="2" l="1"/>
  <c r="I14" i="2" s="1"/>
  <c r="J14" i="2" s="1"/>
  <c r="K14" i="2" s="1"/>
  <c r="L14" i="2" s="1"/>
  <c r="M14" i="2" s="1"/>
  <c r="N14" i="2" s="1"/>
  <c r="O14" i="2" s="1"/>
  <c r="P14" i="2" s="1"/>
  <c r="Q14" i="2" s="1"/>
  <c r="R14" i="2" s="1"/>
  <c r="S14" i="2" s="1"/>
  <c r="T14" i="2" s="1"/>
  <c r="U14" i="2" s="1"/>
  <c r="V14" i="2" s="1"/>
  <c r="W14" i="2" s="1"/>
  <c r="X14" i="2" s="1"/>
  <c r="Y14" i="2" s="1"/>
  <c r="Z14" i="2" s="1"/>
  <c r="AA14" i="2" s="1"/>
  <c r="AB14" i="2" s="1"/>
  <c r="AC14" i="2" s="1"/>
  <c r="AD14" i="2" s="1"/>
  <c r="AE14" i="2" s="1"/>
  <c r="AF14" i="2" s="1"/>
  <c r="AG14" i="2" s="1"/>
  <c r="AH14" i="2" s="1"/>
  <c r="AI14" i="2" s="1"/>
  <c r="AJ14" i="2" s="1"/>
  <c r="AK14" i="2" s="1"/>
  <c r="H13" i="2"/>
  <c r="I13" i="2" s="1"/>
  <c r="J13" i="2" s="1"/>
  <c r="K13" i="2" s="1"/>
  <c r="L13" i="2" s="1"/>
  <c r="M13" i="2" s="1"/>
  <c r="N13" i="2" s="1"/>
  <c r="O13" i="2" s="1"/>
  <c r="P13" i="2" s="1"/>
  <c r="Q13" i="2" s="1"/>
  <c r="R13" i="2" s="1"/>
  <c r="S13" i="2" s="1"/>
  <c r="T13" i="2" s="1"/>
  <c r="U13" i="2" s="1"/>
  <c r="V13" i="2" s="1"/>
  <c r="W13" i="2" s="1"/>
  <c r="X13" i="2" s="1"/>
  <c r="Y13" i="2" s="1"/>
  <c r="Z13" i="2" s="1"/>
  <c r="AA13" i="2" s="1"/>
  <c r="AB13" i="2" s="1"/>
  <c r="AC13" i="2" s="1"/>
  <c r="AD13" i="2" s="1"/>
  <c r="AE13" i="2" s="1"/>
  <c r="AF13" i="2" s="1"/>
  <c r="AG13" i="2" s="1"/>
  <c r="AH13" i="2" s="1"/>
  <c r="AI13" i="2" s="1"/>
  <c r="AJ13" i="2" s="1"/>
  <c r="AK13" i="2" s="1"/>
  <c r="H24" i="2" l="1"/>
  <c r="I24" i="2" s="1"/>
  <c r="J24" i="2" s="1"/>
  <c r="K24" i="2" s="1"/>
  <c r="L24" i="2" s="1"/>
  <c r="M24" i="2" s="1"/>
  <c r="N24" i="2" s="1"/>
  <c r="O24" i="2" s="1"/>
  <c r="P24" i="2" s="1"/>
  <c r="Q24" i="2" s="1"/>
  <c r="R24" i="2" s="1"/>
  <c r="S24" i="2" s="1"/>
  <c r="T24" i="2" s="1"/>
  <c r="U24" i="2" s="1"/>
  <c r="V24" i="2" s="1"/>
  <c r="W24" i="2" s="1"/>
  <c r="X24" i="2" s="1"/>
  <c r="Y24" i="2" s="1"/>
  <c r="Z24" i="2" s="1"/>
  <c r="AA24" i="2" s="1"/>
  <c r="AB24" i="2" s="1"/>
  <c r="AC24" i="2" s="1"/>
  <c r="AD24" i="2" s="1"/>
  <c r="AE24" i="2" s="1"/>
  <c r="AF24" i="2" s="1"/>
  <c r="AG24" i="2" s="1"/>
  <c r="AH24" i="2" s="1"/>
  <c r="AI24" i="2" s="1"/>
  <c r="AJ24" i="2" s="1"/>
  <c r="AK24" i="2" s="1"/>
  <c r="H23" i="2"/>
  <c r="I23" i="2" s="1"/>
  <c r="J23" i="2" s="1"/>
  <c r="K23" i="2" s="1"/>
  <c r="L23" i="2" s="1"/>
  <c r="M23" i="2" s="1"/>
  <c r="N23" i="2" s="1"/>
  <c r="O23" i="2" s="1"/>
  <c r="P23" i="2" s="1"/>
  <c r="Q23" i="2" s="1"/>
  <c r="R23" i="2" s="1"/>
  <c r="S23" i="2" s="1"/>
  <c r="T23" i="2" s="1"/>
  <c r="U23" i="2" s="1"/>
  <c r="V23" i="2" s="1"/>
  <c r="W23" i="2" s="1"/>
  <c r="X23" i="2" s="1"/>
  <c r="Y23" i="2" s="1"/>
  <c r="Z23" i="2" s="1"/>
  <c r="AA23" i="2" s="1"/>
  <c r="AB23" i="2" s="1"/>
  <c r="AC23" i="2" s="1"/>
  <c r="AD23" i="2" s="1"/>
  <c r="AE23" i="2" s="1"/>
  <c r="AF23" i="2" s="1"/>
  <c r="AG23" i="2" s="1"/>
  <c r="AH23" i="2" s="1"/>
  <c r="AI23" i="2" s="1"/>
  <c r="AJ23" i="2" s="1"/>
  <c r="AK23" i="2" s="1"/>
  <c r="H12" i="2"/>
  <c r="I12" i="2" s="1"/>
  <c r="J12" i="2" s="1"/>
  <c r="K12" i="2" s="1"/>
  <c r="L12" i="2" s="1"/>
  <c r="M12" i="2" s="1"/>
  <c r="N12" i="2" s="1"/>
  <c r="O12" i="2" s="1"/>
  <c r="P12" i="2" s="1"/>
  <c r="Q12" i="2" s="1"/>
  <c r="R12" i="2" s="1"/>
  <c r="S12" i="2" s="1"/>
  <c r="T12" i="2" s="1"/>
  <c r="U12" i="2" s="1"/>
  <c r="V12" i="2" s="1"/>
  <c r="W12" i="2" s="1"/>
  <c r="X12" i="2" s="1"/>
  <c r="Y12" i="2" s="1"/>
  <c r="Z12" i="2" s="1"/>
  <c r="AA12" i="2" s="1"/>
  <c r="AB12" i="2" s="1"/>
  <c r="AC12" i="2" s="1"/>
  <c r="AD12" i="2" s="1"/>
  <c r="AE12" i="2" s="1"/>
  <c r="AF12" i="2" s="1"/>
  <c r="AG12" i="2" s="1"/>
  <c r="AH12" i="2" s="1"/>
  <c r="AI12" i="2" s="1"/>
  <c r="AJ12" i="2" s="1"/>
  <c r="AK12" i="2" s="1"/>
  <c r="H11" i="2"/>
  <c r="I11" i="2" s="1"/>
  <c r="J11" i="2" s="1"/>
  <c r="K11" i="2" s="1"/>
  <c r="L11" i="2" s="1"/>
  <c r="M11" i="2" s="1"/>
  <c r="N11" i="2" s="1"/>
  <c r="O11" i="2" s="1"/>
  <c r="P11" i="2" s="1"/>
  <c r="Q11" i="2" s="1"/>
  <c r="R11" i="2" s="1"/>
  <c r="S11" i="2" s="1"/>
  <c r="T11" i="2" s="1"/>
  <c r="U11" i="2" s="1"/>
  <c r="V11" i="2" s="1"/>
  <c r="W11" i="2" s="1"/>
  <c r="X11" i="2" s="1"/>
  <c r="Y11" i="2" s="1"/>
  <c r="Z11" i="2" s="1"/>
  <c r="AA11" i="2" s="1"/>
  <c r="AB11" i="2" s="1"/>
  <c r="AC11" i="2" s="1"/>
  <c r="AD11" i="2" s="1"/>
  <c r="AE11" i="2" s="1"/>
  <c r="AF11" i="2" s="1"/>
  <c r="AG11" i="2" s="1"/>
  <c r="AH11" i="2" s="1"/>
  <c r="AI11" i="2" s="1"/>
  <c r="AJ11" i="2" s="1"/>
  <c r="AK11" i="2" s="1"/>
  <c r="F22" i="2"/>
  <c r="H22" i="2" s="1"/>
  <c r="I22" i="2" s="1"/>
  <c r="J22" i="2" s="1"/>
  <c r="K22" i="2" s="1"/>
  <c r="L22" i="2" s="1"/>
  <c r="M22" i="2" s="1"/>
  <c r="N22" i="2" s="1"/>
  <c r="O22" i="2" s="1"/>
  <c r="P22" i="2" s="1"/>
  <c r="Q22" i="2" s="1"/>
  <c r="R22" i="2" s="1"/>
  <c r="S22" i="2" s="1"/>
  <c r="T22" i="2" s="1"/>
  <c r="U22" i="2" s="1"/>
  <c r="V22" i="2" s="1"/>
  <c r="W22" i="2" s="1"/>
  <c r="X22" i="2" s="1"/>
  <c r="Y22" i="2" s="1"/>
  <c r="Z22" i="2" s="1"/>
  <c r="AA22" i="2" s="1"/>
  <c r="AB22" i="2" s="1"/>
  <c r="AC22" i="2" s="1"/>
  <c r="AD22" i="2" s="1"/>
  <c r="AE22" i="2" s="1"/>
  <c r="AF22" i="2" s="1"/>
  <c r="AG22" i="2" s="1"/>
  <c r="AH22" i="2" s="1"/>
  <c r="AI22" i="2" s="1"/>
  <c r="AJ22" i="2" s="1"/>
  <c r="AK22" i="2" s="1"/>
  <c r="F21" i="2"/>
  <c r="H21" i="2" s="1"/>
  <c r="I21" i="2" s="1"/>
  <c r="J21" i="2" s="1"/>
  <c r="K21" i="2" s="1"/>
  <c r="L21" i="2" s="1"/>
  <c r="M21" i="2" s="1"/>
  <c r="N21" i="2" s="1"/>
  <c r="O21" i="2" s="1"/>
  <c r="P21" i="2" s="1"/>
  <c r="Q21" i="2" s="1"/>
  <c r="R21" i="2" s="1"/>
  <c r="S21" i="2" s="1"/>
  <c r="T21" i="2" s="1"/>
  <c r="U21" i="2" s="1"/>
  <c r="V21" i="2" s="1"/>
  <c r="W21" i="2" s="1"/>
  <c r="X21" i="2" s="1"/>
  <c r="Y21" i="2" s="1"/>
  <c r="Z21" i="2" s="1"/>
  <c r="AA21" i="2" s="1"/>
  <c r="AB21" i="2" s="1"/>
  <c r="AC21" i="2" s="1"/>
  <c r="AD21" i="2" s="1"/>
  <c r="AE21" i="2" s="1"/>
  <c r="AF21" i="2" s="1"/>
  <c r="AG21" i="2" s="1"/>
  <c r="AH21" i="2" s="1"/>
  <c r="AI21" i="2" s="1"/>
  <c r="AJ21" i="2" s="1"/>
  <c r="AK21" i="2" s="1"/>
  <c r="H4" i="2"/>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H5" i="2"/>
  <c r="I5" i="2" s="1"/>
  <c r="J5" i="2" s="1"/>
  <c r="K5" i="2" s="1"/>
  <c r="L5" i="2" s="1"/>
  <c r="M5" i="2" s="1"/>
  <c r="N5" i="2" s="1"/>
  <c r="O5" i="2" s="1"/>
  <c r="P5" i="2" s="1"/>
  <c r="Q5" i="2" s="1"/>
  <c r="R5" i="2" s="1"/>
  <c r="S5" i="2" s="1"/>
  <c r="T5" i="2" s="1"/>
  <c r="U5" i="2" s="1"/>
  <c r="V5" i="2" s="1"/>
  <c r="W5" i="2" s="1"/>
  <c r="X5" i="2" s="1"/>
  <c r="Y5" i="2" s="1"/>
  <c r="Z5" i="2" s="1"/>
  <c r="AA5" i="2" s="1"/>
  <c r="AB5" i="2" s="1"/>
  <c r="AC5" i="2" s="1"/>
  <c r="AD5" i="2" s="1"/>
  <c r="AE5" i="2" s="1"/>
  <c r="AF5" i="2" s="1"/>
  <c r="AG5" i="2" s="1"/>
  <c r="AH5" i="2" s="1"/>
  <c r="AI5" i="2" s="1"/>
  <c r="AJ5" i="2" s="1"/>
  <c r="AK5" i="2" s="1"/>
  <c r="F20" i="2"/>
  <c r="H20" i="2" s="1"/>
  <c r="I20" i="2" s="1"/>
  <c r="J20" i="2" s="1"/>
  <c r="K20" i="2" s="1"/>
  <c r="L20" i="2" s="1"/>
  <c r="M20" i="2" s="1"/>
  <c r="N20" i="2" s="1"/>
  <c r="O20" i="2" s="1"/>
  <c r="P20" i="2" s="1"/>
  <c r="Q20" i="2" s="1"/>
  <c r="R20" i="2" s="1"/>
  <c r="S20" i="2" s="1"/>
  <c r="T20" i="2" s="1"/>
  <c r="U20" i="2" s="1"/>
  <c r="V20" i="2" s="1"/>
  <c r="W20" i="2" s="1"/>
  <c r="X20" i="2" s="1"/>
  <c r="Y20" i="2" s="1"/>
  <c r="Z20" i="2" s="1"/>
  <c r="AA20" i="2" s="1"/>
  <c r="AB20" i="2" s="1"/>
  <c r="AC20" i="2" s="1"/>
  <c r="AD20" i="2" s="1"/>
  <c r="AE20" i="2" s="1"/>
  <c r="AF20" i="2" s="1"/>
  <c r="AG20" i="2" s="1"/>
  <c r="AH20" i="2" s="1"/>
  <c r="AI20" i="2" s="1"/>
  <c r="AJ20" i="2" s="1"/>
  <c r="AK20" i="2" s="1"/>
  <c r="F19" i="2"/>
  <c r="H19" i="2" s="1"/>
  <c r="I19" i="2" s="1"/>
  <c r="J19" i="2" s="1"/>
  <c r="K19" i="2" s="1"/>
  <c r="L19" i="2" s="1"/>
  <c r="M19" i="2" s="1"/>
  <c r="N19" i="2" s="1"/>
  <c r="O19" i="2" s="1"/>
  <c r="P19" i="2" s="1"/>
  <c r="Q19" i="2" s="1"/>
  <c r="R19" i="2" s="1"/>
  <c r="S19" i="2" s="1"/>
  <c r="T19" i="2" s="1"/>
  <c r="U19" i="2" s="1"/>
  <c r="V19" i="2" s="1"/>
  <c r="W19" i="2" s="1"/>
  <c r="X19" i="2" s="1"/>
  <c r="Y19" i="2" s="1"/>
  <c r="Z19" i="2" s="1"/>
  <c r="AA19" i="2" s="1"/>
  <c r="AB19" i="2" s="1"/>
  <c r="AC19" i="2" s="1"/>
  <c r="AD19" i="2" s="1"/>
  <c r="AE19" i="2" s="1"/>
  <c r="AF19" i="2" s="1"/>
  <c r="AG19" i="2" s="1"/>
  <c r="AH19" i="2" s="1"/>
  <c r="AI19" i="2" s="1"/>
  <c r="AJ19" i="2" s="1"/>
  <c r="AK19" i="2" s="1"/>
  <c r="F9" i="2"/>
  <c r="H9" i="2" s="1"/>
  <c r="I9" i="2" s="1"/>
  <c r="J9" i="2" s="1"/>
  <c r="K9" i="2" s="1"/>
  <c r="L9" i="2" s="1"/>
  <c r="M9" i="2" s="1"/>
  <c r="N9" i="2" s="1"/>
  <c r="O9" i="2" s="1"/>
  <c r="P9" i="2" s="1"/>
  <c r="Q9" i="2" s="1"/>
  <c r="R9" i="2" s="1"/>
  <c r="S9" i="2" s="1"/>
  <c r="T9" i="2" s="1"/>
  <c r="U9" i="2" s="1"/>
  <c r="V9" i="2" s="1"/>
  <c r="W9" i="2" s="1"/>
  <c r="X9" i="2" s="1"/>
  <c r="Y9" i="2" s="1"/>
  <c r="Z9" i="2" s="1"/>
  <c r="AA9" i="2" s="1"/>
  <c r="AB9" i="2" s="1"/>
  <c r="AC9" i="2" s="1"/>
  <c r="AD9" i="2" s="1"/>
  <c r="AE9" i="2" s="1"/>
  <c r="AF9" i="2" s="1"/>
  <c r="AG9" i="2" s="1"/>
  <c r="AH9" i="2" s="1"/>
  <c r="AI9" i="2" s="1"/>
  <c r="AJ9" i="2" s="1"/>
  <c r="AK9" i="2" s="1"/>
  <c r="F8" i="2"/>
  <c r="H8" i="2" s="1"/>
  <c r="I8" i="2" s="1"/>
  <c r="J8" i="2" s="1"/>
  <c r="K8" i="2" s="1"/>
  <c r="L8" i="2" s="1"/>
  <c r="M8" i="2" s="1"/>
  <c r="N8" i="2" s="1"/>
  <c r="O8" i="2" s="1"/>
  <c r="P8" i="2" s="1"/>
  <c r="Q8" i="2" s="1"/>
  <c r="R8" i="2" s="1"/>
  <c r="S8" i="2" s="1"/>
  <c r="T8" i="2" s="1"/>
  <c r="U8" i="2" s="1"/>
  <c r="V8" i="2" s="1"/>
  <c r="W8" i="2" s="1"/>
  <c r="X8" i="2" s="1"/>
  <c r="Y8" i="2" s="1"/>
  <c r="Z8" i="2" s="1"/>
  <c r="AA8" i="2" s="1"/>
  <c r="AB8" i="2" s="1"/>
  <c r="AC8" i="2" s="1"/>
  <c r="AD8" i="2" s="1"/>
  <c r="AE8" i="2" s="1"/>
  <c r="AF8" i="2" s="1"/>
  <c r="AG8" i="2" s="1"/>
  <c r="AH8" i="2" s="1"/>
  <c r="AI8" i="2" s="1"/>
  <c r="AJ8" i="2" s="1"/>
  <c r="AK8" i="2" s="1"/>
  <c r="F7" i="2"/>
  <c r="H7" i="2" s="1"/>
  <c r="I7" i="2" s="1"/>
  <c r="J7" i="2" s="1"/>
  <c r="K7" i="2" s="1"/>
  <c r="L7" i="2" s="1"/>
  <c r="M7" i="2" s="1"/>
  <c r="N7" i="2" s="1"/>
  <c r="O7" i="2" s="1"/>
  <c r="P7" i="2" s="1"/>
  <c r="Q7" i="2" s="1"/>
  <c r="R7" i="2" s="1"/>
  <c r="S7" i="2" s="1"/>
  <c r="T7" i="2" s="1"/>
  <c r="U7" i="2" s="1"/>
  <c r="V7" i="2" s="1"/>
  <c r="W7" i="2" s="1"/>
  <c r="X7" i="2" s="1"/>
  <c r="Y7" i="2" s="1"/>
  <c r="Z7" i="2" s="1"/>
  <c r="AA7" i="2" s="1"/>
  <c r="AB7" i="2" s="1"/>
  <c r="AC7" i="2" s="1"/>
  <c r="AD7" i="2" s="1"/>
  <c r="AE7" i="2" s="1"/>
  <c r="AF7" i="2" s="1"/>
  <c r="AG7" i="2" s="1"/>
  <c r="AH7" i="2" s="1"/>
  <c r="AI7" i="2" s="1"/>
  <c r="AJ7" i="2" s="1"/>
  <c r="AK7" i="2" s="1"/>
  <c r="F6" i="2"/>
  <c r="H6" i="2" l="1"/>
  <c r="I6" i="2" s="1"/>
  <c r="J6" i="2" s="1"/>
  <c r="K6" i="2" s="1"/>
  <c r="L6" i="2" s="1"/>
  <c r="M6" i="2" s="1"/>
  <c r="N6" i="2" s="1"/>
  <c r="O6" i="2" s="1"/>
  <c r="P6" i="2" s="1"/>
  <c r="Q6" i="2" s="1"/>
  <c r="R6" i="2" s="1"/>
  <c r="S6" i="2" s="1"/>
  <c r="T6" i="2" s="1"/>
  <c r="U6" i="2" s="1"/>
  <c r="V6" i="2" s="1"/>
  <c r="W6" i="2" s="1"/>
  <c r="X6" i="2" s="1"/>
  <c r="Y6" i="2" s="1"/>
  <c r="Z6" i="2" s="1"/>
  <c r="AA6" i="2" s="1"/>
  <c r="AB6" i="2" s="1"/>
  <c r="AC6" i="2" s="1"/>
  <c r="AD6" i="2" s="1"/>
  <c r="AE6" i="2" s="1"/>
  <c r="AF6" i="2" s="1"/>
  <c r="AG6" i="2" s="1"/>
  <c r="AH6" i="2" s="1"/>
  <c r="AI6" i="2" s="1"/>
  <c r="AJ6" i="2" s="1"/>
  <c r="AK6" i="2" s="1"/>
  <c r="AF2" i="8"/>
  <c r="E6" i="10"/>
  <c r="E33" i="10" s="1"/>
  <c r="F6" i="10" l="1"/>
  <c r="F33" i="10" s="1"/>
  <c r="AF6" i="8"/>
  <c r="Y2" i="8"/>
  <c r="Y6" i="8"/>
  <c r="G6" i="10" l="1"/>
  <c r="G33" i="10" s="1"/>
  <c r="K2" i="7"/>
  <c r="L2" i="7"/>
  <c r="M2" i="7" s="1"/>
  <c r="N2" i="7" s="1"/>
  <c r="O2" i="7" s="1"/>
  <c r="P2" i="7" s="1"/>
  <c r="Q2" i="7" s="1"/>
  <c r="R2" i="7" s="1"/>
  <c r="S2" i="7" s="1"/>
  <c r="T2" i="7" s="1"/>
  <c r="U2" i="7" s="1"/>
  <c r="V2" i="7" s="1"/>
  <c r="W2" i="7" s="1"/>
  <c r="X2" i="7" s="1"/>
  <c r="Y2" i="7" s="1"/>
  <c r="Z2" i="7" s="1"/>
  <c r="AA2" i="7" s="1"/>
  <c r="AB2" i="7" s="1"/>
  <c r="AC2" i="7" s="1"/>
  <c r="AD2" i="7" s="1"/>
  <c r="AE2" i="7" s="1"/>
  <c r="AF2" i="7" s="1"/>
  <c r="AG2" i="7" s="1"/>
  <c r="AH2" i="7" s="1"/>
  <c r="AI2" i="7" s="1"/>
  <c r="AJ2" i="7" s="1"/>
  <c r="AK2" i="7" s="1"/>
  <c r="AL2" i="7" s="1"/>
  <c r="AM2" i="7" s="1"/>
  <c r="K32" i="7"/>
  <c r="L32" i="7" s="1"/>
  <c r="M32" i="7" s="1"/>
  <c r="N32" i="7" s="1"/>
  <c r="O32" i="7" s="1"/>
  <c r="P32" i="7" s="1"/>
  <c r="Q32" i="7" s="1"/>
  <c r="R32" i="7" s="1"/>
  <c r="S32" i="7" s="1"/>
  <c r="T32" i="7" s="1"/>
  <c r="U32" i="7" s="1"/>
  <c r="V32" i="7" s="1"/>
  <c r="W32" i="7" s="1"/>
  <c r="X32" i="7" s="1"/>
  <c r="Y32" i="7" s="1"/>
  <c r="Z32" i="7" s="1"/>
  <c r="AA32" i="7" s="1"/>
  <c r="AB32" i="7" s="1"/>
  <c r="AC32" i="7" s="1"/>
  <c r="AD32" i="7" s="1"/>
  <c r="AE32" i="7" s="1"/>
  <c r="AF32" i="7" s="1"/>
  <c r="AG32" i="7" s="1"/>
  <c r="AH32" i="7" s="1"/>
  <c r="AI32" i="7" s="1"/>
  <c r="AJ32" i="7" s="1"/>
  <c r="AK32" i="7" s="1"/>
  <c r="AL32" i="7" s="1"/>
  <c r="AM32" i="7" s="1"/>
  <c r="J3" i="7"/>
  <c r="K3" i="7" s="1"/>
  <c r="J5" i="7"/>
  <c r="K5" i="7" s="1"/>
  <c r="L5" i="7" s="1"/>
  <c r="M5" i="7" s="1"/>
  <c r="N5" i="7" s="1"/>
  <c r="O5" i="7" s="1"/>
  <c r="P5" i="7" s="1"/>
  <c r="Q5" i="7" s="1"/>
  <c r="R5" i="7" s="1"/>
  <c r="S5" i="7" s="1"/>
  <c r="T5" i="7" s="1"/>
  <c r="U5" i="7" s="1"/>
  <c r="V5" i="7" s="1"/>
  <c r="W5" i="7" s="1"/>
  <c r="X5" i="7" s="1"/>
  <c r="Y5" i="7" s="1"/>
  <c r="Z5" i="7" s="1"/>
  <c r="AA5" i="7" s="1"/>
  <c r="AB5" i="7" s="1"/>
  <c r="AC5" i="7" s="1"/>
  <c r="AD5" i="7" s="1"/>
  <c r="AE5" i="7" s="1"/>
  <c r="AF5" i="7" s="1"/>
  <c r="AG5" i="7" s="1"/>
  <c r="AH5" i="7" s="1"/>
  <c r="AI5" i="7" s="1"/>
  <c r="AJ5" i="7" s="1"/>
  <c r="AK5" i="7" s="1"/>
  <c r="AL5" i="7" s="1"/>
  <c r="AM5" i="7" s="1"/>
  <c r="J6" i="7"/>
  <c r="K6" i="7" s="1"/>
  <c r="L6" i="7" s="1"/>
  <c r="M6" i="7" s="1"/>
  <c r="N6" i="7" s="1"/>
  <c r="O6" i="7" s="1"/>
  <c r="P6" i="7" s="1"/>
  <c r="Q6" i="7" s="1"/>
  <c r="R6" i="7" s="1"/>
  <c r="S6" i="7" s="1"/>
  <c r="T6" i="7" s="1"/>
  <c r="U6" i="7" s="1"/>
  <c r="V6" i="7" s="1"/>
  <c r="W6" i="7" s="1"/>
  <c r="X6" i="7" s="1"/>
  <c r="Y6" i="7" s="1"/>
  <c r="Z6" i="7" s="1"/>
  <c r="AA6" i="7" s="1"/>
  <c r="AB6" i="7" s="1"/>
  <c r="AC6" i="7" s="1"/>
  <c r="AD6" i="7" s="1"/>
  <c r="AE6" i="7" s="1"/>
  <c r="AF6" i="7" s="1"/>
  <c r="AG6" i="7" s="1"/>
  <c r="AH6" i="7" s="1"/>
  <c r="AI6" i="7" s="1"/>
  <c r="AJ6" i="7" s="1"/>
  <c r="AK6" i="7" s="1"/>
  <c r="AL6" i="7" s="1"/>
  <c r="AM6" i="7" s="1"/>
  <c r="J7" i="7"/>
  <c r="K7" i="7" s="1"/>
  <c r="L7" i="7" s="1"/>
  <c r="M7" i="7" s="1"/>
  <c r="N7" i="7" s="1"/>
  <c r="O7" i="7" s="1"/>
  <c r="P7" i="7" s="1"/>
  <c r="Q7" i="7" s="1"/>
  <c r="R7" i="7" s="1"/>
  <c r="S7" i="7" s="1"/>
  <c r="T7" i="7" s="1"/>
  <c r="U7" i="7" s="1"/>
  <c r="V7" i="7" s="1"/>
  <c r="W7" i="7" s="1"/>
  <c r="X7" i="7" s="1"/>
  <c r="Y7" i="7" s="1"/>
  <c r="Z7" i="7" s="1"/>
  <c r="AA7" i="7" s="1"/>
  <c r="AB7" i="7" s="1"/>
  <c r="AC7" i="7" s="1"/>
  <c r="AD7" i="7" s="1"/>
  <c r="AE7" i="7" s="1"/>
  <c r="AF7" i="7" s="1"/>
  <c r="AG7" i="7" s="1"/>
  <c r="AH7" i="7" s="1"/>
  <c r="AI7" i="7" s="1"/>
  <c r="AJ7" i="7" s="1"/>
  <c r="AK7" i="7" s="1"/>
  <c r="AL7" i="7" s="1"/>
  <c r="AM7" i="7" s="1"/>
  <c r="J8" i="7"/>
  <c r="K8" i="7" s="1"/>
  <c r="L8" i="7" s="1"/>
  <c r="M8" i="7" s="1"/>
  <c r="N8" i="7" s="1"/>
  <c r="O8" i="7" s="1"/>
  <c r="P8" i="7" s="1"/>
  <c r="Q8" i="7" s="1"/>
  <c r="R8" i="7" s="1"/>
  <c r="S8" i="7" s="1"/>
  <c r="T8" i="7" s="1"/>
  <c r="U8" i="7" s="1"/>
  <c r="V8" i="7" s="1"/>
  <c r="W8" i="7" s="1"/>
  <c r="X8" i="7" s="1"/>
  <c r="Y8" i="7" s="1"/>
  <c r="Z8" i="7" s="1"/>
  <c r="AA8" i="7" s="1"/>
  <c r="AB8" i="7" s="1"/>
  <c r="AC8" i="7" s="1"/>
  <c r="AD8" i="7" s="1"/>
  <c r="AE8" i="7" s="1"/>
  <c r="AF8" i="7" s="1"/>
  <c r="AG8" i="7" s="1"/>
  <c r="AH8" i="7" s="1"/>
  <c r="AI8" i="7" s="1"/>
  <c r="AJ8" i="7" s="1"/>
  <c r="AK8" i="7" s="1"/>
  <c r="AL8" i="7" s="1"/>
  <c r="AM8" i="7" s="1"/>
  <c r="J9" i="7"/>
  <c r="K9" i="7" s="1"/>
  <c r="L9" i="7" s="1"/>
  <c r="M9" i="7" s="1"/>
  <c r="N9" i="7" s="1"/>
  <c r="O9" i="7" s="1"/>
  <c r="P9" i="7" s="1"/>
  <c r="Q9" i="7" s="1"/>
  <c r="R9" i="7" s="1"/>
  <c r="S9" i="7" s="1"/>
  <c r="T9" i="7" s="1"/>
  <c r="U9" i="7" s="1"/>
  <c r="V9" i="7" s="1"/>
  <c r="W9" i="7" s="1"/>
  <c r="X9" i="7" s="1"/>
  <c r="Y9" i="7" s="1"/>
  <c r="Z9" i="7" s="1"/>
  <c r="AA9" i="7" s="1"/>
  <c r="AB9" i="7" s="1"/>
  <c r="AC9" i="7" s="1"/>
  <c r="AD9" i="7" s="1"/>
  <c r="AE9" i="7" s="1"/>
  <c r="AF9" i="7" s="1"/>
  <c r="AG9" i="7" s="1"/>
  <c r="AH9" i="7" s="1"/>
  <c r="AI9" i="7" s="1"/>
  <c r="AJ9" i="7" s="1"/>
  <c r="AK9" i="7" s="1"/>
  <c r="AL9" i="7" s="1"/>
  <c r="AM9" i="7" s="1"/>
  <c r="J10" i="7"/>
  <c r="K10" i="7" s="1"/>
  <c r="L10" i="7" s="1"/>
  <c r="M10" i="7" s="1"/>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AJ10" i="7" s="1"/>
  <c r="AK10" i="7" s="1"/>
  <c r="AL10" i="7" s="1"/>
  <c r="AM10" i="7" s="1"/>
  <c r="J11" i="7"/>
  <c r="K11" i="7" s="1"/>
  <c r="L11" i="7" s="1"/>
  <c r="M11" i="7" s="1"/>
  <c r="N11" i="7" s="1"/>
  <c r="O11" i="7" s="1"/>
  <c r="P11" i="7" s="1"/>
  <c r="Q11" i="7" s="1"/>
  <c r="R11" i="7" s="1"/>
  <c r="S11" i="7" s="1"/>
  <c r="T11" i="7" s="1"/>
  <c r="U11" i="7" s="1"/>
  <c r="V11" i="7" s="1"/>
  <c r="W11" i="7" s="1"/>
  <c r="X11" i="7" s="1"/>
  <c r="Y11" i="7" s="1"/>
  <c r="Z11" i="7" s="1"/>
  <c r="AA11" i="7" s="1"/>
  <c r="AB11" i="7" s="1"/>
  <c r="AC11" i="7" s="1"/>
  <c r="AD11" i="7" s="1"/>
  <c r="AE11" i="7" s="1"/>
  <c r="AF11" i="7" s="1"/>
  <c r="AG11" i="7" s="1"/>
  <c r="AH11" i="7" s="1"/>
  <c r="AI11" i="7" s="1"/>
  <c r="AJ11" i="7" s="1"/>
  <c r="AK11" i="7" s="1"/>
  <c r="AL11" i="7" s="1"/>
  <c r="AM11" i="7" s="1"/>
  <c r="J12" i="7"/>
  <c r="K12" i="7" s="1"/>
  <c r="L12" i="7" s="1"/>
  <c r="M12" i="7" s="1"/>
  <c r="N12" i="7" s="1"/>
  <c r="O12" i="7" s="1"/>
  <c r="P12" i="7" s="1"/>
  <c r="Q12" i="7" s="1"/>
  <c r="R12" i="7" s="1"/>
  <c r="S12" i="7" s="1"/>
  <c r="T12" i="7" s="1"/>
  <c r="U12" i="7" s="1"/>
  <c r="V12" i="7" s="1"/>
  <c r="W12" i="7" s="1"/>
  <c r="X12" i="7" s="1"/>
  <c r="Y12" i="7" s="1"/>
  <c r="Z12" i="7" s="1"/>
  <c r="AA12" i="7" s="1"/>
  <c r="AB12" i="7" s="1"/>
  <c r="AC12" i="7" s="1"/>
  <c r="AD12" i="7" s="1"/>
  <c r="AE12" i="7" s="1"/>
  <c r="AF12" i="7" s="1"/>
  <c r="AG12" i="7" s="1"/>
  <c r="AH12" i="7" s="1"/>
  <c r="AI12" i="7" s="1"/>
  <c r="AJ12" i="7" s="1"/>
  <c r="AK12" i="7" s="1"/>
  <c r="AL12" i="7" s="1"/>
  <c r="AM12" i="7" s="1"/>
  <c r="J13" i="7"/>
  <c r="K13" i="7" s="1"/>
  <c r="L13" i="7" s="1"/>
  <c r="M13" i="7" s="1"/>
  <c r="N13" i="7" s="1"/>
  <c r="O13" i="7" s="1"/>
  <c r="P13" i="7" s="1"/>
  <c r="Q13" i="7" s="1"/>
  <c r="R13" i="7" s="1"/>
  <c r="S13" i="7" s="1"/>
  <c r="T13" i="7" s="1"/>
  <c r="U13" i="7" s="1"/>
  <c r="V13" i="7" s="1"/>
  <c r="W13" i="7" s="1"/>
  <c r="X13" i="7" s="1"/>
  <c r="Y13" i="7" s="1"/>
  <c r="Z13" i="7" s="1"/>
  <c r="AA13" i="7" s="1"/>
  <c r="AB13" i="7" s="1"/>
  <c r="AC13" i="7" s="1"/>
  <c r="AD13" i="7" s="1"/>
  <c r="AE13" i="7" s="1"/>
  <c r="AF13" i="7" s="1"/>
  <c r="AG13" i="7" s="1"/>
  <c r="AH13" i="7" s="1"/>
  <c r="AI13" i="7" s="1"/>
  <c r="AJ13" i="7" s="1"/>
  <c r="AK13" i="7" s="1"/>
  <c r="AL13" i="7" s="1"/>
  <c r="AM13" i="7" s="1"/>
  <c r="J14" i="7"/>
  <c r="K14" i="7" s="1"/>
  <c r="L14" i="7" s="1"/>
  <c r="M14" i="7" s="1"/>
  <c r="N14" i="7" s="1"/>
  <c r="O14" i="7" s="1"/>
  <c r="P14" i="7" s="1"/>
  <c r="Q14" i="7" s="1"/>
  <c r="R14" i="7" s="1"/>
  <c r="S14" i="7" s="1"/>
  <c r="T14" i="7" s="1"/>
  <c r="U14" i="7" s="1"/>
  <c r="V14" i="7" s="1"/>
  <c r="W14" i="7" s="1"/>
  <c r="X14" i="7" s="1"/>
  <c r="Y14" i="7" s="1"/>
  <c r="Z14" i="7" s="1"/>
  <c r="AA14" i="7" s="1"/>
  <c r="AB14" i="7" s="1"/>
  <c r="AC14" i="7" s="1"/>
  <c r="AD14" i="7" s="1"/>
  <c r="AE14" i="7" s="1"/>
  <c r="AF14" i="7" s="1"/>
  <c r="AG14" i="7" s="1"/>
  <c r="AH14" i="7" s="1"/>
  <c r="AI14" i="7" s="1"/>
  <c r="AJ14" i="7" s="1"/>
  <c r="AK14" i="7" s="1"/>
  <c r="AL14" i="7" s="1"/>
  <c r="AM14" i="7" s="1"/>
  <c r="J15" i="7"/>
  <c r="K15" i="7" s="1"/>
  <c r="L15" i="7" s="1"/>
  <c r="M15" i="7" s="1"/>
  <c r="N15" i="7" s="1"/>
  <c r="O15" i="7" s="1"/>
  <c r="P15" i="7" s="1"/>
  <c r="Q15" i="7" s="1"/>
  <c r="R15" i="7" s="1"/>
  <c r="S15" i="7" s="1"/>
  <c r="T15" i="7" s="1"/>
  <c r="U15" i="7" s="1"/>
  <c r="V15" i="7" s="1"/>
  <c r="W15" i="7" s="1"/>
  <c r="X15" i="7" s="1"/>
  <c r="Y15" i="7" s="1"/>
  <c r="Z15" i="7" s="1"/>
  <c r="AA15" i="7" s="1"/>
  <c r="AB15" i="7" s="1"/>
  <c r="AC15" i="7" s="1"/>
  <c r="AD15" i="7" s="1"/>
  <c r="AE15" i="7" s="1"/>
  <c r="AF15" i="7" s="1"/>
  <c r="AG15" i="7" s="1"/>
  <c r="AH15" i="7" s="1"/>
  <c r="AI15" i="7" s="1"/>
  <c r="AJ15" i="7" s="1"/>
  <c r="AK15" i="7" s="1"/>
  <c r="AL15" i="7" s="1"/>
  <c r="AM15" i="7" s="1"/>
  <c r="J16" i="7"/>
  <c r="K16" i="7" s="1"/>
  <c r="L16" i="7" s="1"/>
  <c r="M16" i="7" s="1"/>
  <c r="N16" i="7" s="1"/>
  <c r="O16" i="7" s="1"/>
  <c r="P16" i="7" s="1"/>
  <c r="Q16" i="7" s="1"/>
  <c r="R16" i="7" s="1"/>
  <c r="S16" i="7" s="1"/>
  <c r="T16" i="7" s="1"/>
  <c r="U16" i="7" s="1"/>
  <c r="V16" i="7" s="1"/>
  <c r="W16" i="7" s="1"/>
  <c r="X16" i="7" s="1"/>
  <c r="Y16" i="7" s="1"/>
  <c r="Z16" i="7" s="1"/>
  <c r="AA16" i="7" s="1"/>
  <c r="AB16" i="7" s="1"/>
  <c r="AC16" i="7" s="1"/>
  <c r="AD16" i="7" s="1"/>
  <c r="AE16" i="7" s="1"/>
  <c r="AF16" i="7" s="1"/>
  <c r="AG16" i="7" s="1"/>
  <c r="AH16" i="7" s="1"/>
  <c r="AI16" i="7" s="1"/>
  <c r="AJ16" i="7" s="1"/>
  <c r="AK16" i="7" s="1"/>
  <c r="AL16" i="7" s="1"/>
  <c r="AM16" i="7" s="1"/>
  <c r="J17" i="7"/>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AI17" i="7" s="1"/>
  <c r="AJ17" i="7" s="1"/>
  <c r="AK17" i="7" s="1"/>
  <c r="AL17" i="7" s="1"/>
  <c r="AM17" i="7" s="1"/>
  <c r="J18" i="7"/>
  <c r="K18" i="7" s="1"/>
  <c r="L18" i="7" s="1"/>
  <c r="M18" i="7" s="1"/>
  <c r="N18" i="7" s="1"/>
  <c r="O18" i="7" s="1"/>
  <c r="P18" i="7" s="1"/>
  <c r="Q18" i="7" s="1"/>
  <c r="R18" i="7" s="1"/>
  <c r="S18" i="7" s="1"/>
  <c r="T18" i="7" s="1"/>
  <c r="U18" i="7" s="1"/>
  <c r="V18" i="7" s="1"/>
  <c r="W18" i="7" s="1"/>
  <c r="X18" i="7" s="1"/>
  <c r="Y18" i="7" s="1"/>
  <c r="Z18" i="7" s="1"/>
  <c r="AA18" i="7" s="1"/>
  <c r="AB18" i="7" s="1"/>
  <c r="AC18" i="7" s="1"/>
  <c r="AD18" i="7" s="1"/>
  <c r="AE18" i="7" s="1"/>
  <c r="AF18" i="7" s="1"/>
  <c r="AG18" i="7" s="1"/>
  <c r="AH18" i="7" s="1"/>
  <c r="AI18" i="7" s="1"/>
  <c r="AJ18" i="7" s="1"/>
  <c r="AK18" i="7" s="1"/>
  <c r="AL18" i="7" s="1"/>
  <c r="AM18" i="7" s="1"/>
  <c r="J19" i="7"/>
  <c r="K19" i="7" s="1"/>
  <c r="L19" i="7" s="1"/>
  <c r="M19" i="7" s="1"/>
  <c r="N19" i="7" s="1"/>
  <c r="O19" i="7" s="1"/>
  <c r="P19" i="7" s="1"/>
  <c r="Q19" i="7" s="1"/>
  <c r="R19" i="7" s="1"/>
  <c r="S19" i="7" s="1"/>
  <c r="T19" i="7" s="1"/>
  <c r="U19" i="7" s="1"/>
  <c r="V19" i="7" s="1"/>
  <c r="W19" i="7" s="1"/>
  <c r="X19" i="7" s="1"/>
  <c r="Y19" i="7" s="1"/>
  <c r="Z19" i="7" s="1"/>
  <c r="AA19" i="7" s="1"/>
  <c r="AB19" i="7" s="1"/>
  <c r="AC19" i="7" s="1"/>
  <c r="AD19" i="7" s="1"/>
  <c r="AE19" i="7" s="1"/>
  <c r="AF19" i="7" s="1"/>
  <c r="AG19" i="7" s="1"/>
  <c r="AH19" i="7" s="1"/>
  <c r="AI19" i="7" s="1"/>
  <c r="AJ19" i="7" s="1"/>
  <c r="AK19" i="7" s="1"/>
  <c r="AL19" i="7" s="1"/>
  <c r="AM19" i="7" s="1"/>
  <c r="J20" i="7"/>
  <c r="K20" i="7" s="1"/>
  <c r="L20" i="7" s="1"/>
  <c r="M20" i="7" s="1"/>
  <c r="N20" i="7" s="1"/>
  <c r="O20" i="7" s="1"/>
  <c r="P20" i="7" s="1"/>
  <c r="Q20" i="7" s="1"/>
  <c r="R20" i="7" s="1"/>
  <c r="S20" i="7" s="1"/>
  <c r="T20" i="7" s="1"/>
  <c r="U20" i="7" s="1"/>
  <c r="V20" i="7" s="1"/>
  <c r="W20" i="7" s="1"/>
  <c r="X20" i="7" s="1"/>
  <c r="Y20" i="7" s="1"/>
  <c r="Z20" i="7" s="1"/>
  <c r="AA20" i="7" s="1"/>
  <c r="AB20" i="7" s="1"/>
  <c r="AC20" i="7" s="1"/>
  <c r="AD20" i="7" s="1"/>
  <c r="AE20" i="7" s="1"/>
  <c r="AF20" i="7" s="1"/>
  <c r="AG20" i="7" s="1"/>
  <c r="AH20" i="7" s="1"/>
  <c r="AI20" i="7" s="1"/>
  <c r="AJ20" i="7" s="1"/>
  <c r="AK20" i="7" s="1"/>
  <c r="AL20" i="7" s="1"/>
  <c r="AM20" i="7" s="1"/>
  <c r="J21" i="7"/>
  <c r="K21" i="7" s="1"/>
  <c r="L21" i="7" s="1"/>
  <c r="M21" i="7" s="1"/>
  <c r="N21" i="7" s="1"/>
  <c r="O21" i="7" s="1"/>
  <c r="P21" i="7" s="1"/>
  <c r="Q21" i="7" s="1"/>
  <c r="R21" i="7" s="1"/>
  <c r="S21" i="7" s="1"/>
  <c r="T21" i="7" s="1"/>
  <c r="U21" i="7" s="1"/>
  <c r="V21" i="7" s="1"/>
  <c r="W21" i="7" s="1"/>
  <c r="X21" i="7" s="1"/>
  <c r="Y21" i="7" s="1"/>
  <c r="Z21" i="7" s="1"/>
  <c r="AA21" i="7" s="1"/>
  <c r="AB21" i="7" s="1"/>
  <c r="AC21" i="7" s="1"/>
  <c r="AD21" i="7" s="1"/>
  <c r="AE21" i="7" s="1"/>
  <c r="AF21" i="7" s="1"/>
  <c r="AG21" i="7" s="1"/>
  <c r="AH21" i="7" s="1"/>
  <c r="AI21" i="7" s="1"/>
  <c r="AJ21" i="7" s="1"/>
  <c r="AK21" i="7" s="1"/>
  <c r="AL21" i="7" s="1"/>
  <c r="AM21" i="7" s="1"/>
  <c r="J22" i="7"/>
  <c r="K22" i="7" s="1"/>
  <c r="L22" i="7" s="1"/>
  <c r="M22" i="7" s="1"/>
  <c r="N22" i="7" s="1"/>
  <c r="O22" i="7" s="1"/>
  <c r="P22" i="7" s="1"/>
  <c r="Q22" i="7" s="1"/>
  <c r="R22" i="7" s="1"/>
  <c r="S22" i="7" s="1"/>
  <c r="T22" i="7" s="1"/>
  <c r="U22" i="7" s="1"/>
  <c r="V22" i="7" s="1"/>
  <c r="W22" i="7" s="1"/>
  <c r="X22" i="7" s="1"/>
  <c r="Y22" i="7" s="1"/>
  <c r="Z22" i="7" s="1"/>
  <c r="AA22" i="7" s="1"/>
  <c r="AB22" i="7" s="1"/>
  <c r="AC22" i="7" s="1"/>
  <c r="AD22" i="7" s="1"/>
  <c r="AE22" i="7" s="1"/>
  <c r="AF22" i="7" s="1"/>
  <c r="AG22" i="7" s="1"/>
  <c r="AH22" i="7" s="1"/>
  <c r="AI22" i="7" s="1"/>
  <c r="AJ22" i="7" s="1"/>
  <c r="AK22" i="7" s="1"/>
  <c r="AL22" i="7" s="1"/>
  <c r="AM22" i="7" s="1"/>
  <c r="J23" i="7"/>
  <c r="K23" i="7" s="1"/>
  <c r="L23" i="7" s="1"/>
  <c r="M23" i="7" s="1"/>
  <c r="N23" i="7" s="1"/>
  <c r="O23" i="7" s="1"/>
  <c r="P23" i="7" s="1"/>
  <c r="Q23" i="7" s="1"/>
  <c r="R23" i="7" s="1"/>
  <c r="S23" i="7" s="1"/>
  <c r="T23" i="7" s="1"/>
  <c r="U23" i="7" s="1"/>
  <c r="V23" i="7" s="1"/>
  <c r="W23" i="7" s="1"/>
  <c r="X23" i="7" s="1"/>
  <c r="Y23" i="7" s="1"/>
  <c r="Z23" i="7" s="1"/>
  <c r="AA23" i="7" s="1"/>
  <c r="AB23" i="7" s="1"/>
  <c r="AC23" i="7" s="1"/>
  <c r="AD23" i="7" s="1"/>
  <c r="AE23" i="7" s="1"/>
  <c r="AF23" i="7" s="1"/>
  <c r="AG23" i="7" s="1"/>
  <c r="AH23" i="7" s="1"/>
  <c r="AI23" i="7" s="1"/>
  <c r="AJ23" i="7" s="1"/>
  <c r="AK23" i="7" s="1"/>
  <c r="AL23" i="7" s="1"/>
  <c r="AM23" i="7" s="1"/>
  <c r="J24" i="7"/>
  <c r="K24" i="7" s="1"/>
  <c r="L24" i="7" s="1"/>
  <c r="M24" i="7" s="1"/>
  <c r="N24" i="7" s="1"/>
  <c r="O24" i="7" s="1"/>
  <c r="P24" i="7" s="1"/>
  <c r="Q24" i="7" s="1"/>
  <c r="R24" i="7" s="1"/>
  <c r="S24" i="7" s="1"/>
  <c r="T24" i="7" s="1"/>
  <c r="U24" i="7" s="1"/>
  <c r="V24" i="7" s="1"/>
  <c r="W24" i="7" s="1"/>
  <c r="X24" i="7" s="1"/>
  <c r="Y24" i="7" s="1"/>
  <c r="Z24" i="7" s="1"/>
  <c r="AA24" i="7" s="1"/>
  <c r="AB24" i="7" s="1"/>
  <c r="AC24" i="7" s="1"/>
  <c r="AD24" i="7" s="1"/>
  <c r="AE24" i="7" s="1"/>
  <c r="AF24" i="7" s="1"/>
  <c r="AG24" i="7" s="1"/>
  <c r="AH24" i="7" s="1"/>
  <c r="AI24" i="7" s="1"/>
  <c r="AJ24" i="7" s="1"/>
  <c r="AK24" i="7" s="1"/>
  <c r="AL24" i="7" s="1"/>
  <c r="AM24" i="7" s="1"/>
  <c r="J25" i="7"/>
  <c r="K25" i="7" s="1"/>
  <c r="L25" i="7" s="1"/>
  <c r="M25" i="7" s="1"/>
  <c r="N25" i="7" s="1"/>
  <c r="O25" i="7" s="1"/>
  <c r="P25" i="7" s="1"/>
  <c r="Q25" i="7" s="1"/>
  <c r="R25" i="7" s="1"/>
  <c r="S25" i="7" s="1"/>
  <c r="T25" i="7" s="1"/>
  <c r="U25" i="7" s="1"/>
  <c r="V25" i="7" s="1"/>
  <c r="W25" i="7" s="1"/>
  <c r="X25" i="7" s="1"/>
  <c r="Y25" i="7" s="1"/>
  <c r="Z25" i="7" s="1"/>
  <c r="AA25" i="7" s="1"/>
  <c r="AB25" i="7" s="1"/>
  <c r="AC25" i="7" s="1"/>
  <c r="AD25" i="7" s="1"/>
  <c r="AE25" i="7" s="1"/>
  <c r="AF25" i="7" s="1"/>
  <c r="AG25" i="7" s="1"/>
  <c r="AH25" i="7" s="1"/>
  <c r="AI25" i="7" s="1"/>
  <c r="AJ25" i="7" s="1"/>
  <c r="AK25" i="7" s="1"/>
  <c r="AL25" i="7" s="1"/>
  <c r="AM25" i="7" s="1"/>
  <c r="J26" i="7"/>
  <c r="K26" i="7" s="1"/>
  <c r="L26" i="7" s="1"/>
  <c r="M26" i="7" s="1"/>
  <c r="N26" i="7" s="1"/>
  <c r="O26" i="7" s="1"/>
  <c r="P26" i="7" s="1"/>
  <c r="Q26" i="7" s="1"/>
  <c r="R26" i="7" s="1"/>
  <c r="S26" i="7" s="1"/>
  <c r="T26" i="7" s="1"/>
  <c r="U26" i="7" s="1"/>
  <c r="V26" i="7" s="1"/>
  <c r="W26" i="7" s="1"/>
  <c r="X26" i="7" s="1"/>
  <c r="Y26" i="7" s="1"/>
  <c r="Z26" i="7" s="1"/>
  <c r="AA26" i="7" s="1"/>
  <c r="AB26" i="7" s="1"/>
  <c r="AC26" i="7" s="1"/>
  <c r="AD26" i="7" s="1"/>
  <c r="AE26" i="7" s="1"/>
  <c r="AF26" i="7" s="1"/>
  <c r="AG26" i="7" s="1"/>
  <c r="AH26" i="7" s="1"/>
  <c r="AI26" i="7" s="1"/>
  <c r="AJ26" i="7" s="1"/>
  <c r="AK26" i="7" s="1"/>
  <c r="AL26" i="7" s="1"/>
  <c r="AM26" i="7" s="1"/>
  <c r="J27" i="7"/>
  <c r="K27" i="7" s="1"/>
  <c r="L27" i="7" s="1"/>
  <c r="M27" i="7" s="1"/>
  <c r="N27" i="7" s="1"/>
  <c r="O27" i="7" s="1"/>
  <c r="P27" i="7" s="1"/>
  <c r="Q27" i="7" s="1"/>
  <c r="R27" i="7" s="1"/>
  <c r="S27" i="7" s="1"/>
  <c r="T27" i="7" s="1"/>
  <c r="U27" i="7" s="1"/>
  <c r="V27" i="7" s="1"/>
  <c r="W27" i="7" s="1"/>
  <c r="X27" i="7" s="1"/>
  <c r="Y27" i="7" s="1"/>
  <c r="Z27" i="7" s="1"/>
  <c r="AA27" i="7" s="1"/>
  <c r="AB27" i="7" s="1"/>
  <c r="AC27" i="7" s="1"/>
  <c r="AD27" i="7" s="1"/>
  <c r="AE27" i="7" s="1"/>
  <c r="AF27" i="7" s="1"/>
  <c r="AG27" i="7" s="1"/>
  <c r="AH27" i="7" s="1"/>
  <c r="AI27" i="7" s="1"/>
  <c r="AJ27" i="7" s="1"/>
  <c r="AK27" i="7" s="1"/>
  <c r="AL27" i="7" s="1"/>
  <c r="AM27" i="7" s="1"/>
  <c r="J28" i="7"/>
  <c r="K28" i="7" s="1"/>
  <c r="L28" i="7" s="1"/>
  <c r="M28" i="7" s="1"/>
  <c r="N28" i="7" s="1"/>
  <c r="O28" i="7" s="1"/>
  <c r="P28" i="7" s="1"/>
  <c r="Q28" i="7" s="1"/>
  <c r="R28" i="7" s="1"/>
  <c r="S28" i="7" s="1"/>
  <c r="T28" i="7" s="1"/>
  <c r="U28" i="7" s="1"/>
  <c r="V28" i="7" s="1"/>
  <c r="W28" i="7" s="1"/>
  <c r="X28" i="7" s="1"/>
  <c r="Y28" i="7" s="1"/>
  <c r="Z28" i="7" s="1"/>
  <c r="AA28" i="7" s="1"/>
  <c r="AB28" i="7" s="1"/>
  <c r="AC28" i="7" s="1"/>
  <c r="AD28" i="7" s="1"/>
  <c r="AE28" i="7" s="1"/>
  <c r="AF28" i="7" s="1"/>
  <c r="AG28" i="7" s="1"/>
  <c r="AH28" i="7" s="1"/>
  <c r="AI28" i="7" s="1"/>
  <c r="AJ28" i="7" s="1"/>
  <c r="AK28" i="7" s="1"/>
  <c r="AL28" i="7" s="1"/>
  <c r="AM28" i="7" s="1"/>
  <c r="J29" i="7"/>
  <c r="K29" i="7" s="1"/>
  <c r="L29" i="7" s="1"/>
  <c r="M29" i="7" s="1"/>
  <c r="N29" i="7" s="1"/>
  <c r="O29" i="7" s="1"/>
  <c r="P29" i="7" s="1"/>
  <c r="Q29" i="7" s="1"/>
  <c r="R29" i="7" s="1"/>
  <c r="S29" i="7" s="1"/>
  <c r="T29" i="7" s="1"/>
  <c r="U29" i="7" s="1"/>
  <c r="V29" i="7" s="1"/>
  <c r="W29" i="7" s="1"/>
  <c r="X29" i="7" s="1"/>
  <c r="Y29" i="7" s="1"/>
  <c r="Z29" i="7" s="1"/>
  <c r="AA29" i="7" s="1"/>
  <c r="AB29" i="7" s="1"/>
  <c r="AC29" i="7" s="1"/>
  <c r="AD29" i="7" s="1"/>
  <c r="AE29" i="7" s="1"/>
  <c r="AF29" i="7" s="1"/>
  <c r="AG29" i="7" s="1"/>
  <c r="AH29" i="7" s="1"/>
  <c r="AI29" i="7" s="1"/>
  <c r="AJ29" i="7" s="1"/>
  <c r="AK29" i="7" s="1"/>
  <c r="AL29" i="7" s="1"/>
  <c r="AM29" i="7" s="1"/>
  <c r="J30" i="7"/>
  <c r="K30" i="7" s="1"/>
  <c r="L30" i="7" s="1"/>
  <c r="M30" i="7" s="1"/>
  <c r="N30" i="7" s="1"/>
  <c r="O30" i="7" s="1"/>
  <c r="P30" i="7" s="1"/>
  <c r="Q30" i="7" s="1"/>
  <c r="R30" i="7" s="1"/>
  <c r="S30" i="7" s="1"/>
  <c r="T30" i="7" s="1"/>
  <c r="U30" i="7" s="1"/>
  <c r="V30" i="7" s="1"/>
  <c r="W30" i="7" s="1"/>
  <c r="X30" i="7" s="1"/>
  <c r="Y30" i="7" s="1"/>
  <c r="Z30" i="7" s="1"/>
  <c r="AA30" i="7" s="1"/>
  <c r="AB30" i="7" s="1"/>
  <c r="AC30" i="7" s="1"/>
  <c r="AD30" i="7" s="1"/>
  <c r="AE30" i="7" s="1"/>
  <c r="AF30" i="7" s="1"/>
  <c r="AG30" i="7" s="1"/>
  <c r="AH30" i="7" s="1"/>
  <c r="AI30" i="7" s="1"/>
  <c r="AJ30" i="7" s="1"/>
  <c r="AK30" i="7" s="1"/>
  <c r="AL30" i="7" s="1"/>
  <c r="AM30" i="7" s="1"/>
  <c r="J31" i="7"/>
  <c r="K31" i="7" s="1"/>
  <c r="L31" i="7" s="1"/>
  <c r="M31" i="7" s="1"/>
  <c r="N31" i="7" s="1"/>
  <c r="O31" i="7" s="1"/>
  <c r="P31" i="7" s="1"/>
  <c r="Q31" i="7" s="1"/>
  <c r="R31" i="7" s="1"/>
  <c r="S31" i="7" s="1"/>
  <c r="T31" i="7" s="1"/>
  <c r="U31" i="7" s="1"/>
  <c r="V31" i="7" s="1"/>
  <c r="W31" i="7" s="1"/>
  <c r="X31" i="7" s="1"/>
  <c r="Y31" i="7" s="1"/>
  <c r="Z31" i="7" s="1"/>
  <c r="AA31" i="7" s="1"/>
  <c r="AB31" i="7" s="1"/>
  <c r="AC31" i="7" s="1"/>
  <c r="AD31" i="7" s="1"/>
  <c r="AE31" i="7" s="1"/>
  <c r="AF31" i="7" s="1"/>
  <c r="AG31" i="7" s="1"/>
  <c r="AH31" i="7" s="1"/>
  <c r="AI31" i="7" s="1"/>
  <c r="AJ31" i="7" s="1"/>
  <c r="AK31" i="7" s="1"/>
  <c r="AL31" i="7" s="1"/>
  <c r="AM31" i="7" s="1"/>
  <c r="J32" i="7"/>
  <c r="J33" i="7"/>
  <c r="K33" i="7" s="1"/>
  <c r="L33" i="7" s="1"/>
  <c r="M33" i="7" s="1"/>
  <c r="N33" i="7" s="1"/>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J34" i="7"/>
  <c r="K34" i="7" s="1"/>
  <c r="L34" i="7" s="1"/>
  <c r="M34" i="7" s="1"/>
  <c r="N34" i="7" s="1"/>
  <c r="O34" i="7" s="1"/>
  <c r="P34" i="7" s="1"/>
  <c r="Q34" i="7" s="1"/>
  <c r="R34" i="7" s="1"/>
  <c r="S34" i="7" s="1"/>
  <c r="T34" i="7" s="1"/>
  <c r="U34" i="7" s="1"/>
  <c r="V34" i="7" s="1"/>
  <c r="W34" i="7" s="1"/>
  <c r="X34" i="7" s="1"/>
  <c r="Y34" i="7" s="1"/>
  <c r="Z34" i="7" s="1"/>
  <c r="AA34" i="7" s="1"/>
  <c r="AB34" i="7" s="1"/>
  <c r="AC34" i="7" s="1"/>
  <c r="AD34" i="7" s="1"/>
  <c r="AE34" i="7" s="1"/>
  <c r="AF34" i="7" s="1"/>
  <c r="AG34" i="7" s="1"/>
  <c r="AH34" i="7" s="1"/>
  <c r="AI34" i="7" s="1"/>
  <c r="AJ34" i="7" s="1"/>
  <c r="AK34" i="7" s="1"/>
  <c r="AL34" i="7" s="1"/>
  <c r="AM34" i="7" s="1"/>
  <c r="J35" i="7"/>
  <c r="K35" i="7" s="1"/>
  <c r="L35" i="7" s="1"/>
  <c r="M35" i="7" s="1"/>
  <c r="N35" i="7" s="1"/>
  <c r="O35" i="7" s="1"/>
  <c r="P35" i="7" s="1"/>
  <c r="Q35" i="7" s="1"/>
  <c r="R35" i="7" s="1"/>
  <c r="S35" i="7" s="1"/>
  <c r="T35" i="7" s="1"/>
  <c r="U35" i="7" s="1"/>
  <c r="V35" i="7" s="1"/>
  <c r="W35" i="7" s="1"/>
  <c r="X35" i="7" s="1"/>
  <c r="Y35" i="7" s="1"/>
  <c r="Z35" i="7" s="1"/>
  <c r="AA35" i="7" s="1"/>
  <c r="AB35" i="7" s="1"/>
  <c r="AC35" i="7" s="1"/>
  <c r="AD35" i="7" s="1"/>
  <c r="AE35" i="7" s="1"/>
  <c r="AF35" i="7" s="1"/>
  <c r="AG35" i="7" s="1"/>
  <c r="AH35" i="7" s="1"/>
  <c r="AI35" i="7" s="1"/>
  <c r="AJ35" i="7" s="1"/>
  <c r="AK35" i="7" s="1"/>
  <c r="AL35" i="7" s="1"/>
  <c r="AM35" i="7" s="1"/>
  <c r="J36" i="7"/>
  <c r="K36" i="7" s="1"/>
  <c r="L36" i="7" s="1"/>
  <c r="M36" i="7" s="1"/>
  <c r="N36" i="7" s="1"/>
  <c r="O36" i="7" s="1"/>
  <c r="P36" i="7" s="1"/>
  <c r="Q36" i="7" s="1"/>
  <c r="R36" i="7" s="1"/>
  <c r="S36" i="7" s="1"/>
  <c r="T36" i="7" s="1"/>
  <c r="U36" i="7" s="1"/>
  <c r="V36" i="7" s="1"/>
  <c r="W36" i="7" s="1"/>
  <c r="X36" i="7" s="1"/>
  <c r="Y36" i="7" s="1"/>
  <c r="Z36" i="7" s="1"/>
  <c r="AA36" i="7" s="1"/>
  <c r="AB36" i="7" s="1"/>
  <c r="AC36" i="7" s="1"/>
  <c r="AD36" i="7" s="1"/>
  <c r="AE36" i="7" s="1"/>
  <c r="AF36" i="7" s="1"/>
  <c r="AG36" i="7" s="1"/>
  <c r="AH36" i="7" s="1"/>
  <c r="AI36" i="7" s="1"/>
  <c r="AJ36" i="7" s="1"/>
  <c r="AK36" i="7" s="1"/>
  <c r="AL36" i="7" s="1"/>
  <c r="AM36" i="7" s="1"/>
  <c r="J38" i="7"/>
  <c r="K38" i="7" s="1"/>
  <c r="L38" i="7" s="1"/>
  <c r="M38" i="7" s="1"/>
  <c r="N38" i="7" s="1"/>
  <c r="O38" i="7" s="1"/>
  <c r="P38" i="7" s="1"/>
  <c r="Q38" i="7" s="1"/>
  <c r="R38" i="7" s="1"/>
  <c r="S38" i="7" s="1"/>
  <c r="T38" i="7" s="1"/>
  <c r="U38" i="7" s="1"/>
  <c r="V38" i="7" s="1"/>
  <c r="W38" i="7" s="1"/>
  <c r="X38" i="7" s="1"/>
  <c r="Y38" i="7" s="1"/>
  <c r="Z38" i="7" s="1"/>
  <c r="AA38" i="7" s="1"/>
  <c r="AB38" i="7" s="1"/>
  <c r="AC38" i="7" s="1"/>
  <c r="AD38" i="7" s="1"/>
  <c r="AE38" i="7" s="1"/>
  <c r="AF38" i="7" s="1"/>
  <c r="AG38" i="7" s="1"/>
  <c r="AH38" i="7" s="1"/>
  <c r="AI38" i="7" s="1"/>
  <c r="AJ38" i="7" s="1"/>
  <c r="AK38" i="7" s="1"/>
  <c r="AL38" i="7" s="1"/>
  <c r="AM38" i="7" s="1"/>
  <c r="J39" i="7"/>
  <c r="K39" i="7" s="1"/>
  <c r="L39" i="7" s="1"/>
  <c r="M39" i="7" s="1"/>
  <c r="N39" i="7" s="1"/>
  <c r="O39" i="7" s="1"/>
  <c r="P39" i="7" s="1"/>
  <c r="Q39" i="7" s="1"/>
  <c r="R39" i="7" s="1"/>
  <c r="S39" i="7" s="1"/>
  <c r="T39" i="7" s="1"/>
  <c r="U39" i="7" s="1"/>
  <c r="V39" i="7" s="1"/>
  <c r="W39" i="7" s="1"/>
  <c r="X39" i="7" s="1"/>
  <c r="Y39" i="7" s="1"/>
  <c r="Z39" i="7" s="1"/>
  <c r="AA39" i="7" s="1"/>
  <c r="AB39" i="7" s="1"/>
  <c r="AC39" i="7" s="1"/>
  <c r="AD39" i="7" s="1"/>
  <c r="AE39" i="7" s="1"/>
  <c r="AF39" i="7" s="1"/>
  <c r="AG39" i="7" s="1"/>
  <c r="AH39" i="7" s="1"/>
  <c r="AI39" i="7" s="1"/>
  <c r="AJ39" i="7" s="1"/>
  <c r="AK39" i="7" s="1"/>
  <c r="AL39" i="7" s="1"/>
  <c r="AM39" i="7" s="1"/>
  <c r="J40" i="7"/>
  <c r="K40" i="7" s="1"/>
  <c r="L40" i="7" s="1"/>
  <c r="M40" i="7" s="1"/>
  <c r="N40" i="7" s="1"/>
  <c r="O40" i="7" s="1"/>
  <c r="P40" i="7" s="1"/>
  <c r="Q40" i="7" s="1"/>
  <c r="R40" i="7" s="1"/>
  <c r="S40" i="7" s="1"/>
  <c r="T40" i="7" s="1"/>
  <c r="U40" i="7" s="1"/>
  <c r="V40" i="7" s="1"/>
  <c r="W40" i="7" s="1"/>
  <c r="X40" i="7" s="1"/>
  <c r="Y40" i="7" s="1"/>
  <c r="Z40" i="7" s="1"/>
  <c r="AA40" i="7" s="1"/>
  <c r="AB40" i="7" s="1"/>
  <c r="AC40" i="7" s="1"/>
  <c r="AD40" i="7" s="1"/>
  <c r="AE40" i="7" s="1"/>
  <c r="AF40" i="7" s="1"/>
  <c r="AG40" i="7" s="1"/>
  <c r="AH40" i="7" s="1"/>
  <c r="AI40" i="7" s="1"/>
  <c r="AJ40" i="7" s="1"/>
  <c r="AK40" i="7" s="1"/>
  <c r="AL40" i="7" s="1"/>
  <c r="AM40" i="7" s="1"/>
  <c r="J41" i="7"/>
  <c r="K41" i="7" s="1"/>
  <c r="L41" i="7" s="1"/>
  <c r="M41" i="7" s="1"/>
  <c r="N41" i="7" s="1"/>
  <c r="O41" i="7" s="1"/>
  <c r="P41" i="7" s="1"/>
  <c r="Q41" i="7" s="1"/>
  <c r="R41" i="7" s="1"/>
  <c r="S41" i="7" s="1"/>
  <c r="T41" i="7" s="1"/>
  <c r="U41" i="7" s="1"/>
  <c r="V41" i="7" s="1"/>
  <c r="W41" i="7" s="1"/>
  <c r="X41" i="7" s="1"/>
  <c r="Y41" i="7" s="1"/>
  <c r="Z41" i="7" s="1"/>
  <c r="AA41" i="7" s="1"/>
  <c r="AB41" i="7" s="1"/>
  <c r="AC41" i="7" s="1"/>
  <c r="AD41" i="7" s="1"/>
  <c r="AE41" i="7" s="1"/>
  <c r="AF41" i="7" s="1"/>
  <c r="AG41" i="7" s="1"/>
  <c r="AH41" i="7" s="1"/>
  <c r="AI41" i="7" s="1"/>
  <c r="AJ41" i="7" s="1"/>
  <c r="AK41" i="7" s="1"/>
  <c r="AL41" i="7" s="1"/>
  <c r="AM41" i="7" s="1"/>
  <c r="J4" i="7"/>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K2" i="8"/>
  <c r="J9" i="8" s="1"/>
  <c r="K6" i="8"/>
  <c r="H6" i="3"/>
  <c r="AF3" i="8"/>
  <c r="AE9" i="8"/>
  <c r="AH9" i="8"/>
  <c r="AH10" i="8" s="1"/>
  <c r="AH11" i="8" s="1"/>
  <c r="AH12" i="8" s="1"/>
  <c r="AH13" i="8" s="1"/>
  <c r="AH14" i="8" s="1"/>
  <c r="AH15" i="8" s="1"/>
  <c r="AH16" i="8" s="1"/>
  <c r="AH17" i="8" s="1"/>
  <c r="AH18" i="8" s="1"/>
  <c r="AH19" i="8" s="1"/>
  <c r="AH20" i="8" s="1"/>
  <c r="AH21" i="8" s="1"/>
  <c r="AH22" i="8" s="1"/>
  <c r="AH23" i="8" s="1"/>
  <c r="AH24" i="8" s="1"/>
  <c r="AH25" i="8" s="1"/>
  <c r="AH26" i="8" s="1"/>
  <c r="AH27" i="8" s="1"/>
  <c r="AH28" i="8" s="1"/>
  <c r="AH29" i="8" s="1"/>
  <c r="AH30" i="8" s="1"/>
  <c r="AH31" i="8" s="1"/>
  <c r="AH32" i="8" s="1"/>
  <c r="AH33" i="8" s="1"/>
  <c r="AH34" i="8" s="1"/>
  <c r="AH35" i="8" s="1"/>
  <c r="AH36" i="8" s="1"/>
  <c r="AH37" i="8" s="1"/>
  <c r="AH38" i="8" s="1"/>
  <c r="AH39" i="8" s="1"/>
  <c r="AH40" i="8" s="1"/>
  <c r="AH41" i="8" s="1"/>
  <c r="AH42" i="8" s="1"/>
  <c r="AH43" i="8" s="1"/>
  <c r="AH44" i="8" s="1"/>
  <c r="AH45" i="8" s="1"/>
  <c r="AH46" i="8" s="1"/>
  <c r="AH47" i="8" s="1"/>
  <c r="AH48" i="8" s="1"/>
  <c r="AH49" i="8" s="1"/>
  <c r="AH50" i="8" s="1"/>
  <c r="AH51" i="8" s="1"/>
  <c r="AH52" i="8" s="1"/>
  <c r="AH53" i="8" s="1"/>
  <c r="AH54" i="8" s="1"/>
  <c r="AH55" i="8" s="1"/>
  <c r="AH56" i="8" s="1"/>
  <c r="AH57" i="8" s="1"/>
  <c r="AH58" i="8" s="1"/>
  <c r="AH59" i="8" s="1"/>
  <c r="AH60" i="8" s="1"/>
  <c r="AH61" i="8" s="1"/>
  <c r="AH62" i="8" s="1"/>
  <c r="AH63" i="8" s="1"/>
  <c r="AH64" i="8" s="1"/>
  <c r="AH65" i="8" s="1"/>
  <c r="AH66" i="8" s="1"/>
  <c r="AH67" i="8" s="1"/>
  <c r="AH68" i="8" s="1"/>
  <c r="AH69" i="8" s="1"/>
  <c r="AH70" i="8" s="1"/>
  <c r="AH71" i="8" s="1"/>
  <c r="AH72" i="8" s="1"/>
  <c r="AH73" i="8" s="1"/>
  <c r="AH74" i="8" s="1"/>
  <c r="AH75" i="8" s="1"/>
  <c r="AH76" i="8" s="1"/>
  <c r="AH77" i="8" s="1"/>
  <c r="AH78" i="8" s="1"/>
  <c r="AH79" i="8" s="1"/>
  <c r="AH80" i="8" s="1"/>
  <c r="AH81" i="8" s="1"/>
  <c r="AH82" i="8" s="1"/>
  <c r="AH83" i="8" s="1"/>
  <c r="AH84" i="8" s="1"/>
  <c r="AH85" i="8" s="1"/>
  <c r="AH86" i="8" s="1"/>
  <c r="AH87" i="8" s="1"/>
  <c r="AH88" i="8" s="1"/>
  <c r="AH89" i="8" s="1"/>
  <c r="AH90" i="8" s="1"/>
  <c r="AH91" i="8" s="1"/>
  <c r="AH92" i="8" s="1"/>
  <c r="AH93" i="8" s="1"/>
  <c r="AH94" i="8" s="1"/>
  <c r="AH95" i="8" s="1"/>
  <c r="AH96" i="8" s="1"/>
  <c r="AH97" i="8" s="1"/>
  <c r="AH98" i="8" s="1"/>
  <c r="AH99" i="8" s="1"/>
  <c r="AH100" i="8" s="1"/>
  <c r="AH101" i="8" s="1"/>
  <c r="AH102" i="8" s="1"/>
  <c r="AH103" i="8" s="1"/>
  <c r="AH104" i="8" s="1"/>
  <c r="AH105" i="8" s="1"/>
  <c r="AH106" i="8" s="1"/>
  <c r="AH107" i="8" s="1"/>
  <c r="AH108" i="8" s="1"/>
  <c r="AH109" i="8" s="1"/>
  <c r="AH110" i="8" s="1"/>
  <c r="AH111" i="8" s="1"/>
  <c r="AH112" i="8" s="1"/>
  <c r="AH113" i="8" s="1"/>
  <c r="AH114" i="8" s="1"/>
  <c r="AH115" i="8" s="1"/>
  <c r="AH116" i="8" s="1"/>
  <c r="AH117" i="8" s="1"/>
  <c r="AH118" i="8" s="1"/>
  <c r="AH119" i="8" s="1"/>
  <c r="AH120" i="8" s="1"/>
  <c r="AH121" i="8" s="1"/>
  <c r="AH122" i="8" s="1"/>
  <c r="AH123" i="8" s="1"/>
  <c r="AH124" i="8" s="1"/>
  <c r="AH125" i="8" s="1"/>
  <c r="AH126" i="8" s="1"/>
  <c r="AH127" i="8" s="1"/>
  <c r="AH128" i="8" s="1"/>
  <c r="AH129" i="8" s="1"/>
  <c r="AH130" i="8" s="1"/>
  <c r="AH131" i="8" s="1"/>
  <c r="AH132" i="8" s="1"/>
  <c r="AH133" i="8" s="1"/>
  <c r="AH134" i="8" s="1"/>
  <c r="AH135" i="8" s="1"/>
  <c r="AH136" i="8" s="1"/>
  <c r="AH137" i="8" s="1"/>
  <c r="AH138" i="8" s="1"/>
  <c r="AH139" i="8" s="1"/>
  <c r="AH140" i="8" s="1"/>
  <c r="AH141" i="8" s="1"/>
  <c r="AH142" i="8" s="1"/>
  <c r="AH143" i="8" s="1"/>
  <c r="AH144" i="8" s="1"/>
  <c r="AH145" i="8" s="1"/>
  <c r="AH146" i="8" s="1"/>
  <c r="AH147" i="8" s="1"/>
  <c r="AH148" i="8" s="1"/>
  <c r="AH149" i="8" s="1"/>
  <c r="AH150" i="8" s="1"/>
  <c r="AH151" i="8" s="1"/>
  <c r="AH152" i="8" s="1"/>
  <c r="AH153" i="8" s="1"/>
  <c r="AH154" i="8" s="1"/>
  <c r="AH155" i="8" s="1"/>
  <c r="AH156" i="8" s="1"/>
  <c r="AH157" i="8" s="1"/>
  <c r="AH158" i="8" s="1"/>
  <c r="AH159" i="8" s="1"/>
  <c r="AH160" i="8" s="1"/>
  <c r="AH161" i="8" s="1"/>
  <c r="AH162" i="8" s="1"/>
  <c r="AH163" i="8" s="1"/>
  <c r="AH164" i="8" s="1"/>
  <c r="AH165" i="8" s="1"/>
  <c r="AH166" i="8" s="1"/>
  <c r="AH167" i="8" s="1"/>
  <c r="AH168" i="8" s="1"/>
  <c r="AH169" i="8" s="1"/>
  <c r="AH170" i="8" s="1"/>
  <c r="AH171" i="8" s="1"/>
  <c r="AH172" i="8" s="1"/>
  <c r="AH173" i="8" s="1"/>
  <c r="AH174" i="8" s="1"/>
  <c r="AH175" i="8" s="1"/>
  <c r="AH176" i="8" s="1"/>
  <c r="AH177" i="8" s="1"/>
  <c r="AH178" i="8" s="1"/>
  <c r="AH179" i="8" s="1"/>
  <c r="AH180" i="8" s="1"/>
  <c r="AH181" i="8" s="1"/>
  <c r="AH182" i="8" s="1"/>
  <c r="AH183" i="8" s="1"/>
  <c r="AH184" i="8" s="1"/>
  <c r="AH185" i="8" s="1"/>
  <c r="AH186" i="8" s="1"/>
  <c r="AH187" i="8" s="1"/>
  <c r="AH188" i="8" s="1"/>
  <c r="AH189" i="8" s="1"/>
  <c r="AH190" i="8" s="1"/>
  <c r="AH191" i="8" s="1"/>
  <c r="AH192" i="8" s="1"/>
  <c r="AH193" i="8" s="1"/>
  <c r="AH194" i="8" s="1"/>
  <c r="AH195" i="8" s="1"/>
  <c r="AH196" i="8" s="1"/>
  <c r="AH197" i="8" s="1"/>
  <c r="AH198" i="8" s="1"/>
  <c r="AH199" i="8" s="1"/>
  <c r="AH200" i="8" s="1"/>
  <c r="AH201" i="8" s="1"/>
  <c r="AH202" i="8" s="1"/>
  <c r="AH203" i="8" s="1"/>
  <c r="AH204" i="8" s="1"/>
  <c r="AH205" i="8" s="1"/>
  <c r="AH206" i="8" s="1"/>
  <c r="AH207" i="8" s="1"/>
  <c r="AH208" i="8" s="1"/>
  <c r="AH209" i="8" s="1"/>
  <c r="AH210" i="8" s="1"/>
  <c r="AH211" i="8" s="1"/>
  <c r="AH212" i="8" s="1"/>
  <c r="AH213" i="8" s="1"/>
  <c r="AH214" i="8" s="1"/>
  <c r="AH215" i="8" s="1"/>
  <c r="AH216" i="8" s="1"/>
  <c r="AH217" i="8" s="1"/>
  <c r="AH218" i="8" s="1"/>
  <c r="AH219" i="8" s="1"/>
  <c r="AH220" i="8" s="1"/>
  <c r="AH221" i="8" s="1"/>
  <c r="AH222" i="8" s="1"/>
  <c r="AH223" i="8" s="1"/>
  <c r="AH224" i="8" s="1"/>
  <c r="AH225" i="8" s="1"/>
  <c r="AH226" i="8" s="1"/>
  <c r="AH227" i="8" s="1"/>
  <c r="AH228" i="8" s="1"/>
  <c r="AH229" i="8" s="1"/>
  <c r="AH230" i="8" s="1"/>
  <c r="AH231" i="8" s="1"/>
  <c r="AH232" i="8" s="1"/>
  <c r="AH233" i="8" s="1"/>
  <c r="AH234" i="8" s="1"/>
  <c r="AH235" i="8" s="1"/>
  <c r="AH236" i="8" s="1"/>
  <c r="AH237" i="8" s="1"/>
  <c r="AH238" i="8" s="1"/>
  <c r="AH239" i="8" s="1"/>
  <c r="AH240" i="8" s="1"/>
  <c r="AH241" i="8" s="1"/>
  <c r="AH242" i="8" s="1"/>
  <c r="AH243" i="8" s="1"/>
  <c r="AH244" i="8" s="1"/>
  <c r="AH245" i="8" s="1"/>
  <c r="AH246" i="8" s="1"/>
  <c r="AH247" i="8" s="1"/>
  <c r="AH248" i="8" s="1"/>
  <c r="AH249" i="8" s="1"/>
  <c r="AH250" i="8" s="1"/>
  <c r="AH251" i="8" s="1"/>
  <c r="AH252" i="8" s="1"/>
  <c r="AH253" i="8" s="1"/>
  <c r="AH254" i="8" s="1"/>
  <c r="AH255" i="8" s="1"/>
  <c r="AH256" i="8" s="1"/>
  <c r="AH257" i="8" s="1"/>
  <c r="AH258" i="8" s="1"/>
  <c r="AH259" i="8" s="1"/>
  <c r="AH260" i="8" s="1"/>
  <c r="AH261" i="8" s="1"/>
  <c r="AH262" i="8" s="1"/>
  <c r="AH263" i="8" s="1"/>
  <c r="AH264" i="8" s="1"/>
  <c r="AH265" i="8" s="1"/>
  <c r="AH266" i="8" s="1"/>
  <c r="AH267" i="8" s="1"/>
  <c r="AH268" i="8" s="1"/>
  <c r="AH269" i="8" s="1"/>
  <c r="AH270" i="8" s="1"/>
  <c r="AH271" i="8" s="1"/>
  <c r="AH272" i="8" s="1"/>
  <c r="AH273" i="8" s="1"/>
  <c r="AH274" i="8" s="1"/>
  <c r="AH275" i="8" s="1"/>
  <c r="AH276" i="8" s="1"/>
  <c r="AH277" i="8" s="1"/>
  <c r="AH278" i="8" s="1"/>
  <c r="AH279" i="8" s="1"/>
  <c r="AH280" i="8" s="1"/>
  <c r="AH281" i="8" s="1"/>
  <c r="AH282" i="8" s="1"/>
  <c r="AH283" i="8" s="1"/>
  <c r="AH284" i="8" s="1"/>
  <c r="AH285" i="8" s="1"/>
  <c r="AH286" i="8" s="1"/>
  <c r="AH287" i="8" s="1"/>
  <c r="AH288" i="8" s="1"/>
  <c r="AH289" i="8" s="1"/>
  <c r="AH290" i="8" s="1"/>
  <c r="AH291" i="8" s="1"/>
  <c r="AH292" i="8" s="1"/>
  <c r="AH293" i="8" s="1"/>
  <c r="AH294" i="8" s="1"/>
  <c r="AH295" i="8" s="1"/>
  <c r="AH296" i="8" s="1"/>
  <c r="AH297" i="8" s="1"/>
  <c r="AH298" i="8" s="1"/>
  <c r="AH299" i="8" s="1"/>
  <c r="AH300" i="8" s="1"/>
  <c r="AH301" i="8" s="1"/>
  <c r="AH302" i="8" s="1"/>
  <c r="AH303" i="8" s="1"/>
  <c r="AH304" i="8" s="1"/>
  <c r="AH305" i="8" s="1"/>
  <c r="AH306" i="8" s="1"/>
  <c r="AH307" i="8" s="1"/>
  <c r="AH308" i="8" s="1"/>
  <c r="AH309" i="8" s="1"/>
  <c r="AH310" i="8" s="1"/>
  <c r="AH311" i="8" s="1"/>
  <c r="AH312" i="8" s="1"/>
  <c r="AH313" i="8" s="1"/>
  <c r="AH314" i="8" s="1"/>
  <c r="AH315" i="8" s="1"/>
  <c r="AH316" i="8" s="1"/>
  <c r="AH317" i="8" s="1"/>
  <c r="AH318" i="8" s="1"/>
  <c r="AH319" i="8" s="1"/>
  <c r="AH320" i="8" s="1"/>
  <c r="AH321" i="8" s="1"/>
  <c r="AH322" i="8" s="1"/>
  <c r="AH323" i="8" s="1"/>
  <c r="AH324" i="8" s="1"/>
  <c r="AH325" i="8" s="1"/>
  <c r="AH326" i="8" s="1"/>
  <c r="AH327" i="8" s="1"/>
  <c r="AH328" i="8" s="1"/>
  <c r="AH329" i="8" s="1"/>
  <c r="AH330" i="8" s="1"/>
  <c r="AH331" i="8" s="1"/>
  <c r="AH332" i="8" s="1"/>
  <c r="AH333" i="8" s="1"/>
  <c r="AH334" i="8" s="1"/>
  <c r="AH335" i="8" s="1"/>
  <c r="AH336" i="8" s="1"/>
  <c r="AH337" i="8" s="1"/>
  <c r="AH338" i="8" s="1"/>
  <c r="AH339" i="8" s="1"/>
  <c r="AH340" i="8" s="1"/>
  <c r="AH341" i="8" s="1"/>
  <c r="AH342" i="8" s="1"/>
  <c r="AH343" i="8" s="1"/>
  <c r="AH344" i="8" s="1"/>
  <c r="AH345" i="8" s="1"/>
  <c r="AH346" i="8" s="1"/>
  <c r="AH347" i="8" s="1"/>
  <c r="AH348" i="8" s="1"/>
  <c r="AH349" i="8" s="1"/>
  <c r="AH350" i="8" s="1"/>
  <c r="AH351" i="8" s="1"/>
  <c r="AH352" i="8" s="1"/>
  <c r="AH353" i="8" s="1"/>
  <c r="AH354" i="8" s="1"/>
  <c r="AH355" i="8" s="1"/>
  <c r="AH356" i="8" s="1"/>
  <c r="AH357" i="8" s="1"/>
  <c r="AH358" i="8" s="1"/>
  <c r="AH359" i="8" s="1"/>
  <c r="AH360" i="8" s="1"/>
  <c r="AH361" i="8" s="1"/>
  <c r="AH362" i="8" s="1"/>
  <c r="AH363" i="8" s="1"/>
  <c r="AH364" i="8" s="1"/>
  <c r="AH365" i="8" s="1"/>
  <c r="AH366" i="8" s="1"/>
  <c r="AH367" i="8" s="1"/>
  <c r="Y3" i="8"/>
  <c r="X9" i="8"/>
  <c r="AA9" i="8"/>
  <c r="AA10" i="8" s="1"/>
  <c r="AA11" i="8" s="1"/>
  <c r="AA12" i="8" s="1"/>
  <c r="AA13" i="8" s="1"/>
  <c r="AA14" i="8" s="1"/>
  <c r="AA15" i="8" s="1"/>
  <c r="AA16" i="8" s="1"/>
  <c r="AA17" i="8" s="1"/>
  <c r="AA18" i="8" s="1"/>
  <c r="AA19" i="8" s="1"/>
  <c r="AA20" i="8" s="1"/>
  <c r="AA21" i="8" s="1"/>
  <c r="AA22" i="8" s="1"/>
  <c r="AA23" i="8" s="1"/>
  <c r="AA24" i="8" s="1"/>
  <c r="AA25" i="8" s="1"/>
  <c r="AA26" i="8" s="1"/>
  <c r="AA27" i="8" s="1"/>
  <c r="AA28" i="8" s="1"/>
  <c r="AA29" i="8" s="1"/>
  <c r="AA30" i="8" s="1"/>
  <c r="AA31" i="8" s="1"/>
  <c r="AA32" i="8" s="1"/>
  <c r="AA33" i="8" s="1"/>
  <c r="AA34" i="8" s="1"/>
  <c r="AA35" i="8" s="1"/>
  <c r="AA36" i="8" s="1"/>
  <c r="AA37" i="8" s="1"/>
  <c r="AA38" i="8" s="1"/>
  <c r="AA39" i="8" s="1"/>
  <c r="AA40" i="8" s="1"/>
  <c r="AA41" i="8" s="1"/>
  <c r="AA42" i="8" s="1"/>
  <c r="AA43" i="8" s="1"/>
  <c r="AA44" i="8" s="1"/>
  <c r="AA45" i="8" s="1"/>
  <c r="AA46" i="8" s="1"/>
  <c r="AA47" i="8" s="1"/>
  <c r="AA48" i="8" s="1"/>
  <c r="AA49" i="8" s="1"/>
  <c r="AA50" i="8" s="1"/>
  <c r="AA51" i="8" s="1"/>
  <c r="AA52" i="8" s="1"/>
  <c r="AA53" i="8" s="1"/>
  <c r="AA54" i="8" s="1"/>
  <c r="AA55" i="8" s="1"/>
  <c r="AA56" i="8" s="1"/>
  <c r="AA57" i="8" s="1"/>
  <c r="AA58" i="8" s="1"/>
  <c r="AA59" i="8" s="1"/>
  <c r="AA60" i="8" s="1"/>
  <c r="AA61" i="8" s="1"/>
  <c r="AA62" i="8" s="1"/>
  <c r="AA63" i="8" s="1"/>
  <c r="AA64" i="8" s="1"/>
  <c r="AA65" i="8" s="1"/>
  <c r="AA66" i="8" s="1"/>
  <c r="AA67" i="8" s="1"/>
  <c r="AA68" i="8" s="1"/>
  <c r="AA69" i="8" s="1"/>
  <c r="AA70" i="8" s="1"/>
  <c r="AA71" i="8" s="1"/>
  <c r="AA72" i="8" s="1"/>
  <c r="AA73" i="8" s="1"/>
  <c r="AA74" i="8" s="1"/>
  <c r="AA75" i="8" s="1"/>
  <c r="AA76" i="8" s="1"/>
  <c r="AA77" i="8" s="1"/>
  <c r="AA78" i="8" s="1"/>
  <c r="AA79" i="8" s="1"/>
  <c r="AA80" i="8" s="1"/>
  <c r="AA81" i="8" s="1"/>
  <c r="AA82" i="8" s="1"/>
  <c r="AA83" i="8" s="1"/>
  <c r="AA84" i="8" s="1"/>
  <c r="AA85" i="8" s="1"/>
  <c r="AA86" i="8" s="1"/>
  <c r="AA87" i="8" s="1"/>
  <c r="AA88" i="8" s="1"/>
  <c r="AA89" i="8" s="1"/>
  <c r="AA90" i="8" s="1"/>
  <c r="AA91" i="8" s="1"/>
  <c r="AA92" i="8" s="1"/>
  <c r="AA93" i="8" s="1"/>
  <c r="AA94" i="8" s="1"/>
  <c r="AA95" i="8" s="1"/>
  <c r="AA96" i="8" s="1"/>
  <c r="AA97" i="8" s="1"/>
  <c r="AA98" i="8" s="1"/>
  <c r="AA99" i="8" s="1"/>
  <c r="AA100" i="8" s="1"/>
  <c r="AA101" i="8" s="1"/>
  <c r="AA102" i="8" s="1"/>
  <c r="AA103" i="8" s="1"/>
  <c r="AA104" i="8" s="1"/>
  <c r="AA105" i="8" s="1"/>
  <c r="AA106" i="8" s="1"/>
  <c r="AA107" i="8" s="1"/>
  <c r="AA108" i="8" s="1"/>
  <c r="AA109" i="8" s="1"/>
  <c r="AA110" i="8" s="1"/>
  <c r="AA111" i="8" s="1"/>
  <c r="AA112" i="8" s="1"/>
  <c r="AA113" i="8" s="1"/>
  <c r="AA114" i="8" s="1"/>
  <c r="AA115" i="8" s="1"/>
  <c r="AA116" i="8" s="1"/>
  <c r="AA117" i="8" s="1"/>
  <c r="AA118" i="8" s="1"/>
  <c r="AA119" i="8" s="1"/>
  <c r="AA120" i="8" s="1"/>
  <c r="AA121" i="8" s="1"/>
  <c r="AA122" i="8" s="1"/>
  <c r="AA123" i="8" s="1"/>
  <c r="AA124" i="8" s="1"/>
  <c r="AA125" i="8" s="1"/>
  <c r="AA126" i="8" s="1"/>
  <c r="AA127" i="8" s="1"/>
  <c r="AA128" i="8" s="1"/>
  <c r="AA129" i="8" s="1"/>
  <c r="AA130" i="8" s="1"/>
  <c r="AA131" i="8" s="1"/>
  <c r="AA132" i="8" s="1"/>
  <c r="AA133" i="8" s="1"/>
  <c r="AA134" i="8" s="1"/>
  <c r="AA135" i="8" s="1"/>
  <c r="AA136" i="8" s="1"/>
  <c r="AA137" i="8" s="1"/>
  <c r="AA138" i="8" s="1"/>
  <c r="AA139" i="8" s="1"/>
  <c r="AA140" i="8" s="1"/>
  <c r="AA141" i="8" s="1"/>
  <c r="AA142" i="8" s="1"/>
  <c r="AA143" i="8" s="1"/>
  <c r="AA144" i="8" s="1"/>
  <c r="AA145" i="8" s="1"/>
  <c r="AA146" i="8" s="1"/>
  <c r="AA147" i="8" s="1"/>
  <c r="AA148" i="8" s="1"/>
  <c r="AA149" i="8" s="1"/>
  <c r="AA150" i="8" s="1"/>
  <c r="AA151" i="8" s="1"/>
  <c r="AA152" i="8" s="1"/>
  <c r="AA153" i="8" s="1"/>
  <c r="AA154" i="8" s="1"/>
  <c r="AA155" i="8" s="1"/>
  <c r="AA156" i="8" s="1"/>
  <c r="AA157" i="8" s="1"/>
  <c r="AA158" i="8" s="1"/>
  <c r="AA159" i="8" s="1"/>
  <c r="AA160" i="8" s="1"/>
  <c r="AA161" i="8" s="1"/>
  <c r="AA162" i="8" s="1"/>
  <c r="AA163" i="8" s="1"/>
  <c r="AA164" i="8" s="1"/>
  <c r="AA165" i="8" s="1"/>
  <c r="AA166" i="8" s="1"/>
  <c r="AA167" i="8" s="1"/>
  <c r="AA168" i="8" s="1"/>
  <c r="AA169" i="8" s="1"/>
  <c r="AA170" i="8" s="1"/>
  <c r="AA171" i="8" s="1"/>
  <c r="AA172" i="8" s="1"/>
  <c r="AA173" i="8" s="1"/>
  <c r="AA174" i="8" s="1"/>
  <c r="AA175" i="8" s="1"/>
  <c r="AA176" i="8" s="1"/>
  <c r="AA177" i="8" s="1"/>
  <c r="AA178" i="8" s="1"/>
  <c r="AA179" i="8" s="1"/>
  <c r="AA180" i="8" s="1"/>
  <c r="AA181" i="8" s="1"/>
  <c r="AA182" i="8" s="1"/>
  <c r="AA183" i="8" s="1"/>
  <c r="AA184" i="8" s="1"/>
  <c r="AA185" i="8" s="1"/>
  <c r="AA186" i="8" s="1"/>
  <c r="AA187" i="8" s="1"/>
  <c r="AA188" i="8" s="1"/>
  <c r="AA189" i="8" s="1"/>
  <c r="AA190" i="8" s="1"/>
  <c r="AA191" i="8" s="1"/>
  <c r="AA192" i="8" s="1"/>
  <c r="AA193" i="8" s="1"/>
  <c r="AA194" i="8" s="1"/>
  <c r="AA195" i="8" s="1"/>
  <c r="AA196" i="8" s="1"/>
  <c r="AA197" i="8" s="1"/>
  <c r="AA198" i="8" s="1"/>
  <c r="AA199" i="8" s="1"/>
  <c r="AA200" i="8" s="1"/>
  <c r="AA201" i="8" s="1"/>
  <c r="AA202" i="8" s="1"/>
  <c r="AA203" i="8" s="1"/>
  <c r="AA204" i="8" s="1"/>
  <c r="AA205" i="8" s="1"/>
  <c r="AA206" i="8" s="1"/>
  <c r="AA207" i="8" s="1"/>
  <c r="AA208" i="8" s="1"/>
  <c r="AA209" i="8" s="1"/>
  <c r="AA210" i="8" s="1"/>
  <c r="AA211" i="8" s="1"/>
  <c r="AA212" i="8" s="1"/>
  <c r="AA213" i="8" s="1"/>
  <c r="AA214" i="8" s="1"/>
  <c r="AA215" i="8" s="1"/>
  <c r="AA216" i="8" s="1"/>
  <c r="AA217" i="8" s="1"/>
  <c r="AA218" i="8" s="1"/>
  <c r="AA219" i="8" s="1"/>
  <c r="AA220" i="8" s="1"/>
  <c r="AA221" i="8" s="1"/>
  <c r="AA222" i="8" s="1"/>
  <c r="AA223" i="8" s="1"/>
  <c r="AA224" i="8" s="1"/>
  <c r="AA225" i="8" s="1"/>
  <c r="AA226" i="8" s="1"/>
  <c r="AA227" i="8" s="1"/>
  <c r="AA228" i="8" s="1"/>
  <c r="AA229" i="8" s="1"/>
  <c r="AA230" i="8" s="1"/>
  <c r="AA231" i="8" s="1"/>
  <c r="AA232" i="8" s="1"/>
  <c r="AA233" i="8" s="1"/>
  <c r="AA234" i="8" s="1"/>
  <c r="AA235" i="8" s="1"/>
  <c r="AA236" i="8" s="1"/>
  <c r="AA237" i="8" s="1"/>
  <c r="AA238" i="8" s="1"/>
  <c r="AA239" i="8" s="1"/>
  <c r="AA240" i="8" s="1"/>
  <c r="AA241" i="8" s="1"/>
  <c r="AA242" i="8" s="1"/>
  <c r="AA243" i="8" s="1"/>
  <c r="AA244" i="8" s="1"/>
  <c r="AA245" i="8" s="1"/>
  <c r="AA246" i="8" s="1"/>
  <c r="AA247" i="8" s="1"/>
  <c r="AA248" i="8" s="1"/>
  <c r="AA249" i="8" s="1"/>
  <c r="AA250" i="8" s="1"/>
  <c r="AA251" i="8" s="1"/>
  <c r="AA252" i="8" s="1"/>
  <c r="AA253" i="8" s="1"/>
  <c r="AA254" i="8" s="1"/>
  <c r="AA255" i="8" s="1"/>
  <c r="AA256" i="8" s="1"/>
  <c r="AA257" i="8" s="1"/>
  <c r="AA258" i="8" s="1"/>
  <c r="AA259" i="8" s="1"/>
  <c r="AA260" i="8" s="1"/>
  <c r="AA261" i="8" s="1"/>
  <c r="AA262" i="8" s="1"/>
  <c r="AA263" i="8" s="1"/>
  <c r="AA264" i="8" s="1"/>
  <c r="AA265" i="8" s="1"/>
  <c r="AA266" i="8" s="1"/>
  <c r="AA267" i="8" s="1"/>
  <c r="AA268" i="8" s="1"/>
  <c r="AA269" i="8" s="1"/>
  <c r="AA270" i="8" s="1"/>
  <c r="AA271" i="8" s="1"/>
  <c r="AA272" i="8" s="1"/>
  <c r="AA273" i="8" s="1"/>
  <c r="AA274" i="8" s="1"/>
  <c r="AA275" i="8" s="1"/>
  <c r="AA276" i="8" s="1"/>
  <c r="AA277" i="8" s="1"/>
  <c r="AA278" i="8" s="1"/>
  <c r="AA279" i="8" s="1"/>
  <c r="AA280" i="8" s="1"/>
  <c r="AA281" i="8" s="1"/>
  <c r="AA282" i="8" s="1"/>
  <c r="AA283" i="8" s="1"/>
  <c r="AA284" i="8" s="1"/>
  <c r="AA285" i="8" s="1"/>
  <c r="AA286" i="8" s="1"/>
  <c r="AA287" i="8" s="1"/>
  <c r="AA288" i="8" s="1"/>
  <c r="AA289" i="8" s="1"/>
  <c r="AA290" i="8" s="1"/>
  <c r="AA291" i="8" s="1"/>
  <c r="AA292" i="8" s="1"/>
  <c r="AA293" i="8" s="1"/>
  <c r="AA294" i="8" s="1"/>
  <c r="AA295" i="8" s="1"/>
  <c r="AA296" i="8" s="1"/>
  <c r="AA297" i="8" s="1"/>
  <c r="AA298" i="8" s="1"/>
  <c r="AA299" i="8" s="1"/>
  <c r="AA300" i="8" s="1"/>
  <c r="AA301" i="8" s="1"/>
  <c r="AA302" i="8" s="1"/>
  <c r="AA303" i="8" s="1"/>
  <c r="AA304" i="8" s="1"/>
  <c r="AA305" i="8" s="1"/>
  <c r="AA306" i="8" s="1"/>
  <c r="AA307" i="8" s="1"/>
  <c r="AA308" i="8" s="1"/>
  <c r="AA309" i="8" s="1"/>
  <c r="AA310" i="8" s="1"/>
  <c r="AA311" i="8" s="1"/>
  <c r="AA312" i="8" s="1"/>
  <c r="AA313" i="8" s="1"/>
  <c r="AA314" i="8" s="1"/>
  <c r="AA315" i="8" s="1"/>
  <c r="AA316" i="8" s="1"/>
  <c r="AA317" i="8" s="1"/>
  <c r="AA318" i="8" s="1"/>
  <c r="AA319" i="8" s="1"/>
  <c r="AA320" i="8" s="1"/>
  <c r="AA321" i="8" s="1"/>
  <c r="AA322" i="8" s="1"/>
  <c r="AA323" i="8" s="1"/>
  <c r="AA324" i="8" s="1"/>
  <c r="AA325" i="8" s="1"/>
  <c r="AA326" i="8" s="1"/>
  <c r="AA327" i="8" s="1"/>
  <c r="AA328" i="8" s="1"/>
  <c r="AA329" i="8" s="1"/>
  <c r="AA330" i="8" s="1"/>
  <c r="AA331" i="8" s="1"/>
  <c r="AA332" i="8" s="1"/>
  <c r="AA333" i="8" s="1"/>
  <c r="AA334" i="8" s="1"/>
  <c r="AA335" i="8" s="1"/>
  <c r="AA336" i="8" s="1"/>
  <c r="AA337" i="8" s="1"/>
  <c r="AA338" i="8" s="1"/>
  <c r="AA339" i="8" s="1"/>
  <c r="AA340" i="8" s="1"/>
  <c r="AA341" i="8" s="1"/>
  <c r="AA342" i="8" s="1"/>
  <c r="AA343" i="8" s="1"/>
  <c r="AA344" i="8" s="1"/>
  <c r="AA345" i="8" s="1"/>
  <c r="AA346" i="8" s="1"/>
  <c r="AA347" i="8" s="1"/>
  <c r="AA348" i="8" s="1"/>
  <c r="AA349" i="8" s="1"/>
  <c r="AA350" i="8" s="1"/>
  <c r="AA351" i="8" s="1"/>
  <c r="AA352" i="8" s="1"/>
  <c r="AA353" i="8" s="1"/>
  <c r="AA354" i="8" s="1"/>
  <c r="AA355" i="8" s="1"/>
  <c r="AA356" i="8" s="1"/>
  <c r="AA357" i="8" s="1"/>
  <c r="AA358" i="8" s="1"/>
  <c r="AA359" i="8" s="1"/>
  <c r="AA360" i="8" s="1"/>
  <c r="AA361" i="8" s="1"/>
  <c r="AA362" i="8" s="1"/>
  <c r="AA363" i="8" s="1"/>
  <c r="AA364" i="8" s="1"/>
  <c r="AA365" i="8" s="1"/>
  <c r="AA366" i="8" s="1"/>
  <c r="AA367" i="8" s="1"/>
  <c r="F9" i="8"/>
  <c r="G9" i="8" s="1"/>
  <c r="AL9" i="8" s="1"/>
  <c r="E9" i="8"/>
  <c r="AK9" i="8" s="1"/>
  <c r="R6" i="8"/>
  <c r="R3" i="8"/>
  <c r="R2" i="8"/>
  <c r="Q9" i="8" s="1"/>
  <c r="E9" i="3"/>
  <c r="E8" i="3"/>
  <c r="E7" i="3"/>
  <c r="E6" i="3"/>
  <c r="AF4" i="8"/>
  <c r="Y4" i="8"/>
  <c r="R4" i="8"/>
  <c r="D10" i="8"/>
  <c r="F10" i="8" s="1"/>
  <c r="G10" i="8" s="1"/>
  <c r="AL10" i="8" s="1"/>
  <c r="K4" i="8"/>
  <c r="AQ9" i="8" l="1"/>
  <c r="AQ6" i="8"/>
  <c r="I6" i="3"/>
  <c r="J6" i="3" s="1"/>
  <c r="K6" i="3" s="1"/>
  <c r="L6" i="3" s="1"/>
  <c r="M6" i="3" s="1"/>
  <c r="N6" i="3" s="1"/>
  <c r="O6" i="3" s="1"/>
  <c r="P6" i="3" s="1"/>
  <c r="Q6" i="3" s="1"/>
  <c r="R6" i="3" s="1"/>
  <c r="S6" i="3" s="1"/>
  <c r="T6" i="3" s="1"/>
  <c r="U6" i="3" s="1"/>
  <c r="V6" i="3" s="1"/>
  <c r="W6" i="3" s="1"/>
  <c r="X6" i="3" s="1"/>
  <c r="Y6" i="3" s="1"/>
  <c r="Z6" i="3" s="1"/>
  <c r="AA6" i="3" s="1"/>
  <c r="AB6" i="3" s="1"/>
  <c r="AC6" i="3" s="1"/>
  <c r="AD6" i="3" s="1"/>
  <c r="AE6" i="3" s="1"/>
  <c r="AF6" i="3" s="1"/>
  <c r="AG6" i="3" s="1"/>
  <c r="AH6" i="3" s="1"/>
  <c r="AI6" i="3" s="1"/>
  <c r="AJ6" i="3" s="1"/>
  <c r="AK6" i="3" s="1"/>
  <c r="H6" i="10"/>
  <c r="H33" i="10" s="1"/>
  <c r="L3" i="7"/>
  <c r="E10" i="8"/>
  <c r="AK10" i="8" s="1"/>
  <c r="H9" i="8"/>
  <c r="AF9" i="8" s="1"/>
  <c r="H10" i="8"/>
  <c r="D11" i="8"/>
  <c r="AI9" i="8" l="1"/>
  <c r="AE10" i="8" s="1"/>
  <c r="AO9" i="8"/>
  <c r="I6" i="10"/>
  <c r="I33" i="10" s="1"/>
  <c r="K9" i="8"/>
  <c r="M9" i="8" s="1"/>
  <c r="R9" i="8"/>
  <c r="M3" i="7"/>
  <c r="Y9" i="8"/>
  <c r="T9" i="8"/>
  <c r="AG9" i="8"/>
  <c r="F11" i="8"/>
  <c r="E11" i="8"/>
  <c r="AK11" i="8" s="1"/>
  <c r="D12" i="8"/>
  <c r="AB9" i="8" l="1"/>
  <c r="X10" i="8" s="1"/>
  <c r="Y10" i="8" s="1"/>
  <c r="AN9" i="8"/>
  <c r="S9" i="8"/>
  <c r="AM9" i="8"/>
  <c r="L9" i="8"/>
  <c r="AT9" i="8" s="1"/>
  <c r="J6" i="10"/>
  <c r="J33" i="10" s="1"/>
  <c r="N9" i="8"/>
  <c r="U9" i="8"/>
  <c r="Q10" i="8" s="1"/>
  <c r="R10" i="8" s="1"/>
  <c r="N3" i="7"/>
  <c r="Z9" i="8"/>
  <c r="H11" i="8"/>
  <c r="G11" i="8"/>
  <c r="AL11" i="8" s="1"/>
  <c r="AF10" i="8"/>
  <c r="AO10" i="8" s="1"/>
  <c r="T10" i="8"/>
  <c r="F12" i="8"/>
  <c r="E12" i="8"/>
  <c r="AK12" i="8" s="1"/>
  <c r="D13" i="8"/>
  <c r="AV9" i="8" l="1"/>
  <c r="AR9" i="8"/>
  <c r="AB10" i="8"/>
  <c r="X11" i="8" s="1"/>
  <c r="Y11" i="8" s="1"/>
  <c r="AN10" i="8"/>
  <c r="AM10" i="8"/>
  <c r="AG10" i="8"/>
  <c r="AP9" i="8"/>
  <c r="AS9" i="8" s="1"/>
  <c r="Z10" i="8"/>
  <c r="K6" i="10"/>
  <c r="K33" i="10" s="1"/>
  <c r="J10" i="8"/>
  <c r="O3" i="7"/>
  <c r="H12" i="8"/>
  <c r="G12" i="8"/>
  <c r="AL12" i="8" s="1"/>
  <c r="U10" i="8"/>
  <c r="S10" i="8"/>
  <c r="AI10" i="8"/>
  <c r="AE11" i="8" s="1"/>
  <c r="F13" i="8"/>
  <c r="E13" i="8"/>
  <c r="AK13" i="8" s="1"/>
  <c r="D14" i="8"/>
  <c r="AQ10" i="8" l="1"/>
  <c r="AF11" i="8"/>
  <c r="AO11" i="8" s="1"/>
  <c r="AP10" i="8"/>
  <c r="AS10" i="8" s="1"/>
  <c r="AN11" i="8"/>
  <c r="Z11" i="8"/>
  <c r="K10" i="8"/>
  <c r="M10" i="8" s="1"/>
  <c r="M11" i="8" s="1"/>
  <c r="L6" i="10"/>
  <c r="L33" i="10" s="1"/>
  <c r="P3" i="7"/>
  <c r="AB11" i="8"/>
  <c r="X12" i="8" s="1"/>
  <c r="Y12" i="8" s="1"/>
  <c r="H13" i="8"/>
  <c r="G13" i="8"/>
  <c r="AL13" i="8" s="1"/>
  <c r="Q11" i="8"/>
  <c r="F14" i="8"/>
  <c r="E14" i="8"/>
  <c r="AK14" i="8" s="1"/>
  <c r="D15" i="8"/>
  <c r="AI11" i="8" l="1"/>
  <c r="AE12" i="8" s="1"/>
  <c r="AF12" i="8" s="1"/>
  <c r="AG11" i="8"/>
  <c r="AN12" i="8"/>
  <c r="N10" i="8"/>
  <c r="Z12" i="8"/>
  <c r="L10" i="8"/>
  <c r="AT10" i="8" s="1"/>
  <c r="M6" i="10"/>
  <c r="M33" i="10" s="1"/>
  <c r="Q3" i="7"/>
  <c r="AB12" i="8"/>
  <c r="X13" i="8" s="1"/>
  <c r="Y13" i="8" s="1"/>
  <c r="H14" i="8"/>
  <c r="G14" i="8"/>
  <c r="AL14" i="8" s="1"/>
  <c r="R11" i="8"/>
  <c r="E15" i="8"/>
  <c r="AK15" i="8" s="1"/>
  <c r="F15" i="8"/>
  <c r="D16" i="8"/>
  <c r="AO12" i="8" l="1"/>
  <c r="AR10" i="8"/>
  <c r="AV10" i="8"/>
  <c r="AN13" i="8"/>
  <c r="AM11" i="8"/>
  <c r="AG12" i="8"/>
  <c r="J11" i="8"/>
  <c r="Z13" i="8"/>
  <c r="N6" i="10"/>
  <c r="N33" i="10" s="1"/>
  <c r="R3" i="7"/>
  <c r="AB13" i="8"/>
  <c r="X14" i="8" s="1"/>
  <c r="Y14" i="8" s="1"/>
  <c r="H15" i="8"/>
  <c r="G15" i="8"/>
  <c r="AL15" i="8" s="1"/>
  <c r="U11" i="8"/>
  <c r="AI12" i="8"/>
  <c r="AE13" i="8" s="1"/>
  <c r="S11" i="8"/>
  <c r="T11" i="8"/>
  <c r="E16" i="8"/>
  <c r="AK16" i="8" s="1"/>
  <c r="F16" i="8"/>
  <c r="D17" i="8"/>
  <c r="AN14" i="8" l="1"/>
  <c r="AP11" i="8"/>
  <c r="AS12" i="8" s="1"/>
  <c r="AS11" i="8"/>
  <c r="AQ11" i="8"/>
  <c r="K11" i="8"/>
  <c r="Z14" i="8"/>
  <c r="O6" i="10"/>
  <c r="O33" i="10" s="1"/>
  <c r="S3" i="7"/>
  <c r="AB14" i="8"/>
  <c r="X15" i="8" s="1"/>
  <c r="Y15" i="8" s="1"/>
  <c r="AN15" i="8" s="1"/>
  <c r="H16" i="8"/>
  <c r="G16" i="8"/>
  <c r="AL16" i="8" s="1"/>
  <c r="AF13" i="8"/>
  <c r="AO13" i="8" s="1"/>
  <c r="M12" i="8"/>
  <c r="E17" i="8"/>
  <c r="AK17" i="8" s="1"/>
  <c r="F17" i="8"/>
  <c r="D18" i="8"/>
  <c r="N11" i="8" l="1"/>
  <c r="L11" i="8"/>
  <c r="AT11" i="8" s="1"/>
  <c r="AG13" i="8"/>
  <c r="Z15" i="8"/>
  <c r="P6" i="10"/>
  <c r="P33" i="10" s="1"/>
  <c r="T3" i="7"/>
  <c r="H17" i="8"/>
  <c r="G17" i="8"/>
  <c r="AL17" i="8" s="1"/>
  <c r="AI13" i="8"/>
  <c r="AE14" i="8" s="1"/>
  <c r="AB15" i="8"/>
  <c r="X16" i="8" s="1"/>
  <c r="Q12" i="8"/>
  <c r="E18" i="8"/>
  <c r="AK18" i="8" s="1"/>
  <c r="F18" i="8"/>
  <c r="D19" i="8"/>
  <c r="AR11" i="8" l="1"/>
  <c r="AV11" i="8"/>
  <c r="AF14" i="8"/>
  <c r="AO14" i="8" s="1"/>
  <c r="J12" i="8"/>
  <c r="Q6" i="10"/>
  <c r="Q33" i="10" s="1"/>
  <c r="U3" i="7"/>
  <c r="H18" i="8"/>
  <c r="G18" i="8"/>
  <c r="AL18" i="8" s="1"/>
  <c r="R12" i="8"/>
  <c r="Y16" i="8"/>
  <c r="AN16" i="8" s="1"/>
  <c r="T12" i="8"/>
  <c r="F19" i="8"/>
  <c r="E19" i="8"/>
  <c r="AK19" i="8" s="1"/>
  <c r="D20" i="8"/>
  <c r="AQ12" i="8" l="1"/>
  <c r="AG14" i="8"/>
  <c r="AI14" i="8"/>
  <c r="AE15" i="8" s="1"/>
  <c r="AF15" i="8" s="1"/>
  <c r="AO15" i="8" s="1"/>
  <c r="AM12" i="8"/>
  <c r="AP12" i="8" s="1"/>
  <c r="K12" i="8"/>
  <c r="L12" i="8" s="1"/>
  <c r="AT12" i="8" s="1"/>
  <c r="Z16" i="8"/>
  <c r="R6" i="10"/>
  <c r="R33" i="10" s="1"/>
  <c r="V3" i="7"/>
  <c r="U12" i="8"/>
  <c r="H19" i="8"/>
  <c r="G19" i="8"/>
  <c r="AL19" i="8" s="1"/>
  <c r="S12" i="8"/>
  <c r="AB16" i="8"/>
  <c r="X17" i="8" s="1"/>
  <c r="M13" i="8"/>
  <c r="F20" i="8"/>
  <c r="E20" i="8"/>
  <c r="AK20" i="8" s="1"/>
  <c r="D21" i="8"/>
  <c r="N12" i="8" l="1"/>
  <c r="J13" i="8" s="1"/>
  <c r="AG15" i="8"/>
  <c r="S6" i="10"/>
  <c r="S33" i="10" s="1"/>
  <c r="W3" i="7"/>
  <c r="H20" i="8"/>
  <c r="G20" i="8"/>
  <c r="AL20" i="8" s="1"/>
  <c r="AI15" i="8"/>
  <c r="AE16" i="8" s="1"/>
  <c r="Y17" i="8"/>
  <c r="AN17" i="8" s="1"/>
  <c r="Q13" i="8"/>
  <c r="F21" i="8"/>
  <c r="G21" i="8" s="1"/>
  <c r="AL21" i="8" s="1"/>
  <c r="E21" i="8"/>
  <c r="AK21" i="8" s="1"/>
  <c r="D22" i="8"/>
  <c r="K13" i="8" l="1"/>
  <c r="N13" i="8" s="1"/>
  <c r="AQ13" i="8"/>
  <c r="AR12" i="8"/>
  <c r="AV12" i="8"/>
  <c r="Z17" i="8"/>
  <c r="T6" i="10"/>
  <c r="T33" i="10" s="1"/>
  <c r="X3" i="7"/>
  <c r="H21" i="8"/>
  <c r="AF16" i="8"/>
  <c r="AO16" i="8" s="1"/>
  <c r="R13" i="8"/>
  <c r="AB17" i="8"/>
  <c r="X18" i="8" s="1"/>
  <c r="T13" i="8"/>
  <c r="F22" i="8"/>
  <c r="E22" i="8"/>
  <c r="AK22" i="8" s="1"/>
  <c r="D23" i="8"/>
  <c r="L13" i="8" l="1"/>
  <c r="J14" i="8"/>
  <c r="K14" i="8" s="1"/>
  <c r="N14" i="8" s="1"/>
  <c r="AM13" i="8"/>
  <c r="AP13" i="8" s="1"/>
  <c r="AS13" i="8" s="1"/>
  <c r="AG16" i="8"/>
  <c r="U6" i="10"/>
  <c r="U33" i="10" s="1"/>
  <c r="Y3" i="7"/>
  <c r="H22" i="8"/>
  <c r="G22" i="8"/>
  <c r="AL22" i="8" s="1"/>
  <c r="S13" i="8"/>
  <c r="AI16" i="8"/>
  <c r="AE17" i="8" s="1"/>
  <c r="U13" i="8"/>
  <c r="AR13" i="8" s="1"/>
  <c r="Y18" i="8"/>
  <c r="AN18" i="8" s="1"/>
  <c r="L14" i="8"/>
  <c r="M14" i="8"/>
  <c r="E23" i="8"/>
  <c r="AK23" i="8" s="1"/>
  <c r="F23" i="8"/>
  <c r="D24" i="8"/>
  <c r="AT13" i="8" l="1"/>
  <c r="AV13" i="8"/>
  <c r="Z18" i="8"/>
  <c r="V6" i="10"/>
  <c r="V33" i="10" s="1"/>
  <c r="Z3" i="7"/>
  <c r="Q14" i="8"/>
  <c r="AQ14" i="8" s="1"/>
  <c r="H23" i="8"/>
  <c r="G23" i="8"/>
  <c r="AL23" i="8" s="1"/>
  <c r="AB18" i="8"/>
  <c r="X19" i="8" s="1"/>
  <c r="Y19" i="8" s="1"/>
  <c r="AN19" i="8" s="1"/>
  <c r="AF17" i="8"/>
  <c r="AO17" i="8" s="1"/>
  <c r="T14" i="8"/>
  <c r="J15" i="8"/>
  <c r="E24" i="8"/>
  <c r="AK24" i="8" s="1"/>
  <c r="F24" i="8"/>
  <c r="D25" i="8"/>
  <c r="AG17" i="8" l="1"/>
  <c r="Z19" i="8"/>
  <c r="R14" i="8"/>
  <c r="W6" i="10"/>
  <c r="W33" i="10" s="1"/>
  <c r="AA3" i="7"/>
  <c r="H24" i="8"/>
  <c r="G24" i="8"/>
  <c r="AL24" i="8" s="1"/>
  <c r="AI17" i="8"/>
  <c r="AE18" i="8" s="1"/>
  <c r="AB19" i="8"/>
  <c r="X20" i="8" s="1"/>
  <c r="K15" i="8"/>
  <c r="N15" i="8" s="1"/>
  <c r="E25" i="8"/>
  <c r="AK25" i="8" s="1"/>
  <c r="F25" i="8"/>
  <c r="G25" i="8" s="1"/>
  <c r="AL25" i="8" s="1"/>
  <c r="D26" i="8"/>
  <c r="AM14" i="8" l="1"/>
  <c r="AP14" i="8" s="1"/>
  <c r="AS14" i="8" s="1"/>
  <c r="U14" i="8"/>
  <c r="S14" i="8"/>
  <c r="AT14" i="8" s="1"/>
  <c r="X6" i="10"/>
  <c r="X33" i="10" s="1"/>
  <c r="AB3" i="7"/>
  <c r="H25" i="8"/>
  <c r="AF18" i="8"/>
  <c r="AO18" i="8" s="1"/>
  <c r="Y20" i="8"/>
  <c r="AN20" i="8" s="1"/>
  <c r="T15" i="8"/>
  <c r="L15" i="8"/>
  <c r="M15" i="8"/>
  <c r="F26" i="8"/>
  <c r="E26" i="8"/>
  <c r="AK26" i="8" s="1"/>
  <c r="D27" i="8"/>
  <c r="AR14" i="8" l="1"/>
  <c r="AV14" i="8"/>
  <c r="Q15" i="8"/>
  <c r="AG18" i="8"/>
  <c r="Z20" i="8"/>
  <c r="Y6" i="10"/>
  <c r="Y33" i="10" s="1"/>
  <c r="AC3" i="7"/>
  <c r="H26" i="8"/>
  <c r="G26" i="8"/>
  <c r="AL26" i="8" s="1"/>
  <c r="AI18" i="8"/>
  <c r="AE19" i="8" s="1"/>
  <c r="AB20" i="8"/>
  <c r="X21" i="8" s="1"/>
  <c r="J16" i="8"/>
  <c r="F27" i="8"/>
  <c r="E27" i="8"/>
  <c r="AK27" i="8" s="1"/>
  <c r="D28" i="8"/>
  <c r="AQ15" i="8" l="1"/>
  <c r="R15" i="8"/>
  <c r="Z6" i="10"/>
  <c r="Z33" i="10" s="1"/>
  <c r="AD3" i="7"/>
  <c r="H27" i="8"/>
  <c r="G27" i="8"/>
  <c r="AL27" i="8" s="1"/>
  <c r="AF19" i="8"/>
  <c r="AO19" i="8" s="1"/>
  <c r="Y21" i="8"/>
  <c r="AN21" i="8" s="1"/>
  <c r="T16" i="8"/>
  <c r="K16" i="8"/>
  <c r="N16" i="8" s="1"/>
  <c r="F28" i="8"/>
  <c r="G28" i="8" s="1"/>
  <c r="AL28" i="8" s="1"/>
  <c r="E28" i="8"/>
  <c r="AK28" i="8" s="1"/>
  <c r="D29" i="8"/>
  <c r="AM15" i="8" l="1"/>
  <c r="AP15" i="8" s="1"/>
  <c r="AS15" i="8" s="1"/>
  <c r="U15" i="8"/>
  <c r="S15" i="8"/>
  <c r="AT15" i="8" s="1"/>
  <c r="AG19" i="8"/>
  <c r="Z21" i="8"/>
  <c r="AA6" i="10"/>
  <c r="AA33" i="10" s="1"/>
  <c r="AE3" i="7"/>
  <c r="H28" i="8"/>
  <c r="AI19" i="8"/>
  <c r="AE20" i="8" s="1"/>
  <c r="AB21" i="8"/>
  <c r="X22" i="8" s="1"/>
  <c r="L16" i="8"/>
  <c r="M16" i="8"/>
  <c r="F29" i="8"/>
  <c r="E29" i="8"/>
  <c r="AK29" i="8" s="1"/>
  <c r="D30" i="8"/>
  <c r="AR15" i="8" l="1"/>
  <c r="AV15" i="8"/>
  <c r="Q16" i="8"/>
  <c r="AB6" i="10"/>
  <c r="AB33" i="10" s="1"/>
  <c r="AF3" i="7"/>
  <c r="H29" i="8"/>
  <c r="G29" i="8"/>
  <c r="AL29" i="8" s="1"/>
  <c r="AF20" i="8"/>
  <c r="AO20" i="8" s="1"/>
  <c r="Y22" i="8"/>
  <c r="AN22" i="8" s="1"/>
  <c r="T17" i="8"/>
  <c r="E30" i="8"/>
  <c r="AK30" i="8" s="1"/>
  <c r="F30" i="8"/>
  <c r="D31" i="8"/>
  <c r="AQ16" i="8" l="1"/>
  <c r="R16" i="8"/>
  <c r="U16" i="8" s="1"/>
  <c r="AG20" i="8"/>
  <c r="Z22" i="8"/>
  <c r="AC6" i="10"/>
  <c r="AC33" i="10" s="1"/>
  <c r="AG3" i="7"/>
  <c r="H30" i="8"/>
  <c r="G30" i="8"/>
  <c r="AL30" i="8" s="1"/>
  <c r="AI20" i="8"/>
  <c r="AE21" i="8" s="1"/>
  <c r="AB22" i="8"/>
  <c r="X23" i="8" s="1"/>
  <c r="J17" i="8"/>
  <c r="E31" i="8"/>
  <c r="AK31" i="8" s="1"/>
  <c r="F31" i="8"/>
  <c r="G31" i="8" s="1"/>
  <c r="AL31" i="8" s="1"/>
  <c r="D32" i="8"/>
  <c r="AR16" i="8" l="1"/>
  <c r="AV16" i="8"/>
  <c r="S16" i="8"/>
  <c r="AT16" i="8" s="1"/>
  <c r="Q17" i="8"/>
  <c r="AQ17" i="8" s="1"/>
  <c r="AM16" i="8"/>
  <c r="AP16" i="8" s="1"/>
  <c r="AS16" i="8" s="1"/>
  <c r="AD6" i="10"/>
  <c r="AD33" i="10" s="1"/>
  <c r="AH3" i="7"/>
  <c r="H31" i="8"/>
  <c r="AF21" i="8"/>
  <c r="AO21" i="8" s="1"/>
  <c r="Y23" i="8"/>
  <c r="AN23" i="8" s="1"/>
  <c r="K17" i="8"/>
  <c r="N17" i="8" s="1"/>
  <c r="T18" i="8"/>
  <c r="M17" i="8"/>
  <c r="E32" i="8"/>
  <c r="AK32" i="8" s="1"/>
  <c r="F32" i="8"/>
  <c r="G32" i="8" s="1"/>
  <c r="AL32" i="8" s="1"/>
  <c r="D33" i="8"/>
  <c r="R17" i="8" l="1"/>
  <c r="U17" i="8" s="1"/>
  <c r="AV17" i="8" s="1"/>
  <c r="AG21" i="8"/>
  <c r="Z23" i="8"/>
  <c r="AE6" i="10"/>
  <c r="AE33" i="10" s="1"/>
  <c r="AI3" i="7"/>
  <c r="H32" i="8"/>
  <c r="AI21" i="8"/>
  <c r="AE22" i="8" s="1"/>
  <c r="AB23" i="8"/>
  <c r="X24" i="8" s="1"/>
  <c r="L17" i="8"/>
  <c r="J18" i="8"/>
  <c r="M18" i="8"/>
  <c r="E33" i="8"/>
  <c r="AK33" i="8" s="1"/>
  <c r="F33" i="8"/>
  <c r="D34" i="8"/>
  <c r="Q18" i="8" l="1"/>
  <c r="AQ18" i="8" s="1"/>
  <c r="AR17" i="8"/>
  <c r="S17" i="8"/>
  <c r="AT17" i="8" s="1"/>
  <c r="AM17" i="8"/>
  <c r="AF6" i="10"/>
  <c r="AF33" i="10" s="1"/>
  <c r="AJ3" i="7"/>
  <c r="H33" i="8"/>
  <c r="G33" i="8"/>
  <c r="AL33" i="8" s="1"/>
  <c r="AF22" i="8"/>
  <c r="AO22" i="8" s="1"/>
  <c r="Y24" i="8"/>
  <c r="AN24" i="8" s="1"/>
  <c r="K18" i="8"/>
  <c r="L18" i="8" s="1"/>
  <c r="T19" i="8"/>
  <c r="E34" i="8"/>
  <c r="AK34" i="8" s="1"/>
  <c r="F34" i="8"/>
  <c r="D35" i="8"/>
  <c r="AT18" i="8" l="1"/>
  <c r="AP17" i="8"/>
  <c r="AS17" i="8" s="1"/>
  <c r="R18" i="8"/>
  <c r="S18" i="8" s="1"/>
  <c r="AG22" i="8"/>
  <c r="Z24" i="8"/>
  <c r="AG6" i="10"/>
  <c r="AG33" i="10" s="1"/>
  <c r="AK3" i="7"/>
  <c r="H34" i="8"/>
  <c r="G34" i="8"/>
  <c r="AL34" i="8" s="1"/>
  <c r="AI22" i="8"/>
  <c r="AE23" i="8" s="1"/>
  <c r="AB24" i="8"/>
  <c r="X25" i="8" s="1"/>
  <c r="N18" i="8"/>
  <c r="F35" i="8"/>
  <c r="E35" i="8"/>
  <c r="AK35" i="8" s="1"/>
  <c r="D36" i="8"/>
  <c r="AM18" i="8" l="1"/>
  <c r="AP18" i="8" s="1"/>
  <c r="AS18" i="8" s="1"/>
  <c r="U18" i="8"/>
  <c r="Q19" i="8" s="1"/>
  <c r="AL3" i="7"/>
  <c r="H35" i="8"/>
  <c r="G35" i="8"/>
  <c r="AL35" i="8" s="1"/>
  <c r="J19" i="8"/>
  <c r="AF23" i="8"/>
  <c r="AO23" i="8" s="1"/>
  <c r="Y25" i="8"/>
  <c r="AN25" i="8" s="1"/>
  <c r="M19" i="8"/>
  <c r="F36" i="8"/>
  <c r="E36" i="8"/>
  <c r="AK36" i="8" s="1"/>
  <c r="D37" i="8"/>
  <c r="AV18" i="8" l="1"/>
  <c r="AQ19" i="8"/>
  <c r="R19" i="8"/>
  <c r="U19" i="8" s="1"/>
  <c r="Q20" i="8" s="1"/>
  <c r="R20" i="8" s="1"/>
  <c r="AR18" i="8"/>
  <c r="AG23" i="8"/>
  <c r="Z25" i="8"/>
  <c r="K19" i="8"/>
  <c r="N19" i="8" s="1"/>
  <c r="AM3" i="7"/>
  <c r="H36" i="8"/>
  <c r="G36" i="8"/>
  <c r="AL36" i="8" s="1"/>
  <c r="AI23" i="8"/>
  <c r="AE24" i="8" s="1"/>
  <c r="AB25" i="8"/>
  <c r="X26" i="8" s="1"/>
  <c r="T20" i="8"/>
  <c r="F37" i="8"/>
  <c r="E37" i="8"/>
  <c r="AK37" i="8" s="1"/>
  <c r="D38" i="8"/>
  <c r="AV19" i="8" l="1"/>
  <c r="AR19" i="8"/>
  <c r="AM19" i="8"/>
  <c r="AP19" i="8" s="1"/>
  <c r="AS19" i="8" s="1"/>
  <c r="S19" i="8"/>
  <c r="L19" i="8"/>
  <c r="AT19" i="8" s="1"/>
  <c r="J20" i="8"/>
  <c r="AQ20" i="8" s="1"/>
  <c r="U20" i="8"/>
  <c r="Q21" i="8" s="1"/>
  <c r="H37" i="8"/>
  <c r="G37" i="8"/>
  <c r="AL37" i="8" s="1"/>
  <c r="S20" i="8"/>
  <c r="AF24" i="8"/>
  <c r="AO24" i="8" s="1"/>
  <c r="Y26" i="8"/>
  <c r="AN26" i="8" s="1"/>
  <c r="F38" i="8"/>
  <c r="E38" i="8"/>
  <c r="AK38" i="8" s="1"/>
  <c r="D39" i="8"/>
  <c r="AM20" i="8" l="1"/>
  <c r="AP20" i="8" s="1"/>
  <c r="AS20" i="8" s="1"/>
  <c r="AG24" i="8"/>
  <c r="K20" i="8"/>
  <c r="N20" i="8" s="1"/>
  <c r="Z26" i="8"/>
  <c r="H38" i="8"/>
  <c r="G38" i="8"/>
  <c r="AL38" i="8" s="1"/>
  <c r="AB26" i="8"/>
  <c r="X27" i="8" s="1"/>
  <c r="Y27" i="8" s="1"/>
  <c r="AN27" i="8" s="1"/>
  <c r="AI24" i="8"/>
  <c r="AE25" i="8" s="1"/>
  <c r="R21" i="8"/>
  <c r="T21" i="8"/>
  <c r="M20" i="8"/>
  <c r="E39" i="8"/>
  <c r="AK39" i="8" s="1"/>
  <c r="F39" i="8"/>
  <c r="D40" i="8"/>
  <c r="AR20" i="8" l="1"/>
  <c r="AV20" i="8"/>
  <c r="AM21" i="8"/>
  <c r="AP21" i="8" s="1"/>
  <c r="AS21" i="8" s="1"/>
  <c r="L20" i="8"/>
  <c r="AT20" i="8" s="1"/>
  <c r="Z27" i="8"/>
  <c r="H39" i="8"/>
  <c r="G39" i="8"/>
  <c r="AL39" i="8" s="1"/>
  <c r="U21" i="8"/>
  <c r="Q22" i="8" s="1"/>
  <c r="S21" i="8"/>
  <c r="AF25" i="8"/>
  <c r="AO25" i="8" s="1"/>
  <c r="AB27" i="8"/>
  <c r="X28" i="8" s="1"/>
  <c r="E40" i="8"/>
  <c r="AK40" i="8" s="1"/>
  <c r="F40" i="8"/>
  <c r="G40" i="8" s="1"/>
  <c r="AL40" i="8" s="1"/>
  <c r="D41" i="8"/>
  <c r="AG25" i="8" l="1"/>
  <c r="H40" i="8"/>
  <c r="AI25" i="8"/>
  <c r="AE26" i="8" s="1"/>
  <c r="R22" i="8"/>
  <c r="Y28" i="8"/>
  <c r="AN28" i="8" s="1"/>
  <c r="T22" i="8"/>
  <c r="J21" i="8"/>
  <c r="F41" i="8"/>
  <c r="E41" i="8"/>
  <c r="AK41" i="8" s="1"/>
  <c r="D42" i="8"/>
  <c r="AQ21" i="8" l="1"/>
  <c r="AM22" i="8"/>
  <c r="AP22" i="8" s="1"/>
  <c r="AS22" i="8" s="1"/>
  <c r="Z28" i="8"/>
  <c r="H41" i="8"/>
  <c r="G41" i="8"/>
  <c r="AL41" i="8" s="1"/>
  <c r="U22" i="8"/>
  <c r="Q23" i="8" s="1"/>
  <c r="S22" i="8"/>
  <c r="AF26" i="8"/>
  <c r="AO26" i="8" s="1"/>
  <c r="AB28" i="8"/>
  <c r="X29" i="8" s="1"/>
  <c r="K21" i="8"/>
  <c r="N21" i="8" s="1"/>
  <c r="F42" i="8"/>
  <c r="E42" i="8"/>
  <c r="AK42" i="8" s="1"/>
  <c r="D43" i="8"/>
  <c r="AR21" i="8" l="1"/>
  <c r="AV21" i="8"/>
  <c r="AG26" i="8"/>
  <c r="H42" i="8"/>
  <c r="G42" i="8"/>
  <c r="AL42" i="8" s="1"/>
  <c r="AI26" i="8"/>
  <c r="AE27" i="8" s="1"/>
  <c r="R23" i="8"/>
  <c r="Y29" i="8"/>
  <c r="AN29" i="8" s="1"/>
  <c r="T23" i="8"/>
  <c r="L21" i="8"/>
  <c r="AT21" i="8" s="1"/>
  <c r="M21" i="8"/>
  <c r="F43" i="8"/>
  <c r="E43" i="8"/>
  <c r="AK43" i="8" s="1"/>
  <c r="D44" i="8"/>
  <c r="D45" i="8" s="1"/>
  <c r="AM23" i="8" l="1"/>
  <c r="AP23" i="8" s="1"/>
  <c r="AS23" i="8" s="1"/>
  <c r="Z29" i="8"/>
  <c r="S23" i="8"/>
  <c r="H43" i="8"/>
  <c r="G43" i="8"/>
  <c r="AL43" i="8" s="1"/>
  <c r="AF27" i="8"/>
  <c r="AO27" i="8" s="1"/>
  <c r="U23" i="8"/>
  <c r="Q24" i="8" s="1"/>
  <c r="AB29" i="8"/>
  <c r="X30" i="8" s="1"/>
  <c r="D46" i="8"/>
  <c r="F45" i="8"/>
  <c r="E45" i="8"/>
  <c r="AK45" i="8" s="1"/>
  <c r="F44" i="8"/>
  <c r="E44" i="8"/>
  <c r="AK44" i="8" s="1"/>
  <c r="AG27" i="8" l="1"/>
  <c r="H44" i="8"/>
  <c r="G44" i="8"/>
  <c r="AL44" i="8" s="1"/>
  <c r="H45" i="8"/>
  <c r="G45" i="8"/>
  <c r="AL45" i="8" s="1"/>
  <c r="AI27" i="8"/>
  <c r="AE28" i="8" s="1"/>
  <c r="R24" i="8"/>
  <c r="Y30" i="8"/>
  <c r="AN30" i="8" s="1"/>
  <c r="E46" i="8"/>
  <c r="AK46" i="8" s="1"/>
  <c r="F46" i="8"/>
  <c r="D47" i="8"/>
  <c r="T24" i="8"/>
  <c r="J22" i="8"/>
  <c r="AQ22" i="8" l="1"/>
  <c r="AM24" i="8"/>
  <c r="AP24" i="8" s="1"/>
  <c r="AS24" i="8" s="1"/>
  <c r="Z30" i="8"/>
  <c r="S24" i="8"/>
  <c r="H46" i="8"/>
  <c r="G46" i="8"/>
  <c r="AL46" i="8" s="1"/>
  <c r="AF28" i="8"/>
  <c r="AO28" i="8" s="1"/>
  <c r="U24" i="8"/>
  <c r="Q25" i="8" s="1"/>
  <c r="AB30" i="8"/>
  <c r="X31" i="8" s="1"/>
  <c r="K22" i="8"/>
  <c r="N22" i="8" s="1"/>
  <c r="D48" i="8"/>
  <c r="E47" i="8"/>
  <c r="AK47" i="8" s="1"/>
  <c r="F47" i="8"/>
  <c r="M22" i="8"/>
  <c r="H9" i="3"/>
  <c r="I9" i="3" s="1"/>
  <c r="J9" i="3" s="1"/>
  <c r="K9" i="3" s="1"/>
  <c r="L9" i="3" s="1"/>
  <c r="M9" i="3" s="1"/>
  <c r="N9" i="3" s="1"/>
  <c r="O9" i="3" s="1"/>
  <c r="P9" i="3" s="1"/>
  <c r="Q9" i="3" s="1"/>
  <c r="R9" i="3" s="1"/>
  <c r="S9" i="3" s="1"/>
  <c r="T9" i="3" s="1"/>
  <c r="U9" i="3" s="1"/>
  <c r="V9" i="3" s="1"/>
  <c r="W9" i="3" s="1"/>
  <c r="X9" i="3" s="1"/>
  <c r="Y9" i="3" s="1"/>
  <c r="Z9" i="3" s="1"/>
  <c r="AA9" i="3" s="1"/>
  <c r="AB9" i="3" s="1"/>
  <c r="AC9" i="3" s="1"/>
  <c r="AD9" i="3" s="1"/>
  <c r="AE9" i="3" s="1"/>
  <c r="AF9" i="3" s="1"/>
  <c r="AG9" i="3" s="1"/>
  <c r="AH9" i="3" s="1"/>
  <c r="AI9" i="3" s="1"/>
  <c r="AJ9" i="3" s="1"/>
  <c r="AK9" i="3" s="1"/>
  <c r="H8" i="3"/>
  <c r="I8" i="3" s="1"/>
  <c r="J8" i="3" s="1"/>
  <c r="K8" i="3" s="1"/>
  <c r="L8" i="3" s="1"/>
  <c r="M8" i="3" s="1"/>
  <c r="N8" i="3" s="1"/>
  <c r="O8" i="3" s="1"/>
  <c r="P8" i="3" s="1"/>
  <c r="Q8" i="3" s="1"/>
  <c r="R8" i="3" s="1"/>
  <c r="S8" i="3" s="1"/>
  <c r="T8" i="3" s="1"/>
  <c r="U8" i="3" s="1"/>
  <c r="V8" i="3" s="1"/>
  <c r="W8" i="3" s="1"/>
  <c r="X8" i="3" s="1"/>
  <c r="Y8" i="3" s="1"/>
  <c r="Z8" i="3" s="1"/>
  <c r="AA8" i="3" s="1"/>
  <c r="AB8" i="3" s="1"/>
  <c r="AC8" i="3" s="1"/>
  <c r="AD8" i="3" s="1"/>
  <c r="AE8" i="3" s="1"/>
  <c r="AF8" i="3" s="1"/>
  <c r="AG8" i="3" s="1"/>
  <c r="AH8" i="3" s="1"/>
  <c r="AI8" i="3" s="1"/>
  <c r="AJ8" i="3" s="1"/>
  <c r="AK8" i="3" s="1"/>
  <c r="H7" i="3"/>
  <c r="I7" i="3" s="1"/>
  <c r="J7" i="3" s="1"/>
  <c r="K7" i="3" s="1"/>
  <c r="L7" i="3" s="1"/>
  <c r="M7" i="3" s="1"/>
  <c r="N7" i="3" s="1"/>
  <c r="O7" i="3" s="1"/>
  <c r="P7" i="3" s="1"/>
  <c r="Q7" i="3" s="1"/>
  <c r="R7" i="3" s="1"/>
  <c r="S7" i="3" s="1"/>
  <c r="T7" i="3" s="1"/>
  <c r="U7" i="3" s="1"/>
  <c r="V7" i="3" s="1"/>
  <c r="W7" i="3" s="1"/>
  <c r="X7" i="3" s="1"/>
  <c r="Y7" i="3" s="1"/>
  <c r="Z7" i="3" s="1"/>
  <c r="AA7" i="3" s="1"/>
  <c r="AB7" i="3" s="1"/>
  <c r="AC7" i="3" s="1"/>
  <c r="AD7" i="3" s="1"/>
  <c r="AE7" i="3" s="1"/>
  <c r="AF7" i="3" s="1"/>
  <c r="AG7" i="3" s="1"/>
  <c r="AH7" i="3" s="1"/>
  <c r="AI7" i="3" s="1"/>
  <c r="AJ7" i="3" s="1"/>
  <c r="AK7" i="3" s="1"/>
  <c r="H5" i="3"/>
  <c r="I5" i="3" s="1"/>
  <c r="J5" i="3" s="1"/>
  <c r="K5" i="3" s="1"/>
  <c r="L5" i="3" s="1"/>
  <c r="M5" i="3" s="1"/>
  <c r="N5" i="3" s="1"/>
  <c r="O5" i="3" s="1"/>
  <c r="P5" i="3" s="1"/>
  <c r="Q5" i="3" s="1"/>
  <c r="R5" i="3" s="1"/>
  <c r="S5" i="3" s="1"/>
  <c r="T5" i="3" s="1"/>
  <c r="U5" i="3" s="1"/>
  <c r="V5" i="3" s="1"/>
  <c r="W5" i="3" s="1"/>
  <c r="X5" i="3" s="1"/>
  <c r="Y5" i="3" s="1"/>
  <c r="Z5" i="3" s="1"/>
  <c r="AA5" i="3" s="1"/>
  <c r="AB5" i="3" s="1"/>
  <c r="AC5" i="3" s="1"/>
  <c r="AD5" i="3" s="1"/>
  <c r="AE5" i="3" s="1"/>
  <c r="AF5" i="3" s="1"/>
  <c r="AG5" i="3" s="1"/>
  <c r="AH5" i="3" s="1"/>
  <c r="AI5" i="3" s="1"/>
  <c r="AJ5" i="3" s="1"/>
  <c r="AK5" i="3" s="1"/>
  <c r="H4" i="3"/>
  <c r="I4" i="3" s="1"/>
  <c r="J4" i="3" s="1"/>
  <c r="K4" i="3" s="1"/>
  <c r="L4" i="3" s="1"/>
  <c r="M4" i="3" s="1"/>
  <c r="N4" i="3" s="1"/>
  <c r="O4" i="3" s="1"/>
  <c r="P4" i="3" s="1"/>
  <c r="Q4" i="3" s="1"/>
  <c r="R4" i="3" s="1"/>
  <c r="S4" i="3" s="1"/>
  <c r="T4" i="3" s="1"/>
  <c r="U4" i="3" s="1"/>
  <c r="V4" i="3" s="1"/>
  <c r="W4" i="3" s="1"/>
  <c r="X4" i="3" s="1"/>
  <c r="Y4" i="3" s="1"/>
  <c r="Z4" i="3" s="1"/>
  <c r="AA4" i="3" s="1"/>
  <c r="AB4" i="3" s="1"/>
  <c r="AC4" i="3" s="1"/>
  <c r="AD4" i="3" s="1"/>
  <c r="AE4" i="3" s="1"/>
  <c r="AF4" i="3" s="1"/>
  <c r="AG4" i="3" s="1"/>
  <c r="AH4" i="3" s="1"/>
  <c r="AI4" i="3" s="1"/>
  <c r="AJ4" i="3" s="1"/>
  <c r="AK4" i="3" s="1"/>
  <c r="H3" i="3"/>
  <c r="H3" i="2"/>
  <c r="I2" i="3"/>
  <c r="I2" i="2"/>
  <c r="AR22" i="8" l="1"/>
  <c r="AV22" i="8"/>
  <c r="I18" i="2"/>
  <c r="I25" i="2"/>
  <c r="I17" i="2"/>
  <c r="I15" i="2"/>
  <c r="I16" i="2"/>
  <c r="J2" i="3"/>
  <c r="K2" i="3" s="1"/>
  <c r="L2" i="3" s="1"/>
  <c r="M2" i="3" s="1"/>
  <c r="N2" i="3" s="1"/>
  <c r="O2" i="3" s="1"/>
  <c r="P2" i="3" s="1"/>
  <c r="Q2" i="3" s="1"/>
  <c r="R2" i="3" s="1"/>
  <c r="S2" i="3" s="1"/>
  <c r="T2" i="3" s="1"/>
  <c r="U2" i="3" s="1"/>
  <c r="V2" i="3" s="1"/>
  <c r="W2" i="3" s="1"/>
  <c r="X2" i="3" s="1"/>
  <c r="Y2" i="3" s="1"/>
  <c r="Z2" i="3" s="1"/>
  <c r="AA2" i="3" s="1"/>
  <c r="AB2" i="3" s="1"/>
  <c r="AC2" i="3" s="1"/>
  <c r="AD2" i="3" s="1"/>
  <c r="AE2" i="3" s="1"/>
  <c r="AF2" i="3" s="1"/>
  <c r="AG2" i="3" s="1"/>
  <c r="AH2" i="3" s="1"/>
  <c r="AI2" i="3" s="1"/>
  <c r="AJ2" i="3" s="1"/>
  <c r="AK2" i="3" s="1"/>
  <c r="J2" i="2"/>
  <c r="AG28" i="8"/>
  <c r="F37" i="7"/>
  <c r="I3" i="2"/>
  <c r="J3" i="2" s="1"/>
  <c r="K3" i="2" s="1"/>
  <c r="L3" i="2" s="1"/>
  <c r="M3" i="2" s="1"/>
  <c r="N3" i="2" s="1"/>
  <c r="O3" i="2" s="1"/>
  <c r="P3" i="2" s="1"/>
  <c r="Q3" i="2" s="1"/>
  <c r="R3" i="2" s="1"/>
  <c r="S3" i="2" s="1"/>
  <c r="T3" i="2" s="1"/>
  <c r="U3" i="2" s="1"/>
  <c r="V3" i="2" s="1"/>
  <c r="W3" i="2" s="1"/>
  <c r="X3" i="2" s="1"/>
  <c r="Y3" i="2" s="1"/>
  <c r="Z3" i="2" s="1"/>
  <c r="AA3" i="2" s="1"/>
  <c r="AB3" i="2" s="1"/>
  <c r="AC3" i="2" s="1"/>
  <c r="AD3" i="2" s="1"/>
  <c r="AE3" i="2" s="1"/>
  <c r="AF3" i="2" s="1"/>
  <c r="AG3" i="2" s="1"/>
  <c r="AH3" i="2" s="1"/>
  <c r="AI3" i="2" s="1"/>
  <c r="AJ3" i="2" s="1"/>
  <c r="AK3" i="2" s="1"/>
  <c r="H47" i="8"/>
  <c r="G47" i="8"/>
  <c r="AL47" i="8" s="1"/>
  <c r="I3" i="3"/>
  <c r="AI28" i="8"/>
  <c r="AE29" i="8" s="1"/>
  <c r="R25" i="8"/>
  <c r="Y31" i="8"/>
  <c r="AN31" i="8" s="1"/>
  <c r="L22" i="8"/>
  <c r="AT22" i="8" s="1"/>
  <c r="E48" i="8"/>
  <c r="AK48" i="8" s="1"/>
  <c r="F48" i="8"/>
  <c r="D49" i="8"/>
  <c r="T25" i="8"/>
  <c r="J23" i="8"/>
  <c r="AQ23" i="8" s="1"/>
  <c r="J17" i="2" l="1"/>
  <c r="J15" i="2"/>
  <c r="J25" i="2"/>
  <c r="J18" i="2"/>
  <c r="J16" i="2"/>
  <c r="AM25" i="8"/>
  <c r="AP25" i="8" s="1"/>
  <c r="AS25" i="8" s="1"/>
  <c r="K2" i="2"/>
  <c r="Z31" i="8"/>
  <c r="F42" i="7"/>
  <c r="J37" i="7"/>
  <c r="U25" i="8"/>
  <c r="Q26" i="8" s="1"/>
  <c r="H48" i="8"/>
  <c r="G48" i="8"/>
  <c r="AL48" i="8" s="1"/>
  <c r="J3" i="3"/>
  <c r="S25" i="8"/>
  <c r="AF29" i="8"/>
  <c r="AO29" i="8" s="1"/>
  <c r="AB31" i="8"/>
  <c r="X32" i="8" s="1"/>
  <c r="K23" i="8"/>
  <c r="L23" i="8" s="1"/>
  <c r="AT23" i="8" s="1"/>
  <c r="D50" i="8"/>
  <c r="E49" i="8"/>
  <c r="AK49" i="8" s="1"/>
  <c r="F49" i="8"/>
  <c r="M23" i="8"/>
  <c r="K15" i="2" l="1"/>
  <c r="K17" i="2"/>
  <c r="K25" i="2"/>
  <c r="K18" i="2"/>
  <c r="K16" i="2"/>
  <c r="L2" i="2"/>
  <c r="AG29" i="8"/>
  <c r="K37" i="7"/>
  <c r="J42" i="7"/>
  <c r="H49" i="8"/>
  <c r="G49" i="8"/>
  <c r="AL49" i="8" s="1"/>
  <c r="K3" i="3"/>
  <c r="AI29" i="8"/>
  <c r="AE30" i="8" s="1"/>
  <c r="R26" i="8"/>
  <c r="Y32" i="8"/>
  <c r="AN32" i="8" s="1"/>
  <c r="N23" i="8"/>
  <c r="D51" i="8"/>
  <c r="E50" i="8"/>
  <c r="AK50" i="8" s="1"/>
  <c r="F50" i="8"/>
  <c r="T26" i="8"/>
  <c r="AR23" i="8" l="1"/>
  <c r="AV23" i="8"/>
  <c r="L17" i="2"/>
  <c r="L18" i="2"/>
  <c r="L16" i="2"/>
  <c r="L15" i="2"/>
  <c r="L25" i="2"/>
  <c r="AM26" i="8"/>
  <c r="AP26" i="8" s="1"/>
  <c r="AS26" i="8" s="1"/>
  <c r="M2" i="2"/>
  <c r="Z32" i="8"/>
  <c r="L37" i="7"/>
  <c r="K42" i="7"/>
  <c r="S26" i="8"/>
  <c r="H50" i="8"/>
  <c r="G50" i="8"/>
  <c r="AL50" i="8" s="1"/>
  <c r="J24" i="8"/>
  <c r="L3" i="3"/>
  <c r="AF30" i="8"/>
  <c r="AO30" i="8" s="1"/>
  <c r="U26" i="8"/>
  <c r="Q27" i="8" s="1"/>
  <c r="AB32" i="8"/>
  <c r="X33" i="8" s="1"/>
  <c r="F51" i="8"/>
  <c r="D52" i="8"/>
  <c r="E51" i="8"/>
  <c r="AK51" i="8" s="1"/>
  <c r="AQ24" i="8" l="1"/>
  <c r="M17" i="2"/>
  <c r="M18" i="2"/>
  <c r="M16" i="2"/>
  <c r="M15" i="2"/>
  <c r="M25" i="2"/>
  <c r="N2" i="2"/>
  <c r="AG30" i="8"/>
  <c r="K24" i="8"/>
  <c r="N24" i="8" s="1"/>
  <c r="M37" i="7"/>
  <c r="L42" i="7"/>
  <c r="H51" i="8"/>
  <c r="G51" i="8"/>
  <c r="AL51" i="8" s="1"/>
  <c r="M3" i="3"/>
  <c r="AI30" i="8"/>
  <c r="AE31" i="8" s="1"/>
  <c r="R27" i="8"/>
  <c r="Y33" i="8"/>
  <c r="AN33" i="8" s="1"/>
  <c r="D53" i="8"/>
  <c r="F52" i="8"/>
  <c r="E52" i="8"/>
  <c r="AK52" i="8" s="1"/>
  <c r="T27" i="8"/>
  <c r="M24" i="8"/>
  <c r="AR24" i="8" l="1"/>
  <c r="AV24" i="8"/>
  <c r="N18" i="2"/>
  <c r="N16" i="2"/>
  <c r="N17" i="2"/>
  <c r="N15" i="2"/>
  <c r="N25" i="2"/>
  <c r="AM27" i="8"/>
  <c r="AP27" i="8" s="1"/>
  <c r="AS27" i="8" s="1"/>
  <c r="O2" i="2"/>
  <c r="Z33" i="8"/>
  <c r="L24" i="8"/>
  <c r="AT24" i="8" s="1"/>
  <c r="N37" i="7"/>
  <c r="M42" i="7"/>
  <c r="S27" i="8"/>
  <c r="H52" i="8"/>
  <c r="G52" i="8"/>
  <c r="AL52" i="8" s="1"/>
  <c r="N3" i="3"/>
  <c r="U27" i="8"/>
  <c r="Q28" i="8" s="1"/>
  <c r="AB33" i="8"/>
  <c r="X34" i="8" s="1"/>
  <c r="Y34" i="8" s="1"/>
  <c r="AN34" i="8" s="1"/>
  <c r="AF31" i="8"/>
  <c r="AO31" i="8" s="1"/>
  <c r="E53" i="8"/>
  <c r="AK53" i="8" s="1"/>
  <c r="F53" i="8"/>
  <c r="D54" i="8"/>
  <c r="O18" i="2" l="1"/>
  <c r="O16" i="2"/>
  <c r="O17" i="2"/>
  <c r="O15" i="2"/>
  <c r="O25" i="2"/>
  <c r="P2" i="2"/>
  <c r="AG31" i="8"/>
  <c r="Z34" i="8"/>
  <c r="O37" i="7"/>
  <c r="N42" i="7"/>
  <c r="H53" i="8"/>
  <c r="G53" i="8"/>
  <c r="AL53" i="8" s="1"/>
  <c r="O3" i="3"/>
  <c r="AI31" i="8"/>
  <c r="AE32" i="8" s="1"/>
  <c r="R28" i="8"/>
  <c r="AB34" i="8"/>
  <c r="X35" i="8" s="1"/>
  <c r="E54" i="8"/>
  <c r="AK54" i="8" s="1"/>
  <c r="F54" i="8"/>
  <c r="D55" i="8"/>
  <c r="T28" i="8"/>
  <c r="J25" i="8"/>
  <c r="AQ25" i="8" l="1"/>
  <c r="P16" i="2"/>
  <c r="P17" i="2"/>
  <c r="P15" i="2"/>
  <c r="P25" i="2"/>
  <c r="P18" i="2"/>
  <c r="AM28" i="8"/>
  <c r="AP28" i="8" s="1"/>
  <c r="AS28" i="8" s="1"/>
  <c r="Q2" i="2"/>
  <c r="P37" i="7"/>
  <c r="O42" i="7"/>
  <c r="S28" i="8"/>
  <c r="H54" i="8"/>
  <c r="G54" i="8"/>
  <c r="AL54" i="8" s="1"/>
  <c r="P3" i="3"/>
  <c r="U28" i="8"/>
  <c r="Q29" i="8" s="1"/>
  <c r="AF32" i="8"/>
  <c r="AO32" i="8" s="1"/>
  <c r="Y35" i="8"/>
  <c r="AN35" i="8" s="1"/>
  <c r="E55" i="8"/>
  <c r="AK55" i="8" s="1"/>
  <c r="D56" i="8"/>
  <c r="F55" i="8"/>
  <c r="K25" i="8"/>
  <c r="N25" i="8" s="1"/>
  <c r="AR25" i="8" l="1"/>
  <c r="AV25" i="8"/>
  <c r="Q18" i="2"/>
  <c r="Q16" i="2"/>
  <c r="Q17" i="2"/>
  <c r="Q15" i="2"/>
  <c r="Q25" i="2"/>
  <c r="R2" i="2"/>
  <c r="AG32" i="8"/>
  <c r="Z35" i="8"/>
  <c r="Q37" i="7"/>
  <c r="P42" i="7"/>
  <c r="H55" i="8"/>
  <c r="G55" i="8"/>
  <c r="AL55" i="8" s="1"/>
  <c r="Q3" i="3"/>
  <c r="AI32" i="8"/>
  <c r="AE33" i="8" s="1"/>
  <c r="AB35" i="8"/>
  <c r="X36" i="8" s="1"/>
  <c r="D57" i="8"/>
  <c r="F56" i="8"/>
  <c r="E56" i="8"/>
  <c r="AK56" i="8" s="1"/>
  <c r="R29" i="8"/>
  <c r="L25" i="8"/>
  <c r="AT25" i="8" s="1"/>
  <c r="M25" i="8"/>
  <c r="R17" i="2" l="1"/>
  <c r="R15" i="2"/>
  <c r="R25" i="2"/>
  <c r="R18" i="2"/>
  <c r="R16" i="2"/>
  <c r="AM29" i="8"/>
  <c r="AP29" i="8" s="1"/>
  <c r="AS29" i="8" s="1"/>
  <c r="S2" i="2"/>
  <c r="R37" i="7"/>
  <c r="Q42" i="7"/>
  <c r="H56" i="8"/>
  <c r="G56" i="8"/>
  <c r="AL56" i="8" s="1"/>
  <c r="U29" i="8"/>
  <c r="R3" i="3"/>
  <c r="AF33" i="8"/>
  <c r="AO33" i="8" s="1"/>
  <c r="Y36" i="8"/>
  <c r="AN36" i="8" s="1"/>
  <c r="F57" i="8"/>
  <c r="D58" i="8"/>
  <c r="E57" i="8"/>
  <c r="AK57" i="8" s="1"/>
  <c r="S29" i="8"/>
  <c r="T29" i="8"/>
  <c r="S25" i="2" l="1"/>
  <c r="S17" i="2"/>
  <c r="S15" i="2"/>
  <c r="S18" i="2"/>
  <c r="S16" i="2"/>
  <c r="T2" i="2"/>
  <c r="AG33" i="8"/>
  <c r="Z36" i="8"/>
  <c r="S37" i="7"/>
  <c r="R42" i="7"/>
  <c r="H57" i="8"/>
  <c r="G57" i="8"/>
  <c r="AL57" i="8" s="1"/>
  <c r="S3" i="3"/>
  <c r="AB36" i="8"/>
  <c r="X37" i="8" s="1"/>
  <c r="Y37" i="8" s="1"/>
  <c r="AN37" i="8" s="1"/>
  <c r="AI33" i="8"/>
  <c r="AE34" i="8" s="1"/>
  <c r="D59" i="8"/>
  <c r="E58" i="8"/>
  <c r="AK58" i="8" s="1"/>
  <c r="F58" i="8"/>
  <c r="J26" i="8"/>
  <c r="AQ26" i="8" l="1"/>
  <c r="T15" i="2"/>
  <c r="T18" i="2"/>
  <c r="T16" i="2"/>
  <c r="T17" i="2"/>
  <c r="T25" i="2"/>
  <c r="U2" i="2"/>
  <c r="Z37" i="8"/>
  <c r="T37" i="7"/>
  <c r="S42" i="7"/>
  <c r="H58" i="8"/>
  <c r="G58" i="8"/>
  <c r="AL58" i="8" s="1"/>
  <c r="T3" i="3"/>
  <c r="AB37" i="8"/>
  <c r="X38" i="8" s="1"/>
  <c r="Y38" i="8" s="1"/>
  <c r="AN38" i="8" s="1"/>
  <c r="AF34" i="8"/>
  <c r="AO34" i="8" s="1"/>
  <c r="F59" i="8"/>
  <c r="D60" i="8"/>
  <c r="E59" i="8"/>
  <c r="AK59" i="8" s="1"/>
  <c r="Q30" i="8"/>
  <c r="K26" i="8"/>
  <c r="N26" i="8" s="1"/>
  <c r="AR26" i="8" l="1"/>
  <c r="AV26" i="8"/>
  <c r="U17" i="2"/>
  <c r="U15" i="2"/>
  <c r="U18" i="2"/>
  <c r="U16" i="2"/>
  <c r="U25" i="2"/>
  <c r="V2" i="2"/>
  <c r="AG34" i="8"/>
  <c r="Z38" i="8"/>
  <c r="U37" i="7"/>
  <c r="T42" i="7"/>
  <c r="H59" i="8"/>
  <c r="G59" i="8"/>
  <c r="AL59" i="8" s="1"/>
  <c r="U3" i="3"/>
  <c r="AB38" i="8"/>
  <c r="X39" i="8" s="1"/>
  <c r="Y39" i="8" s="1"/>
  <c r="AN39" i="8" s="1"/>
  <c r="AI34" i="8"/>
  <c r="AE35" i="8" s="1"/>
  <c r="R30" i="8"/>
  <c r="F60" i="8"/>
  <c r="E60" i="8"/>
  <c r="AK60" i="8" s="1"/>
  <c r="D61" i="8"/>
  <c r="T30" i="8"/>
  <c r="L26" i="8"/>
  <c r="AT26" i="8" s="1"/>
  <c r="M26" i="8"/>
  <c r="V18" i="2" l="1"/>
  <c r="V16" i="2"/>
  <c r="V17" i="2"/>
  <c r="V15" i="2"/>
  <c r="V25" i="2"/>
  <c r="AM30" i="8"/>
  <c r="AP30" i="8" s="1"/>
  <c r="AS30" i="8" s="1"/>
  <c r="W2" i="2"/>
  <c r="Z39" i="8"/>
  <c r="V37" i="7"/>
  <c r="U42" i="7"/>
  <c r="S30" i="8"/>
  <c r="H60" i="8"/>
  <c r="G60" i="8"/>
  <c r="AL60" i="8" s="1"/>
  <c r="V3" i="3"/>
  <c r="U30" i="8"/>
  <c r="Q31" i="8" s="1"/>
  <c r="AF35" i="8"/>
  <c r="AO35" i="8" s="1"/>
  <c r="AB39" i="8"/>
  <c r="X40" i="8" s="1"/>
  <c r="F61" i="8"/>
  <c r="D62" i="8"/>
  <c r="E61" i="8"/>
  <c r="AK61" i="8" s="1"/>
  <c r="W18" i="2" l="1"/>
  <c r="W16" i="2"/>
  <c r="W17" i="2"/>
  <c r="W15" i="2"/>
  <c r="W25" i="2"/>
  <c r="X2" i="2"/>
  <c r="AG35" i="8"/>
  <c r="W37" i="7"/>
  <c r="V42" i="7"/>
  <c r="H61" i="8"/>
  <c r="G61" i="8"/>
  <c r="AL61" i="8" s="1"/>
  <c r="W3" i="3"/>
  <c r="AI35" i="8"/>
  <c r="AE36" i="8" s="1"/>
  <c r="R31" i="8"/>
  <c r="Y40" i="8"/>
  <c r="AN40" i="8" s="1"/>
  <c r="F62" i="8"/>
  <c r="E62" i="8"/>
  <c r="AK62" i="8" s="1"/>
  <c r="D63" i="8"/>
  <c r="T31" i="8"/>
  <c r="J27" i="8"/>
  <c r="AQ27" i="8" l="1"/>
  <c r="X18" i="2"/>
  <c r="X17" i="2"/>
  <c r="X15" i="2"/>
  <c r="X25" i="2"/>
  <c r="X16" i="2"/>
  <c r="AM31" i="8"/>
  <c r="AP31" i="8" s="1"/>
  <c r="AS31" i="8" s="1"/>
  <c r="Y2" i="2"/>
  <c r="Z40" i="8"/>
  <c r="X37" i="7"/>
  <c r="W42" i="7"/>
  <c r="S31" i="8"/>
  <c r="H62" i="8"/>
  <c r="G62" i="8"/>
  <c r="AL62" i="8" s="1"/>
  <c r="X3" i="3"/>
  <c r="U31" i="8"/>
  <c r="Q32" i="8" s="1"/>
  <c r="AF36" i="8"/>
  <c r="AO36" i="8" s="1"/>
  <c r="AB40" i="8"/>
  <c r="X41" i="8" s="1"/>
  <c r="K27" i="8"/>
  <c r="N27" i="8" s="1"/>
  <c r="D64" i="8"/>
  <c r="E63" i="8"/>
  <c r="AK63" i="8" s="1"/>
  <c r="F63" i="8"/>
  <c r="M27" i="8"/>
  <c r="AR27" i="8" l="1"/>
  <c r="AV27" i="8"/>
  <c r="Y18" i="2"/>
  <c r="Y16" i="2"/>
  <c r="Y17" i="2"/>
  <c r="Y15" i="2"/>
  <c r="Y25" i="2"/>
  <c r="Z2" i="2"/>
  <c r="AG36" i="8"/>
  <c r="Y37" i="7"/>
  <c r="X42" i="7"/>
  <c r="H63" i="8"/>
  <c r="G63" i="8"/>
  <c r="AL63" i="8" s="1"/>
  <c r="J28" i="8"/>
  <c r="AQ28" i="8" s="1"/>
  <c r="Y3" i="3"/>
  <c r="AI36" i="8"/>
  <c r="AE37" i="8" s="1"/>
  <c r="R32" i="8"/>
  <c r="Y41" i="8"/>
  <c r="AN41" i="8" s="1"/>
  <c r="L27" i="8"/>
  <c r="AT27" i="8" s="1"/>
  <c r="F64" i="8"/>
  <c r="D65" i="8"/>
  <c r="E64" i="8"/>
  <c r="AK64" i="8" s="1"/>
  <c r="T32" i="8"/>
  <c r="M28" i="8"/>
  <c r="Z17" i="2" l="1"/>
  <c r="Z15" i="2"/>
  <c r="Z25" i="2"/>
  <c r="Z18" i="2"/>
  <c r="Z16" i="2"/>
  <c r="AM32" i="8"/>
  <c r="AP32" i="8" s="1"/>
  <c r="AS32" i="8" s="1"/>
  <c r="AA2" i="2"/>
  <c r="K28" i="8"/>
  <c r="L28" i="8" s="1"/>
  <c r="AT28" i="8" s="1"/>
  <c r="Z41" i="8"/>
  <c r="Z37" i="7"/>
  <c r="Y42" i="7"/>
  <c r="H64" i="8"/>
  <c r="G64" i="8"/>
  <c r="AL64" i="8" s="1"/>
  <c r="U32" i="8"/>
  <c r="Q33" i="8" s="1"/>
  <c r="Z3" i="3"/>
  <c r="S32" i="8"/>
  <c r="AB41" i="8"/>
  <c r="X42" i="8" s="1"/>
  <c r="Y42" i="8" s="1"/>
  <c r="AN42" i="8" s="1"/>
  <c r="AF37" i="8"/>
  <c r="AO37" i="8" s="1"/>
  <c r="D66" i="8"/>
  <c r="E65" i="8"/>
  <c r="AK65" i="8" s="1"/>
  <c r="F65" i="8"/>
  <c r="AA17" i="2" l="1"/>
  <c r="AA15" i="2"/>
  <c r="AA25" i="2"/>
  <c r="AA18" i="2"/>
  <c r="AA16" i="2"/>
  <c r="N28" i="8"/>
  <c r="AB2" i="2"/>
  <c r="AG37" i="8"/>
  <c r="Z42" i="8"/>
  <c r="AA37" i="7"/>
  <c r="Z42" i="7"/>
  <c r="H65" i="8"/>
  <c r="G65" i="8"/>
  <c r="AL65" i="8" s="1"/>
  <c r="AA3" i="3"/>
  <c r="AI37" i="8"/>
  <c r="AE38" i="8" s="1"/>
  <c r="R33" i="8"/>
  <c r="AB42" i="8"/>
  <c r="X43" i="8" s="1"/>
  <c r="E66" i="8"/>
  <c r="AK66" i="8" s="1"/>
  <c r="F66" i="8"/>
  <c r="D67" i="8"/>
  <c r="T33" i="8"/>
  <c r="AR28" i="8" l="1"/>
  <c r="AV28" i="8"/>
  <c r="J29" i="8"/>
  <c r="AB25" i="2"/>
  <c r="AB18" i="2"/>
  <c r="AB16" i="2"/>
  <c r="AB15" i="2"/>
  <c r="AB17" i="2"/>
  <c r="AM33" i="8"/>
  <c r="AP33" i="8" s="1"/>
  <c r="AS33" i="8" s="1"/>
  <c r="AC2" i="2"/>
  <c r="AB37" i="7"/>
  <c r="AA42" i="7"/>
  <c r="U33" i="8"/>
  <c r="Q34" i="8" s="1"/>
  <c r="S33" i="8"/>
  <c r="H66" i="8"/>
  <c r="G66" i="8"/>
  <c r="AL66" i="8" s="1"/>
  <c r="AB3" i="3"/>
  <c r="AF38" i="8"/>
  <c r="AO38" i="8" s="1"/>
  <c r="Y43" i="8"/>
  <c r="AN43" i="8" s="1"/>
  <c r="K29" i="8"/>
  <c r="N29" i="8" s="1"/>
  <c r="F67" i="8"/>
  <c r="D68" i="8"/>
  <c r="E67" i="8"/>
  <c r="AK67" i="8" s="1"/>
  <c r="M29" i="8"/>
  <c r="AQ29" i="8" l="1"/>
  <c r="AR29" i="8"/>
  <c r="AV29" i="8"/>
  <c r="AC17" i="2"/>
  <c r="AC18" i="2"/>
  <c r="AC16" i="2"/>
  <c r="AC15" i="2"/>
  <c r="AC25" i="2"/>
  <c r="AD2" i="2"/>
  <c r="AG38" i="8"/>
  <c r="Z43" i="8"/>
  <c r="AC37" i="7"/>
  <c r="AB42" i="7"/>
  <c r="H67" i="8"/>
  <c r="G67" i="8"/>
  <c r="AL67" i="8" s="1"/>
  <c r="AC3" i="3"/>
  <c r="AB43" i="8"/>
  <c r="X44" i="8" s="1"/>
  <c r="Y44" i="8" s="1"/>
  <c r="AN44" i="8" s="1"/>
  <c r="AI38" i="8"/>
  <c r="AE39" i="8" s="1"/>
  <c r="R34" i="8"/>
  <c r="L29" i="8"/>
  <c r="AT29" i="8" s="1"/>
  <c r="E68" i="8"/>
  <c r="AK68" i="8" s="1"/>
  <c r="D69" i="8"/>
  <c r="F68" i="8"/>
  <c r="T34" i="8"/>
  <c r="AF39" i="8" l="1"/>
  <c r="AO39" i="8" s="1"/>
  <c r="AD18" i="2"/>
  <c r="AD16" i="2"/>
  <c r="AD17" i="2"/>
  <c r="AD15" i="2"/>
  <c r="AD25" i="2"/>
  <c r="AM34" i="8"/>
  <c r="AP34" i="8" s="1"/>
  <c r="AS34" i="8" s="1"/>
  <c r="AE2" i="2"/>
  <c r="AG39" i="8"/>
  <c r="Z44" i="8"/>
  <c r="AD37" i="7"/>
  <c r="AC42" i="7"/>
  <c r="S34" i="8"/>
  <c r="H68" i="8"/>
  <c r="G68" i="8"/>
  <c r="AL68" i="8" s="1"/>
  <c r="AD3" i="3"/>
  <c r="U34" i="8"/>
  <c r="Q35" i="8" s="1"/>
  <c r="AB44" i="8"/>
  <c r="X45" i="8" s="1"/>
  <c r="D70" i="8"/>
  <c r="E69" i="8"/>
  <c r="AK69" i="8" s="1"/>
  <c r="F69" i="8"/>
  <c r="J30" i="8"/>
  <c r="AQ30" i="8" s="1"/>
  <c r="AI39" i="8" l="1"/>
  <c r="AE40" i="8" s="1"/>
  <c r="AE18" i="2"/>
  <c r="AE16" i="2"/>
  <c r="AE17" i="2"/>
  <c r="AE15" i="2"/>
  <c r="AE25" i="2"/>
  <c r="AF2" i="2"/>
  <c r="AE37" i="7"/>
  <c r="AD42" i="7"/>
  <c r="H69" i="8"/>
  <c r="G69" i="8"/>
  <c r="AL69" i="8" s="1"/>
  <c r="AE3" i="3"/>
  <c r="AF40" i="8"/>
  <c r="AO40" i="8" s="1"/>
  <c r="R35" i="8"/>
  <c r="AM35" i="8" s="1"/>
  <c r="AP35" i="8" s="1"/>
  <c r="AS35" i="8" s="1"/>
  <c r="Y45" i="8"/>
  <c r="AN45" i="8" s="1"/>
  <c r="E70" i="8"/>
  <c r="AK70" i="8" s="1"/>
  <c r="F70" i="8"/>
  <c r="D71" i="8"/>
  <c r="T35" i="8"/>
  <c r="K30" i="8"/>
  <c r="N30" i="8" s="1"/>
  <c r="AR30" i="8" l="1"/>
  <c r="AV30" i="8"/>
  <c r="AF17" i="2"/>
  <c r="AF15" i="2"/>
  <c r="AF25" i="2"/>
  <c r="AF18" i="2"/>
  <c r="AF16" i="2"/>
  <c r="AG2" i="2"/>
  <c r="AG40" i="8"/>
  <c r="Z45" i="8"/>
  <c r="AF37" i="7"/>
  <c r="AE42" i="7"/>
  <c r="S35" i="8"/>
  <c r="H70" i="8"/>
  <c r="G70" i="8"/>
  <c r="AL70" i="8" s="1"/>
  <c r="AF3" i="3"/>
  <c r="AI40" i="8"/>
  <c r="AE41" i="8" s="1"/>
  <c r="U35" i="8"/>
  <c r="AB45" i="8"/>
  <c r="X46" i="8" s="1"/>
  <c r="E71" i="8"/>
  <c r="AK71" i="8" s="1"/>
  <c r="F71" i="8"/>
  <c r="D72" i="8"/>
  <c r="L30" i="8"/>
  <c r="AT30" i="8" s="1"/>
  <c r="M30" i="8"/>
  <c r="AG18" i="2" l="1"/>
  <c r="AG16" i="2"/>
  <c r="AG17" i="2"/>
  <c r="AG15" i="2"/>
  <c r="AG25" i="2"/>
  <c r="AH2" i="2"/>
  <c r="AG37" i="7"/>
  <c r="AF42" i="7"/>
  <c r="H71" i="8"/>
  <c r="G71" i="8"/>
  <c r="AL71" i="8" s="1"/>
  <c r="AG3" i="3"/>
  <c r="AF41" i="8"/>
  <c r="AO41" i="8" s="1"/>
  <c r="Y46" i="8"/>
  <c r="AN46" i="8" s="1"/>
  <c r="E72" i="8"/>
  <c r="AK72" i="8" s="1"/>
  <c r="F72" i="8"/>
  <c r="D73" i="8"/>
  <c r="Q36" i="8"/>
  <c r="AH17" i="2" l="1"/>
  <c r="AH15" i="2"/>
  <c r="AH25" i="2"/>
  <c r="AH18" i="2"/>
  <c r="AH16" i="2"/>
  <c r="AI2" i="2"/>
  <c r="AG41" i="8"/>
  <c r="Z46" i="8"/>
  <c r="AH37" i="7"/>
  <c r="AG42" i="7"/>
  <c r="H72" i="8"/>
  <c r="G72" i="8"/>
  <c r="AL72" i="8" s="1"/>
  <c r="AH3" i="3"/>
  <c r="AI41" i="8"/>
  <c r="AE42" i="8" s="1"/>
  <c r="R36" i="8"/>
  <c r="AB46" i="8"/>
  <c r="X47" i="8" s="1"/>
  <c r="F73" i="8"/>
  <c r="D74" i="8"/>
  <c r="E73" i="8"/>
  <c r="AK73" i="8" s="1"/>
  <c r="T36" i="8"/>
  <c r="J31" i="8"/>
  <c r="AQ31" i="8" l="1"/>
  <c r="AI15" i="2"/>
  <c r="AI17" i="2"/>
  <c r="AI25" i="2"/>
  <c r="AI18" i="2"/>
  <c r="AI16" i="2"/>
  <c r="AM36" i="8"/>
  <c r="AP36" i="8" s="1"/>
  <c r="AS36" i="8" s="1"/>
  <c r="AJ2" i="2"/>
  <c r="AI37" i="7"/>
  <c r="AH42" i="7"/>
  <c r="U36" i="8"/>
  <c r="H73" i="8"/>
  <c r="G73" i="8"/>
  <c r="AL73" i="8" s="1"/>
  <c r="AI3" i="3"/>
  <c r="S36" i="8"/>
  <c r="AF42" i="8"/>
  <c r="AO42" i="8" s="1"/>
  <c r="Y47" i="8"/>
  <c r="AN47" i="8" s="1"/>
  <c r="F74" i="8"/>
  <c r="E74" i="8"/>
  <c r="AK74" i="8" s="1"/>
  <c r="D75" i="8"/>
  <c r="K31" i="8"/>
  <c r="N31" i="8" s="1"/>
  <c r="AR31" i="8" l="1"/>
  <c r="AV31" i="8"/>
  <c r="AJ17" i="2"/>
  <c r="AJ18" i="2"/>
  <c r="AJ16" i="2"/>
  <c r="AJ25" i="2"/>
  <c r="AJ15" i="2"/>
  <c r="AK2" i="2"/>
  <c r="AG42" i="8"/>
  <c r="Z47" i="8"/>
  <c r="AJ37" i="7"/>
  <c r="AI42" i="7"/>
  <c r="H74" i="8"/>
  <c r="G74" i="8"/>
  <c r="AL74" i="8" s="1"/>
  <c r="AJ3" i="3"/>
  <c r="AI42" i="8"/>
  <c r="AE43" i="8" s="1"/>
  <c r="AB47" i="8"/>
  <c r="X48" i="8" s="1"/>
  <c r="F75" i="8"/>
  <c r="E75" i="8"/>
  <c r="AK75" i="8" s="1"/>
  <c r="D76" i="8"/>
  <c r="Q37" i="8"/>
  <c r="L31" i="8"/>
  <c r="AT31" i="8" s="1"/>
  <c r="M31" i="8"/>
  <c r="AK17" i="2" l="1"/>
  <c r="AK15" i="2"/>
  <c r="AK25" i="2"/>
  <c r="AK18" i="2"/>
  <c r="AK16" i="2"/>
  <c r="AK37" i="7"/>
  <c r="AJ42" i="7"/>
  <c r="H75" i="8"/>
  <c r="G75" i="8"/>
  <c r="AL75" i="8" s="1"/>
  <c r="AK3" i="3"/>
  <c r="AF43" i="8"/>
  <c r="AO43" i="8" s="1"/>
  <c r="R37" i="8"/>
  <c r="Y48" i="8"/>
  <c r="AN48" i="8" s="1"/>
  <c r="F76" i="8"/>
  <c r="D77" i="8"/>
  <c r="E76" i="8"/>
  <c r="AK76" i="8" s="1"/>
  <c r="T37" i="8"/>
  <c r="AM37" i="8" l="1"/>
  <c r="AP37" i="8" s="1"/>
  <c r="AS37" i="8" s="1"/>
  <c r="AG43" i="8"/>
  <c r="Z48" i="8"/>
  <c r="AL37" i="7"/>
  <c r="AK42" i="7"/>
  <c r="H76" i="8"/>
  <c r="G76" i="8"/>
  <c r="AL76" i="8" s="1"/>
  <c r="U37" i="8"/>
  <c r="Q38" i="8" s="1"/>
  <c r="S37" i="8"/>
  <c r="AB48" i="8"/>
  <c r="X49" i="8" s="1"/>
  <c r="Y49" i="8" s="1"/>
  <c r="AN49" i="8" s="1"/>
  <c r="AI43" i="8"/>
  <c r="AE44" i="8" s="1"/>
  <c r="F77" i="8"/>
  <c r="D78" i="8"/>
  <c r="E77" i="8"/>
  <c r="AK77" i="8" s="1"/>
  <c r="T38" i="8"/>
  <c r="J32" i="8"/>
  <c r="AQ32" i="8" l="1"/>
  <c r="Z49" i="8"/>
  <c r="AM37" i="7"/>
  <c r="AL42" i="7"/>
  <c r="H77" i="8"/>
  <c r="G77" i="8"/>
  <c r="AL77" i="8" s="1"/>
  <c r="AF44" i="8"/>
  <c r="AO44" i="8" s="1"/>
  <c r="R38" i="8"/>
  <c r="AB49" i="8"/>
  <c r="X50" i="8" s="1"/>
  <c r="F78" i="8"/>
  <c r="E78" i="8"/>
  <c r="AK78" i="8" s="1"/>
  <c r="D79" i="8"/>
  <c r="K32" i="8"/>
  <c r="N32" i="8" s="1"/>
  <c r="AR32" i="8" l="1"/>
  <c r="AV32" i="8"/>
  <c r="AM38" i="8"/>
  <c r="AP38" i="8" s="1"/>
  <c r="AS38" i="8" s="1"/>
  <c r="AG44" i="8"/>
  <c r="AM42" i="7"/>
  <c r="K20" i="10"/>
  <c r="W20" i="10"/>
  <c r="P20" i="10"/>
  <c r="F20" i="10"/>
  <c r="Q20" i="10"/>
  <c r="J20" i="10"/>
  <c r="H20" i="10"/>
  <c r="AB20" i="10"/>
  <c r="S20" i="10"/>
  <c r="R20" i="10"/>
  <c r="AA20" i="10"/>
  <c r="M20" i="10"/>
  <c r="I20" i="10"/>
  <c r="U20" i="10"/>
  <c r="N20" i="10"/>
  <c r="V20" i="10"/>
  <c r="O20" i="10"/>
  <c r="D20" i="10"/>
  <c r="D7" i="10" s="1"/>
  <c r="D8" i="10" s="1"/>
  <c r="E20" i="10"/>
  <c r="X20" i="10"/>
  <c r="Z20" i="10"/>
  <c r="AD20" i="10"/>
  <c r="AE20" i="10"/>
  <c r="AF20" i="10"/>
  <c r="L20" i="10"/>
  <c r="Y20" i="10"/>
  <c r="G20" i="10"/>
  <c r="AC20" i="10"/>
  <c r="T20" i="10"/>
  <c r="AG20" i="10"/>
  <c r="H78" i="8"/>
  <c r="G78" i="8"/>
  <c r="AL78" i="8" s="1"/>
  <c r="S38" i="8"/>
  <c r="AI44" i="8"/>
  <c r="AE45" i="8" s="1"/>
  <c r="U38" i="8"/>
  <c r="Q39" i="8" s="1"/>
  <c r="Y50" i="8"/>
  <c r="AN50" i="8" s="1"/>
  <c r="D80" i="8"/>
  <c r="E79" i="8"/>
  <c r="AK79" i="8" s="1"/>
  <c r="F79" i="8"/>
  <c r="L32" i="8"/>
  <c r="AT32" i="8" s="1"/>
  <c r="M32" i="8"/>
  <c r="Z8" i="10" l="1"/>
  <c r="I8" i="10"/>
  <c r="Q8" i="10"/>
  <c r="X8" i="10"/>
  <c r="M8" i="10"/>
  <c r="F8" i="10"/>
  <c r="T8" i="10"/>
  <c r="E8" i="10"/>
  <c r="AA8" i="10"/>
  <c r="P8" i="10"/>
  <c r="Y8" i="10"/>
  <c r="R8" i="10"/>
  <c r="W8" i="10"/>
  <c r="AC8" i="10"/>
  <c r="O8" i="10"/>
  <c r="S8" i="10"/>
  <c r="K8" i="10"/>
  <c r="G8" i="10"/>
  <c r="AF8" i="10"/>
  <c r="V8" i="10"/>
  <c r="AB8" i="10"/>
  <c r="L8" i="10"/>
  <c r="AE8" i="10"/>
  <c r="N8" i="10"/>
  <c r="H8" i="10"/>
  <c r="AG8" i="10"/>
  <c r="AD8" i="10"/>
  <c r="U8" i="10"/>
  <c r="J8" i="10"/>
  <c r="Z50" i="8"/>
  <c r="H79" i="8"/>
  <c r="G79" i="8"/>
  <c r="AL79" i="8" s="1"/>
  <c r="AB50" i="8"/>
  <c r="X51" i="8" s="1"/>
  <c r="Y51" i="8" s="1"/>
  <c r="AN51" i="8" s="1"/>
  <c r="AF45" i="8"/>
  <c r="AO45" i="8" s="1"/>
  <c r="R39" i="8"/>
  <c r="AM39" i="8" s="1"/>
  <c r="AP39" i="8" s="1"/>
  <c r="AS39" i="8" s="1"/>
  <c r="F80" i="8"/>
  <c r="D81" i="8"/>
  <c r="E80" i="8"/>
  <c r="AK80" i="8" s="1"/>
  <c r="T39" i="8"/>
  <c r="AG45" i="8" l="1"/>
  <c r="U39" i="8"/>
  <c r="Q40" i="8" s="1"/>
  <c r="Z51" i="8"/>
  <c r="S39" i="8"/>
  <c r="H80" i="8"/>
  <c r="G80" i="8"/>
  <c r="AL80" i="8" s="1"/>
  <c r="AI45" i="8"/>
  <c r="AE46" i="8" s="1"/>
  <c r="AB51" i="8"/>
  <c r="X52" i="8" s="1"/>
  <c r="E81" i="8"/>
  <c r="AK81" i="8" s="1"/>
  <c r="F81" i="8"/>
  <c r="D82" i="8"/>
  <c r="J33" i="8"/>
  <c r="AQ33" i="8" l="1"/>
  <c r="AF46" i="8"/>
  <c r="AO46" i="8" s="1"/>
  <c r="H81" i="8"/>
  <c r="G81" i="8"/>
  <c r="AL81" i="8" s="1"/>
  <c r="R40" i="8"/>
  <c r="Y52" i="8"/>
  <c r="AN52" i="8" s="1"/>
  <c r="E82" i="8"/>
  <c r="AK82" i="8" s="1"/>
  <c r="F82" i="8"/>
  <c r="D83" i="8"/>
  <c r="T40" i="8"/>
  <c r="K33" i="8"/>
  <c r="N33" i="8" s="1"/>
  <c r="AI46" i="8" l="1"/>
  <c r="AE47" i="8" s="1"/>
  <c r="AF47" i="8" s="1"/>
  <c r="AO47" i="8" s="1"/>
  <c r="AG46" i="8"/>
  <c r="AR33" i="8"/>
  <c r="AV33" i="8"/>
  <c r="AM40" i="8"/>
  <c r="AP40" i="8" s="1"/>
  <c r="AS40" i="8" s="1"/>
  <c r="Z52" i="8"/>
  <c r="S40" i="8"/>
  <c r="H82" i="8"/>
  <c r="G82" i="8"/>
  <c r="AL82" i="8" s="1"/>
  <c r="U40" i="8"/>
  <c r="AB52" i="8"/>
  <c r="X53" i="8" s="1"/>
  <c r="D84" i="8"/>
  <c r="F83" i="8"/>
  <c r="E83" i="8"/>
  <c r="AK83" i="8" s="1"/>
  <c r="L33" i="8"/>
  <c r="AT33" i="8" s="1"/>
  <c r="M33" i="8"/>
  <c r="AG47" i="8" l="1"/>
  <c r="H83" i="8"/>
  <c r="G83" i="8"/>
  <c r="AL83" i="8" s="1"/>
  <c r="AI47" i="8"/>
  <c r="AE48" i="8" s="1"/>
  <c r="Y53" i="8"/>
  <c r="AN53" i="8" s="1"/>
  <c r="D85" i="8"/>
  <c r="F84" i="8"/>
  <c r="E84" i="8"/>
  <c r="AK84" i="8" s="1"/>
  <c r="Q41" i="8"/>
  <c r="AF48" i="8" l="1"/>
  <c r="AO48" i="8" s="1"/>
  <c r="Z53" i="8"/>
  <c r="H84" i="8"/>
  <c r="G84" i="8"/>
  <c r="AL84" i="8" s="1"/>
  <c r="R41" i="8"/>
  <c r="AB53" i="8"/>
  <c r="X54" i="8" s="1"/>
  <c r="D86" i="8"/>
  <c r="E85" i="8"/>
  <c r="AK85" i="8" s="1"/>
  <c r="F85" i="8"/>
  <c r="T41" i="8"/>
  <c r="J34" i="8"/>
  <c r="AQ34" i="8" l="1"/>
  <c r="AI48" i="8"/>
  <c r="AE49" i="8" s="1"/>
  <c r="AF49" i="8" s="1"/>
  <c r="AO49" i="8" s="1"/>
  <c r="AG48" i="8"/>
  <c r="AM41" i="8"/>
  <c r="AP41" i="8" s="1"/>
  <c r="AS41" i="8" s="1"/>
  <c r="U41" i="8"/>
  <c r="Q42" i="8" s="1"/>
  <c r="S41" i="8"/>
  <c r="H85" i="8"/>
  <c r="G85" i="8"/>
  <c r="AL85" i="8" s="1"/>
  <c r="Y54" i="8"/>
  <c r="AN54" i="8" s="1"/>
  <c r="F86" i="8"/>
  <c r="E86" i="8"/>
  <c r="AK86" i="8" s="1"/>
  <c r="D87" i="8"/>
  <c r="K34" i="8"/>
  <c r="N34" i="8" s="1"/>
  <c r="AR34" i="8" l="1"/>
  <c r="AV34" i="8"/>
  <c r="AG49" i="8"/>
  <c r="Z54" i="8"/>
  <c r="H86" i="8"/>
  <c r="G86" i="8"/>
  <c r="AL86" i="8" s="1"/>
  <c r="AI49" i="8"/>
  <c r="AE50" i="8" s="1"/>
  <c r="R42" i="8"/>
  <c r="AM42" i="8" s="1"/>
  <c r="AP42" i="8" s="1"/>
  <c r="AS42" i="8" s="1"/>
  <c r="AB54" i="8"/>
  <c r="X55" i="8" s="1"/>
  <c r="F87" i="8"/>
  <c r="D88" i="8"/>
  <c r="E87" i="8"/>
  <c r="AK87" i="8" s="1"/>
  <c r="T42" i="8"/>
  <c r="L34" i="8"/>
  <c r="AT34" i="8" s="1"/>
  <c r="M34" i="8"/>
  <c r="AF50" i="8" l="1"/>
  <c r="AO50" i="8" s="1"/>
  <c r="H87" i="8"/>
  <c r="G87" i="8"/>
  <c r="AL87" i="8" s="1"/>
  <c r="S42" i="8"/>
  <c r="U42" i="8"/>
  <c r="Q43" i="8" s="1"/>
  <c r="Y55" i="8"/>
  <c r="AN55" i="8" s="1"/>
  <c r="E88" i="8"/>
  <c r="AK88" i="8" s="1"/>
  <c r="F88" i="8"/>
  <c r="D89" i="8"/>
  <c r="AG50" i="8" l="1"/>
  <c r="AI50" i="8"/>
  <c r="AE51" i="8" s="1"/>
  <c r="AF51" i="8" s="1"/>
  <c r="AO51" i="8" s="1"/>
  <c r="Z55" i="8"/>
  <c r="H88" i="8"/>
  <c r="G88" i="8"/>
  <c r="AL88" i="8" s="1"/>
  <c r="R43" i="8"/>
  <c r="AB55" i="8"/>
  <c r="X56" i="8" s="1"/>
  <c r="F89" i="8"/>
  <c r="D90" i="8"/>
  <c r="E89" i="8"/>
  <c r="AK89" i="8" s="1"/>
  <c r="T43" i="8"/>
  <c r="J35" i="8"/>
  <c r="AQ35" i="8" l="1"/>
  <c r="AM43" i="8"/>
  <c r="AP43" i="8" s="1"/>
  <c r="AS43" i="8" s="1"/>
  <c r="AG51" i="8"/>
  <c r="U43" i="8"/>
  <c r="Q44" i="8" s="1"/>
  <c r="S43" i="8"/>
  <c r="H89" i="8"/>
  <c r="G89" i="8"/>
  <c r="AL89" i="8" s="1"/>
  <c r="AI51" i="8"/>
  <c r="AE52" i="8" s="1"/>
  <c r="Y56" i="8"/>
  <c r="AN56" i="8" s="1"/>
  <c r="K35" i="8"/>
  <c r="N35" i="8" s="1"/>
  <c r="D91" i="8"/>
  <c r="F90" i="8"/>
  <c r="E90" i="8"/>
  <c r="AK90" i="8" s="1"/>
  <c r="T44" i="8"/>
  <c r="M35" i="8"/>
  <c r="AR35" i="8" l="1"/>
  <c r="AV35" i="8"/>
  <c r="Z56" i="8"/>
  <c r="H90" i="8"/>
  <c r="G90" i="8"/>
  <c r="AL90" i="8" s="1"/>
  <c r="J36" i="8"/>
  <c r="AQ36" i="8" s="1"/>
  <c r="AF52" i="8"/>
  <c r="AO52" i="8" s="1"/>
  <c r="R44" i="8"/>
  <c r="AB56" i="8"/>
  <c r="X57" i="8" s="1"/>
  <c r="L35" i="8"/>
  <c r="AT35" i="8" s="1"/>
  <c r="D92" i="8"/>
  <c r="F91" i="8"/>
  <c r="E91" i="8"/>
  <c r="AK91" i="8" s="1"/>
  <c r="AT36" i="8" l="1"/>
  <c r="AM44" i="8"/>
  <c r="AP44" i="8" s="1"/>
  <c r="AS44" i="8" s="1"/>
  <c r="AG52" i="8"/>
  <c r="K36" i="8"/>
  <c r="L36" i="8" s="1"/>
  <c r="S44" i="8"/>
  <c r="H91" i="8"/>
  <c r="G91" i="8"/>
  <c r="AL91" i="8" s="1"/>
  <c r="AI52" i="8"/>
  <c r="AE53" i="8" s="1"/>
  <c r="U44" i="8"/>
  <c r="Q45" i="8" s="1"/>
  <c r="Y57" i="8"/>
  <c r="AN57" i="8" s="1"/>
  <c r="D93" i="8"/>
  <c r="E92" i="8"/>
  <c r="AK92" i="8" s="1"/>
  <c r="F92" i="8"/>
  <c r="M36" i="8"/>
  <c r="Z57" i="8" l="1"/>
  <c r="N36" i="8"/>
  <c r="H92" i="8"/>
  <c r="G92" i="8"/>
  <c r="AL92" i="8" s="1"/>
  <c r="AF53" i="8"/>
  <c r="AO53" i="8" s="1"/>
  <c r="R45" i="8"/>
  <c r="AM45" i="8" s="1"/>
  <c r="AP45" i="8" s="1"/>
  <c r="AS45" i="8" s="1"/>
  <c r="AB57" i="8"/>
  <c r="X58" i="8" s="1"/>
  <c r="E93" i="8"/>
  <c r="AK93" i="8" s="1"/>
  <c r="D94" i="8"/>
  <c r="F93" i="8"/>
  <c r="T45" i="8"/>
  <c r="AR36" i="8" l="1"/>
  <c r="AV36" i="8"/>
  <c r="AG53" i="8"/>
  <c r="U45" i="8"/>
  <c r="Q46" i="8" s="1"/>
  <c r="S45" i="8"/>
  <c r="H93" i="8"/>
  <c r="G93" i="8"/>
  <c r="AL93" i="8" s="1"/>
  <c r="AI53" i="8"/>
  <c r="AE54" i="8" s="1"/>
  <c r="Y58" i="8"/>
  <c r="AN58" i="8" s="1"/>
  <c r="F94" i="8"/>
  <c r="D95" i="8"/>
  <c r="E94" i="8"/>
  <c r="AK94" i="8" s="1"/>
  <c r="J37" i="8"/>
  <c r="AQ37" i="8" l="1"/>
  <c r="Z58" i="8"/>
  <c r="H94" i="8"/>
  <c r="G94" i="8"/>
  <c r="AL94" i="8" s="1"/>
  <c r="AF54" i="8"/>
  <c r="AO54" i="8" s="1"/>
  <c r="R46" i="8"/>
  <c r="AB58" i="8"/>
  <c r="X59" i="8" s="1"/>
  <c r="K37" i="8"/>
  <c r="N37" i="8" s="1"/>
  <c r="F95" i="8"/>
  <c r="D96" i="8"/>
  <c r="E95" i="8"/>
  <c r="AK95" i="8" s="1"/>
  <c r="T46" i="8"/>
  <c r="M37" i="8"/>
  <c r="AR37" i="8" l="1"/>
  <c r="AV37" i="8"/>
  <c r="AM46" i="8"/>
  <c r="AP46" i="8" s="1"/>
  <c r="AS46" i="8" s="1"/>
  <c r="AG54" i="8"/>
  <c r="H95" i="8"/>
  <c r="G95" i="8"/>
  <c r="AL95" i="8" s="1"/>
  <c r="S46" i="8"/>
  <c r="U46" i="8"/>
  <c r="Q47" i="8" s="1"/>
  <c r="AI54" i="8"/>
  <c r="AE55" i="8" s="1"/>
  <c r="Y59" i="8"/>
  <c r="AN59" i="8" s="1"/>
  <c r="L37" i="8"/>
  <c r="AT37" i="8" s="1"/>
  <c r="E96" i="8"/>
  <c r="AK96" i="8" s="1"/>
  <c r="F96" i="8"/>
  <c r="D97" i="8"/>
  <c r="Z59" i="8" l="1"/>
  <c r="H96" i="8"/>
  <c r="G96" i="8"/>
  <c r="AL96" i="8" s="1"/>
  <c r="AF55" i="8"/>
  <c r="AO55" i="8" s="1"/>
  <c r="R47" i="8"/>
  <c r="AB59" i="8"/>
  <c r="X60" i="8" s="1"/>
  <c r="D98" i="8"/>
  <c r="E97" i="8"/>
  <c r="AK97" i="8" s="1"/>
  <c r="F97" i="8"/>
  <c r="T47" i="8"/>
  <c r="J38" i="8"/>
  <c r="AQ38" i="8" l="1"/>
  <c r="AM47" i="8"/>
  <c r="AP47" i="8" s="1"/>
  <c r="AS47" i="8" s="1"/>
  <c r="AG55" i="8"/>
  <c r="U47" i="8"/>
  <c r="Q48" i="8" s="1"/>
  <c r="S47" i="8"/>
  <c r="H97" i="8"/>
  <c r="G97" i="8"/>
  <c r="AL97" i="8" s="1"/>
  <c r="AI55" i="8"/>
  <c r="AE56" i="8" s="1"/>
  <c r="Y60" i="8"/>
  <c r="AN60" i="8" s="1"/>
  <c r="E98" i="8"/>
  <c r="AK98" i="8" s="1"/>
  <c r="D99" i="8"/>
  <c r="F98" i="8"/>
  <c r="K38" i="8"/>
  <c r="N38" i="8" s="1"/>
  <c r="AR38" i="8" l="1"/>
  <c r="AV38" i="8"/>
  <c r="Z60" i="8"/>
  <c r="H98" i="8"/>
  <c r="G98" i="8"/>
  <c r="AL98" i="8" s="1"/>
  <c r="AF56" i="8"/>
  <c r="AO56" i="8" s="1"/>
  <c r="R48" i="8"/>
  <c r="AM48" i="8" s="1"/>
  <c r="AP48" i="8" s="1"/>
  <c r="AS48" i="8" s="1"/>
  <c r="AB60" i="8"/>
  <c r="X61" i="8" s="1"/>
  <c r="D100" i="8"/>
  <c r="E99" i="8"/>
  <c r="AK99" i="8" s="1"/>
  <c r="F99" i="8"/>
  <c r="T48" i="8"/>
  <c r="L38" i="8"/>
  <c r="AT38" i="8" s="1"/>
  <c r="M38" i="8"/>
  <c r="AG56" i="8" l="1"/>
  <c r="U48" i="8"/>
  <c r="S48" i="8"/>
  <c r="H99" i="8"/>
  <c r="G99" i="8"/>
  <c r="AL99" i="8" s="1"/>
  <c r="AI56" i="8"/>
  <c r="AE57" i="8" s="1"/>
  <c r="Y61" i="8"/>
  <c r="AN61" i="8" s="1"/>
  <c r="E100" i="8"/>
  <c r="AK100" i="8" s="1"/>
  <c r="F100" i="8"/>
  <c r="D101" i="8"/>
  <c r="AF57" i="8" l="1"/>
  <c r="AO57" i="8" s="1"/>
  <c r="Z61" i="8"/>
  <c r="H100" i="8"/>
  <c r="G100" i="8"/>
  <c r="AL100" i="8" s="1"/>
  <c r="AB61" i="8"/>
  <c r="X62" i="8" s="1"/>
  <c r="Y62" i="8" s="1"/>
  <c r="AN62" i="8" s="1"/>
  <c r="E101" i="8"/>
  <c r="AK101" i="8" s="1"/>
  <c r="F101" i="8"/>
  <c r="D102" i="8"/>
  <c r="Q49" i="8"/>
  <c r="J39" i="8"/>
  <c r="AQ39" i="8" l="1"/>
  <c r="AG57" i="8"/>
  <c r="AI57" i="8"/>
  <c r="AE58" i="8" s="1"/>
  <c r="Z62" i="8"/>
  <c r="H101" i="8"/>
  <c r="G101" i="8"/>
  <c r="AL101" i="8" s="1"/>
  <c r="AB62" i="8"/>
  <c r="X63" i="8" s="1"/>
  <c r="Y63" i="8" s="1"/>
  <c r="AN63" i="8" s="1"/>
  <c r="AF58" i="8"/>
  <c r="AO58" i="8" s="1"/>
  <c r="R49" i="8"/>
  <c r="F102" i="8"/>
  <c r="D103" i="8"/>
  <c r="E102" i="8"/>
  <c r="AK102" i="8" s="1"/>
  <c r="T49" i="8"/>
  <c r="K39" i="8"/>
  <c r="N39" i="8" s="1"/>
  <c r="AR39" i="8" l="1"/>
  <c r="AV39" i="8"/>
  <c r="AM49" i="8"/>
  <c r="AP49" i="8" s="1"/>
  <c r="AS49" i="8" s="1"/>
  <c r="AG58" i="8"/>
  <c r="Z63" i="8"/>
  <c r="U49" i="8"/>
  <c r="Q50" i="8" s="1"/>
  <c r="H102" i="8"/>
  <c r="G102" i="8"/>
  <c r="AL102" i="8" s="1"/>
  <c r="AB63" i="8"/>
  <c r="X64" i="8" s="1"/>
  <c r="Y64" i="8" s="1"/>
  <c r="AN64" i="8" s="1"/>
  <c r="S49" i="8"/>
  <c r="AI58" i="8"/>
  <c r="AE59" i="8" s="1"/>
  <c r="F103" i="8"/>
  <c r="D104" i="8"/>
  <c r="E103" i="8"/>
  <c r="AK103" i="8" s="1"/>
  <c r="L39" i="8"/>
  <c r="AT39" i="8" s="1"/>
  <c r="M39" i="8"/>
  <c r="AF59" i="8" l="1"/>
  <c r="AO59" i="8" s="1"/>
  <c r="Z64" i="8"/>
  <c r="H103" i="8"/>
  <c r="G103" i="8"/>
  <c r="AL103" i="8" s="1"/>
  <c r="R50" i="8"/>
  <c r="AB64" i="8"/>
  <c r="X65" i="8" s="1"/>
  <c r="F104" i="8"/>
  <c r="E104" i="8"/>
  <c r="AK104" i="8" s="1"/>
  <c r="D105" i="8"/>
  <c r="T50" i="8"/>
  <c r="AI59" i="8" l="1"/>
  <c r="AE60" i="8" s="1"/>
  <c r="AF60" i="8" s="1"/>
  <c r="AO60" i="8" s="1"/>
  <c r="AG59" i="8"/>
  <c r="AM50" i="8"/>
  <c r="AP50" i="8" s="1"/>
  <c r="AS50" i="8" s="1"/>
  <c r="H104" i="8"/>
  <c r="G104" i="8"/>
  <c r="AL104" i="8" s="1"/>
  <c r="S50" i="8"/>
  <c r="U50" i="8"/>
  <c r="Q51" i="8" s="1"/>
  <c r="Y65" i="8"/>
  <c r="AN65" i="8" s="1"/>
  <c r="E105" i="8"/>
  <c r="AK105" i="8" s="1"/>
  <c r="F105" i="8"/>
  <c r="D106" i="8"/>
  <c r="J40" i="8"/>
  <c r="AQ40" i="8" l="1"/>
  <c r="AG60" i="8"/>
  <c r="Z65" i="8"/>
  <c r="H105" i="8"/>
  <c r="G105" i="8"/>
  <c r="AL105" i="8" s="1"/>
  <c r="AI60" i="8"/>
  <c r="AE61" i="8" s="1"/>
  <c r="R51" i="8"/>
  <c r="AM51" i="8" s="1"/>
  <c r="AP51" i="8" s="1"/>
  <c r="AS51" i="8" s="1"/>
  <c r="AB65" i="8"/>
  <c r="X66" i="8" s="1"/>
  <c r="D107" i="8"/>
  <c r="F106" i="8"/>
  <c r="E106" i="8"/>
  <c r="AK106" i="8" s="1"/>
  <c r="T51" i="8"/>
  <c r="K40" i="8"/>
  <c r="N40" i="8" s="1"/>
  <c r="AR40" i="8" l="1"/>
  <c r="AV40" i="8"/>
  <c r="U51" i="8"/>
  <c r="Q52" i="8" s="1"/>
  <c r="S51" i="8"/>
  <c r="H106" i="8"/>
  <c r="G106" i="8"/>
  <c r="AL106" i="8" s="1"/>
  <c r="AF61" i="8"/>
  <c r="AO61" i="8" s="1"/>
  <c r="Y66" i="8"/>
  <c r="AN66" i="8" s="1"/>
  <c r="D108" i="8"/>
  <c r="E107" i="8"/>
  <c r="AK107" i="8" s="1"/>
  <c r="F107" i="8"/>
  <c r="L40" i="8"/>
  <c r="AT40" i="8" s="1"/>
  <c r="M40" i="8"/>
  <c r="AG61" i="8" l="1"/>
  <c r="Z66" i="8"/>
  <c r="H107" i="8"/>
  <c r="G107" i="8"/>
  <c r="AL107" i="8" s="1"/>
  <c r="AI61" i="8"/>
  <c r="AE62" i="8" s="1"/>
  <c r="R52" i="8"/>
  <c r="AB66" i="8"/>
  <c r="X67" i="8" s="1"/>
  <c r="D109" i="8"/>
  <c r="E108" i="8"/>
  <c r="AK108" i="8" s="1"/>
  <c r="F108" i="8"/>
  <c r="T52" i="8"/>
  <c r="AM52" i="8" l="1"/>
  <c r="AP52" i="8" s="1"/>
  <c r="AS52" i="8" s="1"/>
  <c r="H108" i="8"/>
  <c r="G108" i="8"/>
  <c r="AL108" i="8" s="1"/>
  <c r="S52" i="8"/>
  <c r="U52" i="8"/>
  <c r="Q53" i="8" s="1"/>
  <c r="AF62" i="8"/>
  <c r="AO62" i="8" s="1"/>
  <c r="Y67" i="8"/>
  <c r="AN67" i="8" s="1"/>
  <c r="F109" i="8"/>
  <c r="E109" i="8"/>
  <c r="AK109" i="8" s="1"/>
  <c r="D110" i="8"/>
  <c r="J41" i="8"/>
  <c r="AQ41" i="8" l="1"/>
  <c r="AG62" i="8"/>
  <c r="Z67" i="8"/>
  <c r="H109" i="8"/>
  <c r="G109" i="8"/>
  <c r="AL109" i="8" s="1"/>
  <c r="AI62" i="8"/>
  <c r="AE63" i="8" s="1"/>
  <c r="R53" i="8"/>
  <c r="AB67" i="8"/>
  <c r="X68" i="8" s="1"/>
  <c r="E110" i="8"/>
  <c r="AK110" i="8" s="1"/>
  <c r="F110" i="8"/>
  <c r="D111" i="8"/>
  <c r="T53" i="8"/>
  <c r="K41" i="8"/>
  <c r="N41" i="8" s="1"/>
  <c r="AR41" i="8" l="1"/>
  <c r="AV41" i="8"/>
  <c r="AM53" i="8"/>
  <c r="AP53" i="8" s="1"/>
  <c r="AS53" i="8" s="1"/>
  <c r="U53" i="8"/>
  <c r="Q54" i="8" s="1"/>
  <c r="S53" i="8"/>
  <c r="H110" i="8"/>
  <c r="G110" i="8"/>
  <c r="AL110" i="8" s="1"/>
  <c r="AF63" i="8"/>
  <c r="AO63" i="8" s="1"/>
  <c r="Y68" i="8"/>
  <c r="AN68" i="8" s="1"/>
  <c r="F111" i="8"/>
  <c r="D112" i="8"/>
  <c r="E111" i="8"/>
  <c r="AK111" i="8" s="1"/>
  <c r="L41" i="8"/>
  <c r="AT41" i="8" s="1"/>
  <c r="M41" i="8"/>
  <c r="AG63" i="8" l="1"/>
  <c r="Z68" i="8"/>
  <c r="H111" i="8"/>
  <c r="G111" i="8"/>
  <c r="AL111" i="8" s="1"/>
  <c r="AI63" i="8"/>
  <c r="AE64" i="8" s="1"/>
  <c r="R54" i="8"/>
  <c r="AM54" i="8" s="1"/>
  <c r="AP54" i="8" s="1"/>
  <c r="AS54" i="8" s="1"/>
  <c r="AB68" i="8"/>
  <c r="X69" i="8" s="1"/>
  <c r="F112" i="8"/>
  <c r="D113" i="8"/>
  <c r="E112" i="8"/>
  <c r="AK112" i="8" s="1"/>
  <c r="T54" i="8"/>
  <c r="H112" i="8" l="1"/>
  <c r="G112" i="8"/>
  <c r="AL112" i="8" s="1"/>
  <c r="U54" i="8"/>
  <c r="Q55" i="8" s="1"/>
  <c r="S54" i="8"/>
  <c r="AF64" i="8"/>
  <c r="AO64" i="8" s="1"/>
  <c r="Y69" i="8"/>
  <c r="AN69" i="8" s="1"/>
  <c r="D114" i="8"/>
  <c r="F113" i="8"/>
  <c r="E113" i="8"/>
  <c r="AK113" i="8" s="1"/>
  <c r="J42" i="8"/>
  <c r="AQ42" i="8" l="1"/>
  <c r="AG64" i="8"/>
  <c r="Z69" i="8"/>
  <c r="H113" i="8"/>
  <c r="G113" i="8"/>
  <c r="AL113" i="8" s="1"/>
  <c r="AI64" i="8"/>
  <c r="AE65" i="8" s="1"/>
  <c r="R55" i="8"/>
  <c r="AB69" i="8"/>
  <c r="X70" i="8" s="1"/>
  <c r="K42" i="8"/>
  <c r="N42" i="8" s="1"/>
  <c r="E114" i="8"/>
  <c r="AK114" i="8" s="1"/>
  <c r="D115" i="8"/>
  <c r="F114" i="8"/>
  <c r="T55" i="8"/>
  <c r="M42" i="8"/>
  <c r="AR42" i="8" l="1"/>
  <c r="AV42" i="8"/>
  <c r="AM55" i="8"/>
  <c r="AP55" i="8" s="1"/>
  <c r="AS55" i="8" s="1"/>
  <c r="U55" i="8"/>
  <c r="Q56" i="8" s="1"/>
  <c r="H114" i="8"/>
  <c r="G114" i="8"/>
  <c r="AL114" i="8" s="1"/>
  <c r="AF65" i="8"/>
  <c r="AO65" i="8" s="1"/>
  <c r="S55" i="8"/>
  <c r="Y70" i="8"/>
  <c r="AN70" i="8" s="1"/>
  <c r="L42" i="8"/>
  <c r="AT42" i="8" s="1"/>
  <c r="D116" i="8"/>
  <c r="E115" i="8"/>
  <c r="AK115" i="8" s="1"/>
  <c r="F115" i="8"/>
  <c r="AG65" i="8" l="1"/>
  <c r="Z70" i="8"/>
  <c r="H115" i="8"/>
  <c r="G115" i="8"/>
  <c r="AL115" i="8" s="1"/>
  <c r="AI65" i="8"/>
  <c r="AE66" i="8" s="1"/>
  <c r="AB70" i="8"/>
  <c r="X71" i="8" s="1"/>
  <c r="D117" i="8"/>
  <c r="E116" i="8"/>
  <c r="AK116" i="8" s="1"/>
  <c r="F116" i="8"/>
  <c r="R56" i="8"/>
  <c r="J43" i="8"/>
  <c r="AQ43" i="8" l="1"/>
  <c r="AF66" i="8"/>
  <c r="AO66" i="8" s="1"/>
  <c r="AM56" i="8"/>
  <c r="AP56" i="8" s="1"/>
  <c r="AS56" i="8" s="1"/>
  <c r="U56" i="8"/>
  <c r="H116" i="8"/>
  <c r="G116" i="8"/>
  <c r="AL116" i="8" s="1"/>
  <c r="Y71" i="8"/>
  <c r="AN71" i="8" s="1"/>
  <c r="E117" i="8"/>
  <c r="AK117" i="8" s="1"/>
  <c r="F117" i="8"/>
  <c r="D118" i="8"/>
  <c r="S56" i="8"/>
  <c r="T56" i="8"/>
  <c r="K43" i="8"/>
  <c r="N43" i="8" s="1"/>
  <c r="AI66" i="8" l="1"/>
  <c r="AE67" i="8" s="1"/>
  <c r="AF67" i="8" s="1"/>
  <c r="AO67" i="8" s="1"/>
  <c r="AG66" i="8"/>
  <c r="AR43" i="8"/>
  <c r="AV43" i="8"/>
  <c r="Z71" i="8"/>
  <c r="H117" i="8"/>
  <c r="G117" i="8"/>
  <c r="AL117" i="8" s="1"/>
  <c r="AB71" i="8"/>
  <c r="X72" i="8" s="1"/>
  <c r="E118" i="8"/>
  <c r="AK118" i="8" s="1"/>
  <c r="D119" i="8"/>
  <c r="F118" i="8"/>
  <c r="L43" i="8"/>
  <c r="AT43" i="8" s="1"/>
  <c r="M43" i="8"/>
  <c r="AG67" i="8" l="1"/>
  <c r="H118" i="8"/>
  <c r="G118" i="8"/>
  <c r="AL118" i="8" s="1"/>
  <c r="AI67" i="8"/>
  <c r="AE68" i="8" s="1"/>
  <c r="Y72" i="8"/>
  <c r="AN72" i="8" s="1"/>
  <c r="F119" i="8"/>
  <c r="D120" i="8"/>
  <c r="E119" i="8"/>
  <c r="AK119" i="8" s="1"/>
  <c r="Q57" i="8"/>
  <c r="AF68" i="8" l="1"/>
  <c r="AO68" i="8" s="1"/>
  <c r="Z72" i="8"/>
  <c r="H119" i="8"/>
  <c r="G119" i="8"/>
  <c r="AL119" i="8" s="1"/>
  <c r="AB72" i="8"/>
  <c r="X73" i="8" s="1"/>
  <c r="Y73" i="8" s="1"/>
  <c r="AN73" i="8" s="1"/>
  <c r="R57" i="8"/>
  <c r="D121" i="8"/>
  <c r="F120" i="8"/>
  <c r="E120" i="8"/>
  <c r="AK120" i="8" s="1"/>
  <c r="T57" i="8"/>
  <c r="J44" i="8"/>
  <c r="AQ44" i="8" l="1"/>
  <c r="AI68" i="8"/>
  <c r="AE69" i="8" s="1"/>
  <c r="AG68" i="8"/>
  <c r="AM57" i="8"/>
  <c r="AP57" i="8" s="1"/>
  <c r="AS57" i="8" s="1"/>
  <c r="Z73" i="8"/>
  <c r="U57" i="8"/>
  <c r="Q58" i="8" s="1"/>
  <c r="H120" i="8"/>
  <c r="G120" i="8"/>
  <c r="AL120" i="8" s="1"/>
  <c r="S57" i="8"/>
  <c r="AB73" i="8"/>
  <c r="X74" i="8" s="1"/>
  <c r="K44" i="8"/>
  <c r="N44" i="8" s="1"/>
  <c r="E121" i="8"/>
  <c r="AK121" i="8" s="1"/>
  <c r="F121" i="8"/>
  <c r="D122" i="8"/>
  <c r="M44" i="8"/>
  <c r="AF69" i="8" l="1"/>
  <c r="AO69" i="8" s="1"/>
  <c r="AR44" i="8"/>
  <c r="AV44" i="8"/>
  <c r="H121" i="8"/>
  <c r="G121" i="8"/>
  <c r="AL121" i="8" s="1"/>
  <c r="AI69" i="8"/>
  <c r="AE70" i="8" s="1"/>
  <c r="R58" i="8"/>
  <c r="AM58" i="8" s="1"/>
  <c r="AP58" i="8" s="1"/>
  <c r="AS58" i="8" s="1"/>
  <c r="Y74" i="8"/>
  <c r="AN74" i="8" s="1"/>
  <c r="L44" i="8"/>
  <c r="AT44" i="8" s="1"/>
  <c r="F122" i="8"/>
  <c r="E122" i="8"/>
  <c r="AK122" i="8" s="1"/>
  <c r="D123" i="8"/>
  <c r="T58" i="8"/>
  <c r="J45" i="8"/>
  <c r="AG69" i="8" l="1"/>
  <c r="AQ45" i="8"/>
  <c r="AF70" i="8"/>
  <c r="AO70" i="8" s="1"/>
  <c r="Z74" i="8"/>
  <c r="U58" i="8"/>
  <c r="Q59" i="8" s="1"/>
  <c r="S58" i="8"/>
  <c r="H122" i="8"/>
  <c r="G122" i="8"/>
  <c r="AL122" i="8" s="1"/>
  <c r="AB74" i="8"/>
  <c r="X75" i="8" s="1"/>
  <c r="Y75" i="8" s="1"/>
  <c r="AN75" i="8" s="1"/>
  <c r="D124" i="8"/>
  <c r="E123" i="8"/>
  <c r="AK123" i="8" s="1"/>
  <c r="F123" i="8"/>
  <c r="K45" i="8"/>
  <c r="N45" i="8" s="1"/>
  <c r="AG70" i="8" l="1"/>
  <c r="AR45" i="8"/>
  <c r="AV45" i="8"/>
  <c r="AI70" i="8"/>
  <c r="AE71" i="8" s="1"/>
  <c r="AF71" i="8" s="1"/>
  <c r="AO71" i="8" s="1"/>
  <c r="Z75" i="8"/>
  <c r="H123" i="8"/>
  <c r="G123" i="8"/>
  <c r="AL123" i="8" s="1"/>
  <c r="R59" i="8"/>
  <c r="AB75" i="8"/>
  <c r="X76" i="8" s="1"/>
  <c r="D125" i="8"/>
  <c r="F124" i="8"/>
  <c r="E124" i="8"/>
  <c r="AK124" i="8" s="1"/>
  <c r="T59" i="8"/>
  <c r="L45" i="8"/>
  <c r="AT45" i="8" s="1"/>
  <c r="M45" i="8"/>
  <c r="AM59" i="8" l="1"/>
  <c r="AP59" i="8" s="1"/>
  <c r="AS59" i="8" s="1"/>
  <c r="AG71" i="8"/>
  <c r="U59" i="8"/>
  <c r="Q60" i="8" s="1"/>
  <c r="S59" i="8"/>
  <c r="H124" i="8"/>
  <c r="G124" i="8"/>
  <c r="AL124" i="8" s="1"/>
  <c r="AI71" i="8"/>
  <c r="AE72" i="8" s="1"/>
  <c r="Y76" i="8"/>
  <c r="AN76" i="8" s="1"/>
  <c r="F125" i="8"/>
  <c r="D126" i="8"/>
  <c r="E125" i="8"/>
  <c r="AK125" i="8" s="1"/>
  <c r="Z76" i="8" l="1"/>
  <c r="H125" i="8"/>
  <c r="G125" i="8"/>
  <c r="AL125" i="8" s="1"/>
  <c r="AF72" i="8"/>
  <c r="AO72" i="8" s="1"/>
  <c r="R60" i="8"/>
  <c r="AM60" i="8" s="1"/>
  <c r="AP60" i="8" s="1"/>
  <c r="AS60" i="8" s="1"/>
  <c r="AB76" i="8"/>
  <c r="X77" i="8" s="1"/>
  <c r="E126" i="8"/>
  <c r="AK126" i="8" s="1"/>
  <c r="D127" i="8"/>
  <c r="F126" i="8"/>
  <c r="T60" i="8"/>
  <c r="J46" i="8"/>
  <c r="AQ46" i="8" l="1"/>
  <c r="AG72" i="8"/>
  <c r="H126" i="8"/>
  <c r="G126" i="8"/>
  <c r="AL126" i="8" s="1"/>
  <c r="S60" i="8"/>
  <c r="U60" i="8"/>
  <c r="Q61" i="8" s="1"/>
  <c r="AI72" i="8"/>
  <c r="AE73" i="8" s="1"/>
  <c r="Y77" i="8"/>
  <c r="AN77" i="8" s="1"/>
  <c r="D128" i="8"/>
  <c r="F127" i="8"/>
  <c r="E127" i="8"/>
  <c r="AK127" i="8" s="1"/>
  <c r="K46" i="8"/>
  <c r="N46" i="8" s="1"/>
  <c r="AR46" i="8" l="1"/>
  <c r="AV46" i="8"/>
  <c r="Z77" i="8"/>
  <c r="H127" i="8"/>
  <c r="G127" i="8"/>
  <c r="AL127" i="8" s="1"/>
  <c r="AF73" i="8"/>
  <c r="AO73" i="8" s="1"/>
  <c r="AB77" i="8"/>
  <c r="X78" i="8" s="1"/>
  <c r="D129" i="8"/>
  <c r="E128" i="8"/>
  <c r="AK128" i="8" s="1"/>
  <c r="F128" i="8"/>
  <c r="R61" i="8"/>
  <c r="L46" i="8"/>
  <c r="AT46" i="8" s="1"/>
  <c r="M46" i="8"/>
  <c r="AM61" i="8" l="1"/>
  <c r="AP61" i="8" s="1"/>
  <c r="AS61" i="8" s="1"/>
  <c r="AG73" i="8"/>
  <c r="U61" i="8"/>
  <c r="H128" i="8"/>
  <c r="G128" i="8"/>
  <c r="AL128" i="8" s="1"/>
  <c r="AI73" i="8"/>
  <c r="AE74" i="8" s="1"/>
  <c r="Y78" i="8"/>
  <c r="AN78" i="8" s="1"/>
  <c r="E129" i="8"/>
  <c r="AK129" i="8" s="1"/>
  <c r="F129" i="8"/>
  <c r="D130" i="8"/>
  <c r="S61" i="8"/>
  <c r="T61" i="8"/>
  <c r="Z78" i="8" l="1"/>
  <c r="H129" i="8"/>
  <c r="G129" i="8"/>
  <c r="AL129" i="8" s="1"/>
  <c r="AF74" i="8"/>
  <c r="AO74" i="8" s="1"/>
  <c r="AB78" i="8"/>
  <c r="X79" i="8" s="1"/>
  <c r="D131" i="8"/>
  <c r="F130" i="8"/>
  <c r="E130" i="8"/>
  <c r="AK130" i="8" s="1"/>
  <c r="J47" i="8"/>
  <c r="AQ47" i="8" l="1"/>
  <c r="AG74" i="8"/>
  <c r="H130" i="8"/>
  <c r="G130" i="8"/>
  <c r="AL130" i="8" s="1"/>
  <c r="AI74" i="8"/>
  <c r="AE75" i="8" s="1"/>
  <c r="Y79" i="8"/>
  <c r="AN79" i="8" s="1"/>
  <c r="D132" i="8"/>
  <c r="E131" i="8"/>
  <c r="AK131" i="8" s="1"/>
  <c r="F131" i="8"/>
  <c r="Q62" i="8"/>
  <c r="K47" i="8"/>
  <c r="N47" i="8" s="1"/>
  <c r="AR47" i="8" l="1"/>
  <c r="AV47" i="8"/>
  <c r="Z79" i="8"/>
  <c r="H131" i="8"/>
  <c r="G131" i="8"/>
  <c r="AL131" i="8" s="1"/>
  <c r="AF75" i="8"/>
  <c r="AO75" i="8" s="1"/>
  <c r="R62" i="8"/>
  <c r="AB79" i="8"/>
  <c r="X80" i="8" s="1"/>
  <c r="E132" i="8"/>
  <c r="AK132" i="8" s="1"/>
  <c r="D133" i="8"/>
  <c r="F132" i="8"/>
  <c r="T62" i="8"/>
  <c r="L47" i="8"/>
  <c r="AT47" i="8" s="1"/>
  <c r="M47" i="8"/>
  <c r="AM62" i="8" l="1"/>
  <c r="AP62" i="8" s="1"/>
  <c r="AS62" i="8" s="1"/>
  <c r="AG75" i="8"/>
  <c r="U62" i="8"/>
  <c r="Q63" i="8" s="1"/>
  <c r="H132" i="8"/>
  <c r="G132" i="8"/>
  <c r="AL132" i="8" s="1"/>
  <c r="S62" i="8"/>
  <c r="AI75" i="8"/>
  <c r="AE76" i="8" s="1"/>
  <c r="Y80" i="8"/>
  <c r="AN80" i="8" s="1"/>
  <c r="E133" i="8"/>
  <c r="AK133" i="8" s="1"/>
  <c r="D134" i="8"/>
  <c r="F133" i="8"/>
  <c r="Z80" i="8" l="1"/>
  <c r="H133" i="8"/>
  <c r="G133" i="8"/>
  <c r="AL133" i="8" s="1"/>
  <c r="AF76" i="8"/>
  <c r="AO76" i="8" s="1"/>
  <c r="R63" i="8"/>
  <c r="AB80" i="8"/>
  <c r="X81" i="8" s="1"/>
  <c r="F134" i="8"/>
  <c r="D135" i="8"/>
  <c r="E134" i="8"/>
  <c r="AK134" i="8" s="1"/>
  <c r="T63" i="8"/>
  <c r="J48" i="8"/>
  <c r="AQ48" i="8" l="1"/>
  <c r="AM63" i="8"/>
  <c r="AP63" i="8" s="1"/>
  <c r="AS63" i="8" s="1"/>
  <c r="AG76" i="8"/>
  <c r="S63" i="8"/>
  <c r="H134" i="8"/>
  <c r="G134" i="8"/>
  <c r="AL134" i="8" s="1"/>
  <c r="AI76" i="8"/>
  <c r="AE77" i="8" s="1"/>
  <c r="U63" i="8"/>
  <c r="Q64" i="8" s="1"/>
  <c r="Y81" i="8"/>
  <c r="AN81" i="8" s="1"/>
  <c r="D136" i="8"/>
  <c r="F135" i="8"/>
  <c r="E135" i="8"/>
  <c r="AK135" i="8" s="1"/>
  <c r="K48" i="8"/>
  <c r="N48" i="8" s="1"/>
  <c r="AR48" i="8" l="1"/>
  <c r="AV48" i="8"/>
  <c r="Z81" i="8"/>
  <c r="H135" i="8"/>
  <c r="G135" i="8"/>
  <c r="AL135" i="8" s="1"/>
  <c r="AF77" i="8"/>
  <c r="AO77" i="8" s="1"/>
  <c r="R64" i="8"/>
  <c r="AB81" i="8"/>
  <c r="X82" i="8" s="1"/>
  <c r="E136" i="8"/>
  <c r="AK136" i="8" s="1"/>
  <c r="D137" i="8"/>
  <c r="F136" i="8"/>
  <c r="T64" i="8"/>
  <c r="L48" i="8"/>
  <c r="AT48" i="8" s="1"/>
  <c r="M48" i="8"/>
  <c r="AM64" i="8" l="1"/>
  <c r="AP64" i="8" s="1"/>
  <c r="AS64" i="8" s="1"/>
  <c r="AG77" i="8"/>
  <c r="S64" i="8"/>
  <c r="H136" i="8"/>
  <c r="G136" i="8"/>
  <c r="AL136" i="8" s="1"/>
  <c r="U64" i="8"/>
  <c r="Q65" i="8" s="1"/>
  <c r="AI77" i="8"/>
  <c r="AE78" i="8" s="1"/>
  <c r="Y82" i="8"/>
  <c r="AN82" i="8" s="1"/>
  <c r="D138" i="8"/>
  <c r="F137" i="8"/>
  <c r="E137" i="8"/>
  <c r="AK137" i="8" s="1"/>
  <c r="T65" i="8"/>
  <c r="Z82" i="8" l="1"/>
  <c r="H137" i="8"/>
  <c r="G137" i="8"/>
  <c r="AL137" i="8" s="1"/>
  <c r="AF78" i="8"/>
  <c r="AO78" i="8" s="1"/>
  <c r="R65" i="8"/>
  <c r="AB82" i="8"/>
  <c r="X83" i="8" s="1"/>
  <c r="D139" i="8"/>
  <c r="E138" i="8"/>
  <c r="AK138" i="8" s="1"/>
  <c r="F138" i="8"/>
  <c r="J49" i="8"/>
  <c r="AQ49" i="8" l="1"/>
  <c r="AM65" i="8"/>
  <c r="AP65" i="8" s="1"/>
  <c r="AS65" i="8" s="1"/>
  <c r="AG78" i="8"/>
  <c r="S65" i="8"/>
  <c r="H138" i="8"/>
  <c r="G138" i="8"/>
  <c r="AL138" i="8" s="1"/>
  <c r="U65" i="8"/>
  <c r="Q66" i="8" s="1"/>
  <c r="AI78" i="8"/>
  <c r="AE79" i="8" s="1"/>
  <c r="Y83" i="8"/>
  <c r="AN83" i="8" s="1"/>
  <c r="K49" i="8"/>
  <c r="N49" i="8" s="1"/>
  <c r="D140" i="8"/>
  <c r="F139" i="8"/>
  <c r="E139" i="8"/>
  <c r="AK139" i="8" s="1"/>
  <c r="M49" i="8"/>
  <c r="AR49" i="8" l="1"/>
  <c r="AV49" i="8"/>
  <c r="Z83" i="8"/>
  <c r="H139" i="8"/>
  <c r="G139" i="8"/>
  <c r="AL139" i="8" s="1"/>
  <c r="AF79" i="8"/>
  <c r="AO79" i="8" s="1"/>
  <c r="R66" i="8"/>
  <c r="AB83" i="8"/>
  <c r="X84" i="8" s="1"/>
  <c r="L49" i="8"/>
  <c r="AT49" i="8" s="1"/>
  <c r="F140" i="8"/>
  <c r="E140" i="8"/>
  <c r="AK140" i="8" s="1"/>
  <c r="D141" i="8"/>
  <c r="T66" i="8"/>
  <c r="J50" i="8"/>
  <c r="AQ50" i="8" s="1"/>
  <c r="AT50" i="8" l="1"/>
  <c r="AM66" i="8"/>
  <c r="AP66" i="8" s="1"/>
  <c r="AS66" i="8" s="1"/>
  <c r="AG79" i="8"/>
  <c r="U66" i="8"/>
  <c r="Q67" i="8" s="1"/>
  <c r="H140" i="8"/>
  <c r="G140" i="8"/>
  <c r="AL140" i="8" s="1"/>
  <c r="AI79" i="8"/>
  <c r="AE80" i="8" s="1"/>
  <c r="S66" i="8"/>
  <c r="Y84" i="8"/>
  <c r="AN84" i="8" s="1"/>
  <c r="K50" i="8"/>
  <c r="L50" i="8" s="1"/>
  <c r="D142" i="8"/>
  <c r="E141" i="8"/>
  <c r="AK141" i="8" s="1"/>
  <c r="F141" i="8"/>
  <c r="M50" i="8"/>
  <c r="AF80" i="8" l="1"/>
  <c r="AO80" i="8" s="1"/>
  <c r="Z84" i="8"/>
  <c r="H141" i="8"/>
  <c r="G141" i="8"/>
  <c r="AL141" i="8" s="1"/>
  <c r="R67" i="8"/>
  <c r="AM67" i="8" s="1"/>
  <c r="AP67" i="8" s="1"/>
  <c r="AS67" i="8" s="1"/>
  <c r="AB84" i="8"/>
  <c r="X85" i="8" s="1"/>
  <c r="N50" i="8"/>
  <c r="F142" i="8"/>
  <c r="E142" i="8"/>
  <c r="AK142" i="8" s="1"/>
  <c r="D143" i="8"/>
  <c r="T67" i="8"/>
  <c r="AG80" i="8" l="1"/>
  <c r="AI80" i="8"/>
  <c r="AE81" i="8" s="1"/>
  <c r="AF81" i="8" s="1"/>
  <c r="AO81" i="8" s="1"/>
  <c r="AR50" i="8"/>
  <c r="AV50" i="8"/>
  <c r="H142" i="8"/>
  <c r="G142" i="8"/>
  <c r="AL142" i="8" s="1"/>
  <c r="J51" i="8"/>
  <c r="U67" i="8"/>
  <c r="Q68" i="8" s="1"/>
  <c r="S67" i="8"/>
  <c r="Y85" i="8"/>
  <c r="AN85" i="8" s="1"/>
  <c r="E143" i="8"/>
  <c r="AK143" i="8" s="1"/>
  <c r="F143" i="8"/>
  <c r="D144" i="8"/>
  <c r="AQ51" i="8" l="1"/>
  <c r="AG81" i="8"/>
  <c r="Z85" i="8"/>
  <c r="K51" i="8"/>
  <c r="N51" i="8" s="1"/>
  <c r="H143" i="8"/>
  <c r="G143" i="8"/>
  <c r="AL143" i="8" s="1"/>
  <c r="AB85" i="8"/>
  <c r="X86" i="8" s="1"/>
  <c r="Y86" i="8" s="1"/>
  <c r="AN86" i="8" s="1"/>
  <c r="AI81" i="8"/>
  <c r="AE82" i="8" s="1"/>
  <c r="R68" i="8"/>
  <c r="E144" i="8"/>
  <c r="AK144" i="8" s="1"/>
  <c r="D145" i="8"/>
  <c r="F144" i="8"/>
  <c r="T68" i="8"/>
  <c r="M51" i="8"/>
  <c r="AR51" i="8" l="1"/>
  <c r="AV51" i="8"/>
  <c r="AM68" i="8"/>
  <c r="AP68" i="8" s="1"/>
  <c r="AS68" i="8" s="1"/>
  <c r="Z86" i="8"/>
  <c r="L51" i="8"/>
  <c r="AT51" i="8" s="1"/>
  <c r="U68" i="8"/>
  <c r="Q69" i="8" s="1"/>
  <c r="H144" i="8"/>
  <c r="G144" i="8"/>
  <c r="AL144" i="8" s="1"/>
  <c r="S68" i="8"/>
  <c r="AF82" i="8"/>
  <c r="AO82" i="8" s="1"/>
  <c r="AB86" i="8"/>
  <c r="X87" i="8" s="1"/>
  <c r="D146" i="8"/>
  <c r="E145" i="8"/>
  <c r="AK145" i="8" s="1"/>
  <c r="F145" i="8"/>
  <c r="AG82" i="8" l="1"/>
  <c r="H145" i="8"/>
  <c r="G145" i="8"/>
  <c r="AL145" i="8" s="1"/>
  <c r="AI82" i="8"/>
  <c r="AE83" i="8" s="1"/>
  <c r="Y87" i="8"/>
  <c r="AN87" i="8" s="1"/>
  <c r="D147" i="8"/>
  <c r="F146" i="8"/>
  <c r="E146" i="8"/>
  <c r="AK146" i="8" s="1"/>
  <c r="R69" i="8"/>
  <c r="J52" i="8"/>
  <c r="AQ52" i="8" l="1"/>
  <c r="AM69" i="8"/>
  <c r="AP69" i="8" s="1"/>
  <c r="AS69" i="8" s="1"/>
  <c r="Z87" i="8"/>
  <c r="H146" i="8"/>
  <c r="G146" i="8"/>
  <c r="AL146" i="8" s="1"/>
  <c r="U69" i="8"/>
  <c r="AF83" i="8"/>
  <c r="AO83" i="8" s="1"/>
  <c r="AB87" i="8"/>
  <c r="X88" i="8" s="1"/>
  <c r="D148" i="8"/>
  <c r="E147" i="8"/>
  <c r="AK147" i="8" s="1"/>
  <c r="F147" i="8"/>
  <c r="S69" i="8"/>
  <c r="T69" i="8"/>
  <c r="K52" i="8"/>
  <c r="N52" i="8" s="1"/>
  <c r="AR52" i="8" l="1"/>
  <c r="AV52" i="8"/>
  <c r="AG83" i="8"/>
  <c r="H147" i="8"/>
  <c r="G147" i="8"/>
  <c r="AL147" i="8" s="1"/>
  <c r="AI83" i="8"/>
  <c r="AE84" i="8" s="1"/>
  <c r="Y88" i="8"/>
  <c r="AN88" i="8" s="1"/>
  <c r="F148" i="8"/>
  <c r="E148" i="8"/>
  <c r="AK148" i="8" s="1"/>
  <c r="D149" i="8"/>
  <c r="L52" i="8"/>
  <c r="AT52" i="8" s="1"/>
  <c r="M52" i="8"/>
  <c r="Z88" i="8" l="1"/>
  <c r="H148" i="8"/>
  <c r="G148" i="8"/>
  <c r="AL148" i="8" s="1"/>
  <c r="AF84" i="8"/>
  <c r="AO84" i="8" s="1"/>
  <c r="AB88" i="8"/>
  <c r="X89" i="8" s="1"/>
  <c r="E149" i="8"/>
  <c r="AK149" i="8" s="1"/>
  <c r="F149" i="8"/>
  <c r="D150" i="8"/>
  <c r="Q70" i="8"/>
  <c r="AG84" i="8" l="1"/>
  <c r="H149" i="8"/>
  <c r="G149" i="8"/>
  <c r="AL149" i="8" s="1"/>
  <c r="AI84" i="8"/>
  <c r="AE85" i="8" s="1"/>
  <c r="R70" i="8"/>
  <c r="Y89" i="8"/>
  <c r="AN89" i="8" s="1"/>
  <c r="F150" i="8"/>
  <c r="E150" i="8"/>
  <c r="AK150" i="8" s="1"/>
  <c r="D151" i="8"/>
  <c r="T70" i="8"/>
  <c r="J53" i="8"/>
  <c r="AQ53" i="8" l="1"/>
  <c r="AM70" i="8"/>
  <c r="AP70" i="8" s="1"/>
  <c r="AS70" i="8" s="1"/>
  <c r="Z89" i="8"/>
  <c r="U70" i="8"/>
  <c r="Q71" i="8" s="1"/>
  <c r="H150" i="8"/>
  <c r="G150" i="8"/>
  <c r="AL150" i="8" s="1"/>
  <c r="S70" i="8"/>
  <c r="AF85" i="8"/>
  <c r="AO85" i="8" s="1"/>
  <c r="AB89" i="8"/>
  <c r="X90" i="8" s="1"/>
  <c r="E151" i="8"/>
  <c r="AK151" i="8" s="1"/>
  <c r="D152" i="8"/>
  <c r="F151" i="8"/>
  <c r="K53" i="8"/>
  <c r="N53" i="8" s="1"/>
  <c r="AR53" i="8" l="1"/>
  <c r="AV53" i="8"/>
  <c r="AG85" i="8"/>
  <c r="H151" i="8"/>
  <c r="G151" i="8"/>
  <c r="AL151" i="8" s="1"/>
  <c r="AI85" i="8"/>
  <c r="AE86" i="8" s="1"/>
  <c r="R71" i="8"/>
  <c r="Y90" i="8"/>
  <c r="AN90" i="8" s="1"/>
  <c r="F152" i="8"/>
  <c r="E152" i="8"/>
  <c r="AK152" i="8" s="1"/>
  <c r="D153" i="8"/>
  <c r="T71" i="8"/>
  <c r="L53" i="8"/>
  <c r="AT53" i="8" s="1"/>
  <c r="M53" i="8"/>
  <c r="AM71" i="8" l="1"/>
  <c r="AP71" i="8" s="1"/>
  <c r="AS71" i="8" s="1"/>
  <c r="Z90" i="8"/>
  <c r="H152" i="8"/>
  <c r="G152" i="8"/>
  <c r="AL152" i="8" s="1"/>
  <c r="U71" i="8"/>
  <c r="Q72" i="8" s="1"/>
  <c r="AF86" i="8"/>
  <c r="AO86" i="8" s="1"/>
  <c r="S71" i="8"/>
  <c r="AB90" i="8"/>
  <c r="X91" i="8" s="1"/>
  <c r="E153" i="8"/>
  <c r="AK153" i="8" s="1"/>
  <c r="F153" i="8"/>
  <c r="D154" i="8"/>
  <c r="AG86" i="8" l="1"/>
  <c r="H153" i="8"/>
  <c r="G153" i="8"/>
  <c r="AL153" i="8" s="1"/>
  <c r="AI86" i="8"/>
  <c r="AE87" i="8" s="1"/>
  <c r="R72" i="8"/>
  <c r="AM72" i="8" s="1"/>
  <c r="AP72" i="8" s="1"/>
  <c r="AS72" i="8" s="1"/>
  <c r="Y91" i="8"/>
  <c r="AN91" i="8" s="1"/>
  <c r="D155" i="8"/>
  <c r="E154" i="8"/>
  <c r="AK154" i="8" s="1"/>
  <c r="F154" i="8"/>
  <c r="T72" i="8"/>
  <c r="J54" i="8"/>
  <c r="AQ54" i="8" l="1"/>
  <c r="Z91" i="8"/>
  <c r="U72" i="8"/>
  <c r="Q73" i="8" s="1"/>
  <c r="S72" i="8"/>
  <c r="H154" i="8"/>
  <c r="G154" i="8"/>
  <c r="AL154" i="8" s="1"/>
  <c r="AF87" i="8"/>
  <c r="AO87" i="8" s="1"/>
  <c r="AB91" i="8"/>
  <c r="X92" i="8" s="1"/>
  <c r="D156" i="8"/>
  <c r="F155" i="8"/>
  <c r="E155" i="8"/>
  <c r="AK155" i="8" s="1"/>
  <c r="T73" i="8"/>
  <c r="K54" i="8"/>
  <c r="N54" i="8" s="1"/>
  <c r="AR54" i="8" l="1"/>
  <c r="AV54" i="8"/>
  <c r="AG87" i="8"/>
  <c r="H155" i="8"/>
  <c r="G155" i="8"/>
  <c r="AL155" i="8" s="1"/>
  <c r="AI87" i="8"/>
  <c r="AE88" i="8" s="1"/>
  <c r="R73" i="8"/>
  <c r="Y92" i="8"/>
  <c r="AN92" i="8" s="1"/>
  <c r="F156" i="8"/>
  <c r="E156" i="8"/>
  <c r="AK156" i="8" s="1"/>
  <c r="D157" i="8"/>
  <c r="L54" i="8"/>
  <c r="AT54" i="8" s="1"/>
  <c r="M54" i="8"/>
  <c r="AF88" i="8" l="1"/>
  <c r="AO88" i="8" s="1"/>
  <c r="AM73" i="8"/>
  <c r="AP73" i="8" s="1"/>
  <c r="AS73" i="8" s="1"/>
  <c r="AG88" i="8"/>
  <c r="Z92" i="8"/>
  <c r="H156" i="8"/>
  <c r="G156" i="8"/>
  <c r="AL156" i="8" s="1"/>
  <c r="S73" i="8"/>
  <c r="U73" i="8"/>
  <c r="Q74" i="8" s="1"/>
  <c r="AB92" i="8"/>
  <c r="X93" i="8" s="1"/>
  <c r="D158" i="8"/>
  <c r="E157" i="8"/>
  <c r="AK157" i="8" s="1"/>
  <c r="F157" i="8"/>
  <c r="AI88" i="8" l="1"/>
  <c r="AE89" i="8" s="1"/>
  <c r="H157" i="8"/>
  <c r="G157" i="8"/>
  <c r="AL157" i="8" s="1"/>
  <c r="AF89" i="8"/>
  <c r="AO89" i="8" s="1"/>
  <c r="R74" i="8"/>
  <c r="Y93" i="8"/>
  <c r="AN93" i="8" s="1"/>
  <c r="F158" i="8"/>
  <c r="D159" i="8"/>
  <c r="E158" i="8"/>
  <c r="AK158" i="8" s="1"/>
  <c r="T74" i="8"/>
  <c r="J55" i="8"/>
  <c r="AQ55" i="8" l="1"/>
  <c r="AM74" i="8"/>
  <c r="AP74" i="8" s="1"/>
  <c r="AS74" i="8" s="1"/>
  <c r="AG89" i="8"/>
  <c r="Z93" i="8"/>
  <c r="S74" i="8"/>
  <c r="H158" i="8"/>
  <c r="G158" i="8"/>
  <c r="AL158" i="8" s="1"/>
  <c r="U74" i="8"/>
  <c r="Q75" i="8" s="1"/>
  <c r="AI89" i="8"/>
  <c r="AE90" i="8" s="1"/>
  <c r="AB93" i="8"/>
  <c r="X94" i="8" s="1"/>
  <c r="K55" i="8"/>
  <c r="N55" i="8" s="1"/>
  <c r="D160" i="8"/>
  <c r="E159" i="8"/>
  <c r="AK159" i="8" s="1"/>
  <c r="F159" i="8"/>
  <c r="M55" i="8"/>
  <c r="AR55" i="8" l="1"/>
  <c r="AV55" i="8"/>
  <c r="H159" i="8"/>
  <c r="G159" i="8"/>
  <c r="AL159" i="8" s="1"/>
  <c r="J56" i="8"/>
  <c r="AQ56" i="8" s="1"/>
  <c r="AF90" i="8"/>
  <c r="AO90" i="8" s="1"/>
  <c r="R75" i="8"/>
  <c r="AM75" i="8" s="1"/>
  <c r="AP75" i="8" s="1"/>
  <c r="AS75" i="8" s="1"/>
  <c r="Y94" i="8"/>
  <c r="AN94" i="8" s="1"/>
  <c r="L55" i="8"/>
  <c r="AT55" i="8" s="1"/>
  <c r="D161" i="8"/>
  <c r="F160" i="8"/>
  <c r="E160" i="8"/>
  <c r="AK160" i="8" s="1"/>
  <c r="T75" i="8"/>
  <c r="M56" i="8"/>
  <c r="AG90" i="8" l="1"/>
  <c r="Z94" i="8"/>
  <c r="U75" i="8"/>
  <c r="Q76" i="8" s="1"/>
  <c r="K56" i="8"/>
  <c r="L56" i="8" s="1"/>
  <c r="AT56" i="8" s="1"/>
  <c r="H160" i="8"/>
  <c r="G160" i="8"/>
  <c r="AL160" i="8" s="1"/>
  <c r="S75" i="8"/>
  <c r="AI90" i="8"/>
  <c r="AE91" i="8" s="1"/>
  <c r="AB94" i="8"/>
  <c r="X95" i="8" s="1"/>
  <c r="E161" i="8"/>
  <c r="AK161" i="8" s="1"/>
  <c r="F161" i="8"/>
  <c r="D162" i="8"/>
  <c r="T76" i="8"/>
  <c r="N56" i="8" l="1"/>
  <c r="H161" i="8"/>
  <c r="G161" i="8"/>
  <c r="AL161" i="8" s="1"/>
  <c r="AF91" i="8"/>
  <c r="AO91" i="8" s="1"/>
  <c r="R76" i="8"/>
  <c r="Y95" i="8"/>
  <c r="AN95" i="8" s="1"/>
  <c r="F162" i="8"/>
  <c r="D163" i="8"/>
  <c r="E162" i="8"/>
  <c r="AK162" i="8" s="1"/>
  <c r="AR56" i="8" l="1"/>
  <c r="AV56" i="8"/>
  <c r="AM76" i="8"/>
  <c r="AP76" i="8" s="1"/>
  <c r="AS76" i="8" s="1"/>
  <c r="AG91" i="8"/>
  <c r="J57" i="8"/>
  <c r="Z95" i="8"/>
  <c r="H162" i="8"/>
  <c r="G162" i="8"/>
  <c r="AL162" i="8" s="1"/>
  <c r="S76" i="8"/>
  <c r="AI91" i="8"/>
  <c r="AE92" i="8" s="1"/>
  <c r="U76" i="8"/>
  <c r="Q77" i="8" s="1"/>
  <c r="AB95" i="8"/>
  <c r="X96" i="8" s="1"/>
  <c r="F163" i="8"/>
  <c r="D164" i="8"/>
  <c r="E163" i="8"/>
  <c r="AK163" i="8" s="1"/>
  <c r="K57" i="8"/>
  <c r="N57" i="8" s="1"/>
  <c r="AQ57" i="8" l="1"/>
  <c r="AR57" i="8"/>
  <c r="AV57" i="8"/>
  <c r="H163" i="8"/>
  <c r="G163" i="8"/>
  <c r="AL163" i="8" s="1"/>
  <c r="AF92" i="8"/>
  <c r="AO92" i="8" s="1"/>
  <c r="R77" i="8"/>
  <c r="Y96" i="8"/>
  <c r="AN96" i="8" s="1"/>
  <c r="D165" i="8"/>
  <c r="F164" i="8"/>
  <c r="E164" i="8"/>
  <c r="AK164" i="8" s="1"/>
  <c r="T77" i="8"/>
  <c r="L57" i="8"/>
  <c r="AT57" i="8" s="1"/>
  <c r="M57" i="8"/>
  <c r="AM77" i="8" l="1"/>
  <c r="AP77" i="8" s="1"/>
  <c r="AS77" i="8" s="1"/>
  <c r="AG92" i="8"/>
  <c r="Z96" i="8"/>
  <c r="H164" i="8"/>
  <c r="G164" i="8"/>
  <c r="AL164" i="8" s="1"/>
  <c r="U77" i="8"/>
  <c r="Q78" i="8" s="1"/>
  <c r="AB96" i="8"/>
  <c r="X97" i="8" s="1"/>
  <c r="Y97" i="8" s="1"/>
  <c r="AN97" i="8" s="1"/>
  <c r="AI92" i="8"/>
  <c r="AE93" i="8" s="1"/>
  <c r="S77" i="8"/>
  <c r="F165" i="8"/>
  <c r="D166" i="8"/>
  <c r="E165" i="8"/>
  <c r="AK165" i="8" s="1"/>
  <c r="Z97" i="8" l="1"/>
  <c r="H165" i="8"/>
  <c r="G165" i="8"/>
  <c r="AL165" i="8" s="1"/>
  <c r="AF93" i="8"/>
  <c r="AO93" i="8" s="1"/>
  <c r="R78" i="8"/>
  <c r="AM78" i="8" s="1"/>
  <c r="AP78" i="8" s="1"/>
  <c r="AS78" i="8" s="1"/>
  <c r="AB97" i="8"/>
  <c r="X98" i="8" s="1"/>
  <c r="F166" i="8"/>
  <c r="D167" i="8"/>
  <c r="E166" i="8"/>
  <c r="AK166" i="8" s="1"/>
  <c r="T78" i="8"/>
  <c r="J58" i="8"/>
  <c r="AQ58" i="8" l="1"/>
  <c r="AG93" i="8"/>
  <c r="H166" i="8"/>
  <c r="G166" i="8"/>
  <c r="AL166" i="8" s="1"/>
  <c r="S78" i="8"/>
  <c r="AI93" i="8"/>
  <c r="AE94" i="8" s="1"/>
  <c r="U78" i="8"/>
  <c r="Y98" i="8"/>
  <c r="AN98" i="8" s="1"/>
  <c r="D168" i="8"/>
  <c r="E167" i="8"/>
  <c r="AK167" i="8" s="1"/>
  <c r="F167" i="8"/>
  <c r="K58" i="8"/>
  <c r="N58" i="8" s="1"/>
  <c r="AR58" i="8" l="1"/>
  <c r="AV58" i="8"/>
  <c r="Z98" i="8"/>
  <c r="H167" i="8"/>
  <c r="G167" i="8"/>
  <c r="AL167" i="8" s="1"/>
  <c r="AF94" i="8"/>
  <c r="AO94" i="8" s="1"/>
  <c r="AB98" i="8"/>
  <c r="X99" i="8" s="1"/>
  <c r="F168" i="8"/>
  <c r="D169" i="8"/>
  <c r="E168" i="8"/>
  <c r="AK168" i="8" s="1"/>
  <c r="Q79" i="8"/>
  <c r="L58" i="8"/>
  <c r="AT58" i="8" s="1"/>
  <c r="M58" i="8"/>
  <c r="AG94" i="8" l="1"/>
  <c r="H168" i="8"/>
  <c r="G168" i="8"/>
  <c r="AL168" i="8" s="1"/>
  <c r="AI94" i="8"/>
  <c r="AE95" i="8" s="1"/>
  <c r="R79" i="8"/>
  <c r="Y99" i="8"/>
  <c r="AN99" i="8" s="1"/>
  <c r="F169" i="8"/>
  <c r="D170" i="8"/>
  <c r="E169" i="8"/>
  <c r="AK169" i="8" s="1"/>
  <c r="T79" i="8"/>
  <c r="AM79" i="8" l="1"/>
  <c r="AP79" i="8" s="1"/>
  <c r="AS79" i="8" s="1"/>
  <c r="Z99" i="8"/>
  <c r="H169" i="8"/>
  <c r="G169" i="8"/>
  <c r="AL169" i="8" s="1"/>
  <c r="U79" i="8"/>
  <c r="Q80" i="8" s="1"/>
  <c r="S79" i="8"/>
  <c r="AF95" i="8"/>
  <c r="AO95" i="8" s="1"/>
  <c r="AB99" i="8"/>
  <c r="X100" i="8" s="1"/>
  <c r="F170" i="8"/>
  <c r="E170" i="8"/>
  <c r="AK170" i="8" s="1"/>
  <c r="D171" i="8"/>
  <c r="J59" i="8"/>
  <c r="AQ59" i="8" l="1"/>
  <c r="AG95" i="8"/>
  <c r="H170" i="8"/>
  <c r="G170" i="8"/>
  <c r="AL170" i="8" s="1"/>
  <c r="AI95" i="8"/>
  <c r="AE96" i="8" s="1"/>
  <c r="R80" i="8"/>
  <c r="Y100" i="8"/>
  <c r="AN100" i="8" s="1"/>
  <c r="E171" i="8"/>
  <c r="AK171" i="8" s="1"/>
  <c r="D172" i="8"/>
  <c r="F171" i="8"/>
  <c r="T80" i="8"/>
  <c r="K59" i="8"/>
  <c r="N59" i="8" s="1"/>
  <c r="AR59" i="8" l="1"/>
  <c r="AV59" i="8"/>
  <c r="AM80" i="8"/>
  <c r="AP80" i="8" s="1"/>
  <c r="AS80" i="8" s="1"/>
  <c r="Z100" i="8"/>
  <c r="H171" i="8"/>
  <c r="G171" i="8"/>
  <c r="AL171" i="8" s="1"/>
  <c r="U80" i="8"/>
  <c r="Q81" i="8" s="1"/>
  <c r="S80" i="8"/>
  <c r="AF96" i="8"/>
  <c r="AO96" i="8" s="1"/>
  <c r="AB100" i="8"/>
  <c r="X101" i="8" s="1"/>
  <c r="E172" i="8"/>
  <c r="AK172" i="8" s="1"/>
  <c r="F172" i="8"/>
  <c r="D173" i="8"/>
  <c r="L59" i="8"/>
  <c r="AT59" i="8" s="1"/>
  <c r="M59" i="8"/>
  <c r="AG96" i="8" l="1"/>
  <c r="H172" i="8"/>
  <c r="G172" i="8"/>
  <c r="AL172" i="8" s="1"/>
  <c r="AI96" i="8"/>
  <c r="AE97" i="8" s="1"/>
  <c r="R81" i="8"/>
  <c r="Y101" i="8"/>
  <c r="AN101" i="8" s="1"/>
  <c r="D174" i="8"/>
  <c r="F173" i="8"/>
  <c r="E173" i="8"/>
  <c r="AK173" i="8" s="1"/>
  <c r="T81" i="8"/>
  <c r="AM81" i="8" l="1"/>
  <c r="AP81" i="8" s="1"/>
  <c r="AS81" i="8" s="1"/>
  <c r="Z101" i="8"/>
  <c r="H173" i="8"/>
  <c r="G173" i="8"/>
  <c r="AL173" i="8" s="1"/>
  <c r="S81" i="8"/>
  <c r="U81" i="8"/>
  <c r="Q82" i="8" s="1"/>
  <c r="AF97" i="8"/>
  <c r="AO97" i="8" s="1"/>
  <c r="AB101" i="8"/>
  <c r="X102" i="8" s="1"/>
  <c r="F174" i="8"/>
  <c r="D175" i="8"/>
  <c r="E174" i="8"/>
  <c r="AK174" i="8" s="1"/>
  <c r="T82" i="8"/>
  <c r="J60" i="8"/>
  <c r="AQ60" i="8" l="1"/>
  <c r="AG97" i="8"/>
  <c r="AI97" i="8"/>
  <c r="AE98" i="8" s="1"/>
  <c r="H174" i="8"/>
  <c r="G174" i="8"/>
  <c r="AL174" i="8" s="1"/>
  <c r="R82" i="8"/>
  <c r="AM82" i="8" s="1"/>
  <c r="AP82" i="8" s="1"/>
  <c r="AS82" i="8" s="1"/>
  <c r="Y102" i="8"/>
  <c r="AN102" i="8" s="1"/>
  <c r="D176" i="8"/>
  <c r="E175" i="8"/>
  <c r="AK175" i="8" s="1"/>
  <c r="F175" i="8"/>
  <c r="K60" i="8"/>
  <c r="N60" i="8" s="1"/>
  <c r="AR60" i="8" l="1"/>
  <c r="AV60" i="8"/>
  <c r="AF98" i="8"/>
  <c r="AO98" i="8" s="1"/>
  <c r="AG98" i="8"/>
  <c r="Z102" i="8"/>
  <c r="S82" i="8"/>
  <c r="AI98" i="8"/>
  <c r="AE99" i="8" s="1"/>
  <c r="H175" i="8"/>
  <c r="G175" i="8"/>
  <c r="AL175" i="8" s="1"/>
  <c r="U82" i="8"/>
  <c r="Q83" i="8" s="1"/>
  <c r="AB102" i="8"/>
  <c r="X103" i="8" s="1"/>
  <c r="D177" i="8"/>
  <c r="F176" i="8"/>
  <c r="E176" i="8"/>
  <c r="AK176" i="8" s="1"/>
  <c r="L60" i="8"/>
  <c r="AT60" i="8" s="1"/>
  <c r="M60" i="8"/>
  <c r="AF99" i="8" l="1"/>
  <c r="AO99" i="8" s="1"/>
  <c r="H176" i="8"/>
  <c r="G176" i="8"/>
  <c r="AL176" i="8" s="1"/>
  <c r="R83" i="8"/>
  <c r="Y103" i="8"/>
  <c r="AN103" i="8" s="1"/>
  <c r="F177" i="8"/>
  <c r="D178" i="8"/>
  <c r="E177" i="8"/>
  <c r="AK177" i="8" s="1"/>
  <c r="T83" i="8"/>
  <c r="AG99" i="8" l="1"/>
  <c r="AI99" i="8"/>
  <c r="AE100" i="8" s="1"/>
  <c r="AF100" i="8" s="1"/>
  <c r="AO100" i="8" s="1"/>
  <c r="AM83" i="8"/>
  <c r="AP83" i="8" s="1"/>
  <c r="AS83" i="8" s="1"/>
  <c r="Z103" i="8"/>
  <c r="U83" i="8"/>
  <c r="Q84" i="8" s="1"/>
  <c r="H177" i="8"/>
  <c r="G177" i="8"/>
  <c r="AL177" i="8" s="1"/>
  <c r="AB103" i="8"/>
  <c r="X104" i="8" s="1"/>
  <c r="Y104" i="8" s="1"/>
  <c r="AN104" i="8" s="1"/>
  <c r="S83" i="8"/>
  <c r="D179" i="8"/>
  <c r="F178" i="8"/>
  <c r="E178" i="8"/>
  <c r="AK178" i="8" s="1"/>
  <c r="J61" i="8"/>
  <c r="AQ61" i="8" l="1"/>
  <c r="AG100" i="8"/>
  <c r="Z104" i="8"/>
  <c r="H178" i="8"/>
  <c r="G178" i="8"/>
  <c r="AL178" i="8" s="1"/>
  <c r="AI100" i="8"/>
  <c r="AE101" i="8" s="1"/>
  <c r="R84" i="8"/>
  <c r="AB104" i="8"/>
  <c r="X105" i="8" s="1"/>
  <c r="F179" i="8"/>
  <c r="D180" i="8"/>
  <c r="E179" i="8"/>
  <c r="AK179" i="8" s="1"/>
  <c r="T84" i="8"/>
  <c r="K61" i="8"/>
  <c r="N61" i="8" s="1"/>
  <c r="AF101" i="8" l="1"/>
  <c r="AO101" i="8" s="1"/>
  <c r="AR61" i="8"/>
  <c r="AV61" i="8"/>
  <c r="AM84" i="8"/>
  <c r="AP84" i="8" s="1"/>
  <c r="AS84" i="8" s="1"/>
  <c r="S84" i="8"/>
  <c r="H179" i="8"/>
  <c r="G179" i="8"/>
  <c r="AL179" i="8" s="1"/>
  <c r="U84" i="8"/>
  <c r="Q85" i="8" s="1"/>
  <c r="Y105" i="8"/>
  <c r="AN105" i="8" s="1"/>
  <c r="F180" i="8"/>
  <c r="E180" i="8"/>
  <c r="AK180" i="8" s="1"/>
  <c r="D181" i="8"/>
  <c r="L61" i="8"/>
  <c r="AT61" i="8" s="1"/>
  <c r="M61" i="8"/>
  <c r="AI101" i="8" l="1"/>
  <c r="AE102" i="8" s="1"/>
  <c r="AF102" i="8" s="1"/>
  <c r="AO102" i="8" s="1"/>
  <c r="AG101" i="8"/>
  <c r="Z105" i="8"/>
  <c r="H180" i="8"/>
  <c r="G180" i="8"/>
  <c r="AL180" i="8" s="1"/>
  <c r="R85" i="8"/>
  <c r="AM85" i="8" s="1"/>
  <c r="AP85" i="8" s="1"/>
  <c r="AS85" i="8" s="1"/>
  <c r="AB105" i="8"/>
  <c r="X106" i="8" s="1"/>
  <c r="D182" i="8"/>
  <c r="E181" i="8"/>
  <c r="AK181" i="8" s="1"/>
  <c r="F181" i="8"/>
  <c r="T85" i="8"/>
  <c r="AI102" i="8" l="1"/>
  <c r="AE103" i="8" s="1"/>
  <c r="AF103" i="8" s="1"/>
  <c r="AO103" i="8" s="1"/>
  <c r="AG102" i="8"/>
  <c r="U85" i="8"/>
  <c r="Q86" i="8" s="1"/>
  <c r="H181" i="8"/>
  <c r="G181" i="8"/>
  <c r="AL181" i="8" s="1"/>
  <c r="S85" i="8"/>
  <c r="Y106" i="8"/>
  <c r="AN106" i="8" s="1"/>
  <c r="E182" i="8"/>
  <c r="AK182" i="8" s="1"/>
  <c r="F182" i="8"/>
  <c r="D183" i="8"/>
  <c r="J62" i="8"/>
  <c r="AQ62" i="8" l="1"/>
  <c r="AG103" i="8"/>
  <c r="Z106" i="8"/>
  <c r="H182" i="8"/>
  <c r="G182" i="8"/>
  <c r="AL182" i="8" s="1"/>
  <c r="AI103" i="8"/>
  <c r="AE104" i="8" s="1"/>
  <c r="R86" i="8"/>
  <c r="AB106" i="8"/>
  <c r="X107" i="8" s="1"/>
  <c r="K62" i="8"/>
  <c r="L62" i="8" s="1"/>
  <c r="AT62" i="8" s="1"/>
  <c r="D184" i="8"/>
  <c r="E183" i="8"/>
  <c r="AK183" i="8" s="1"/>
  <c r="F183" i="8"/>
  <c r="T86" i="8"/>
  <c r="M62" i="8"/>
  <c r="AM86" i="8" l="1"/>
  <c r="AP86" i="8" s="1"/>
  <c r="AS86" i="8" s="1"/>
  <c r="U86" i="8"/>
  <c r="N62" i="8"/>
  <c r="H183" i="8"/>
  <c r="G183" i="8"/>
  <c r="AL183" i="8" s="1"/>
  <c r="AF104" i="8"/>
  <c r="AO104" i="8" s="1"/>
  <c r="S86" i="8"/>
  <c r="Y107" i="8"/>
  <c r="AN107" i="8" s="1"/>
  <c r="E184" i="8"/>
  <c r="AK184" i="8" s="1"/>
  <c r="D185" i="8"/>
  <c r="F184" i="8"/>
  <c r="AR62" i="8" l="1"/>
  <c r="AV62" i="8"/>
  <c r="AG104" i="8"/>
  <c r="Z107" i="8"/>
  <c r="H184" i="8"/>
  <c r="G184" i="8"/>
  <c r="AL184" i="8" s="1"/>
  <c r="J63" i="8"/>
  <c r="AB107" i="8"/>
  <c r="X108" i="8" s="1"/>
  <c r="Y108" i="8" s="1"/>
  <c r="AN108" i="8" s="1"/>
  <c r="AI104" i="8"/>
  <c r="AE105" i="8" s="1"/>
  <c r="D186" i="8"/>
  <c r="E185" i="8"/>
  <c r="AK185" i="8" s="1"/>
  <c r="F185" i="8"/>
  <c r="Q87" i="8"/>
  <c r="M63" i="8"/>
  <c r="AQ63" i="8" l="1"/>
  <c r="Z108" i="8"/>
  <c r="K63" i="8"/>
  <c r="H185" i="8"/>
  <c r="G185" i="8"/>
  <c r="AL185" i="8" s="1"/>
  <c r="AF105" i="8"/>
  <c r="AO105" i="8" s="1"/>
  <c r="AB108" i="8"/>
  <c r="X109" i="8" s="1"/>
  <c r="Y109" i="8" s="1"/>
  <c r="AN109" i="8" s="1"/>
  <c r="R87" i="8"/>
  <c r="E186" i="8"/>
  <c r="AK186" i="8" s="1"/>
  <c r="F186" i="8"/>
  <c r="D187" i="8"/>
  <c r="T87" i="8"/>
  <c r="AM87" i="8" l="1"/>
  <c r="AP87" i="8" s="1"/>
  <c r="AS87" i="8" s="1"/>
  <c r="AG105" i="8"/>
  <c r="Z109" i="8"/>
  <c r="L63" i="8"/>
  <c r="AT63" i="8" s="1"/>
  <c r="N63" i="8"/>
  <c r="AI105" i="8"/>
  <c r="AE106" i="8" s="1"/>
  <c r="S87" i="8"/>
  <c r="H186" i="8"/>
  <c r="G186" i="8"/>
  <c r="AL186" i="8" s="1"/>
  <c r="U87" i="8"/>
  <c r="Q88" i="8" s="1"/>
  <c r="AB109" i="8"/>
  <c r="X110" i="8" s="1"/>
  <c r="Y110" i="8" s="1"/>
  <c r="AN110" i="8" s="1"/>
  <c r="D188" i="8"/>
  <c r="E187" i="8"/>
  <c r="AK187" i="8" s="1"/>
  <c r="F187" i="8"/>
  <c r="T88" i="8"/>
  <c r="AF106" i="8" l="1"/>
  <c r="AO106" i="8" s="1"/>
  <c r="AR63" i="8"/>
  <c r="AV63" i="8"/>
  <c r="Z110" i="8"/>
  <c r="J64" i="8"/>
  <c r="H187" i="8"/>
  <c r="G187" i="8"/>
  <c r="AL187" i="8" s="1"/>
  <c r="AB110" i="8"/>
  <c r="X111" i="8" s="1"/>
  <c r="Y111" i="8" s="1"/>
  <c r="AN111" i="8" s="1"/>
  <c r="R88" i="8"/>
  <c r="E188" i="8"/>
  <c r="AK188" i="8" s="1"/>
  <c r="D189" i="8"/>
  <c r="F188" i="8"/>
  <c r="AQ64" i="8" l="1"/>
  <c r="AI106" i="8"/>
  <c r="AE107" i="8" s="1"/>
  <c r="AF107" i="8" s="1"/>
  <c r="AG106" i="8"/>
  <c r="AM88" i="8"/>
  <c r="AP88" i="8" s="1"/>
  <c r="AS88" i="8" s="1"/>
  <c r="Z111" i="8"/>
  <c r="K64" i="8"/>
  <c r="N64" i="8" s="1"/>
  <c r="S88" i="8"/>
  <c r="H188" i="8"/>
  <c r="G188" i="8"/>
  <c r="AL188" i="8" s="1"/>
  <c r="U88" i="8"/>
  <c r="Q89" i="8" s="1"/>
  <c r="AB111" i="8"/>
  <c r="X112" i="8" s="1"/>
  <c r="D190" i="8"/>
  <c r="F189" i="8"/>
  <c r="E189" i="8"/>
  <c r="AK189" i="8" s="1"/>
  <c r="M64" i="8"/>
  <c r="AO107" i="8" l="1"/>
  <c r="AG107" i="8"/>
  <c r="AI107" i="8"/>
  <c r="AE108" i="8" s="1"/>
  <c r="AR64" i="8"/>
  <c r="AV64" i="8"/>
  <c r="AF108" i="8"/>
  <c r="AG108" i="8" s="1"/>
  <c r="L64" i="8"/>
  <c r="AT64" i="8" s="1"/>
  <c r="H189" i="8"/>
  <c r="G189" i="8"/>
  <c r="AL189" i="8" s="1"/>
  <c r="R89" i="8"/>
  <c r="AM89" i="8" s="1"/>
  <c r="AP89" i="8" s="1"/>
  <c r="AS89" i="8" s="1"/>
  <c r="Y112" i="8"/>
  <c r="AN112" i="8" s="1"/>
  <c r="F190" i="8"/>
  <c r="D191" i="8"/>
  <c r="E190" i="8"/>
  <c r="AK190" i="8" s="1"/>
  <c r="T89" i="8"/>
  <c r="AO108" i="8" l="1"/>
  <c r="AI108" i="8"/>
  <c r="AE109" i="8" s="1"/>
  <c r="AF109" i="8" s="1"/>
  <c r="Z112" i="8"/>
  <c r="H190" i="8"/>
  <c r="G190" i="8"/>
  <c r="AL190" i="8" s="1"/>
  <c r="U89" i="8"/>
  <c r="S89" i="8"/>
  <c r="AB112" i="8"/>
  <c r="X113" i="8" s="1"/>
  <c r="D192" i="8"/>
  <c r="E191" i="8"/>
  <c r="AK191" i="8" s="1"/>
  <c r="F191" i="8"/>
  <c r="J65" i="8"/>
  <c r="AO109" i="8" l="1"/>
  <c r="AQ65" i="8"/>
  <c r="AG109" i="8"/>
  <c r="H191" i="8"/>
  <c r="G191" i="8"/>
  <c r="AL191" i="8" s="1"/>
  <c r="AI109" i="8"/>
  <c r="AE110" i="8" s="1"/>
  <c r="Y113" i="8"/>
  <c r="AN113" i="8" s="1"/>
  <c r="E192" i="8"/>
  <c r="AK192" i="8" s="1"/>
  <c r="F192" i="8"/>
  <c r="D193" i="8"/>
  <c r="Q90" i="8"/>
  <c r="K65" i="8"/>
  <c r="N65" i="8" s="1"/>
  <c r="AR65" i="8" l="1"/>
  <c r="AV65" i="8"/>
  <c r="Z113" i="8"/>
  <c r="H192" i="8"/>
  <c r="G192" i="8"/>
  <c r="AL192" i="8" s="1"/>
  <c r="AF110" i="8"/>
  <c r="AO110" i="8" s="1"/>
  <c r="AB113" i="8"/>
  <c r="X114" i="8" s="1"/>
  <c r="D194" i="8"/>
  <c r="E193" i="8"/>
  <c r="AK193" i="8" s="1"/>
  <c r="F193" i="8"/>
  <c r="R90" i="8"/>
  <c r="L65" i="8"/>
  <c r="AT65" i="8" s="1"/>
  <c r="M65" i="8"/>
  <c r="AM90" i="8" l="1"/>
  <c r="AP90" i="8" s="1"/>
  <c r="AS90" i="8" s="1"/>
  <c r="AG110" i="8"/>
  <c r="U90" i="8"/>
  <c r="H193" i="8"/>
  <c r="G193" i="8"/>
  <c r="AL193" i="8" s="1"/>
  <c r="AI110" i="8"/>
  <c r="AE111" i="8" s="1"/>
  <c r="Y114" i="8"/>
  <c r="AN114" i="8" s="1"/>
  <c r="D195" i="8"/>
  <c r="F194" i="8"/>
  <c r="E194" i="8"/>
  <c r="AK194" i="8" s="1"/>
  <c r="S90" i="8"/>
  <c r="T90" i="8"/>
  <c r="AF111" i="8" l="1"/>
  <c r="AO111" i="8" s="1"/>
  <c r="Z114" i="8"/>
  <c r="H194" i="8"/>
  <c r="G194" i="8"/>
  <c r="AL194" i="8" s="1"/>
  <c r="AB114" i="8"/>
  <c r="X115" i="8" s="1"/>
  <c r="Y115" i="8" s="1"/>
  <c r="AN115" i="8" s="1"/>
  <c r="D196" i="8"/>
  <c r="F195" i="8"/>
  <c r="E195" i="8"/>
  <c r="AK195" i="8" s="1"/>
  <c r="J66" i="8"/>
  <c r="AQ66" i="8" l="1"/>
  <c r="AI111" i="8"/>
  <c r="AE112" i="8" s="1"/>
  <c r="AF112" i="8" s="1"/>
  <c r="AO112" i="8" s="1"/>
  <c r="AG111" i="8"/>
  <c r="Z115" i="8"/>
  <c r="H195" i="8"/>
  <c r="G195" i="8"/>
  <c r="AL195" i="8" s="1"/>
  <c r="AB115" i="8"/>
  <c r="X116" i="8" s="1"/>
  <c r="K66" i="8"/>
  <c r="N66" i="8" s="1"/>
  <c r="E196" i="8"/>
  <c r="AK196" i="8" s="1"/>
  <c r="D197" i="8"/>
  <c r="F196" i="8"/>
  <c r="Q91" i="8"/>
  <c r="M66" i="8"/>
  <c r="AR66" i="8" l="1"/>
  <c r="AV66" i="8"/>
  <c r="AG112" i="8"/>
  <c r="J67" i="8"/>
  <c r="AQ67" i="8" s="1"/>
  <c r="AI112" i="8"/>
  <c r="AE113" i="8" s="1"/>
  <c r="H196" i="8"/>
  <c r="G196" i="8"/>
  <c r="AL196" i="8" s="1"/>
  <c r="R91" i="8"/>
  <c r="Y116" i="8"/>
  <c r="AN116" i="8" s="1"/>
  <c r="L66" i="8"/>
  <c r="AT66" i="8" s="1"/>
  <c r="D198" i="8"/>
  <c r="E197" i="8"/>
  <c r="AK197" i="8" s="1"/>
  <c r="F197" i="8"/>
  <c r="T91" i="8"/>
  <c r="M67" i="8"/>
  <c r="AM91" i="8" l="1"/>
  <c r="AP91" i="8" s="1"/>
  <c r="AS91" i="8" s="1"/>
  <c r="Z116" i="8"/>
  <c r="K67" i="8"/>
  <c r="L67" i="8" s="1"/>
  <c r="AT67" i="8" s="1"/>
  <c r="S91" i="8"/>
  <c r="H197" i="8"/>
  <c r="G197" i="8"/>
  <c r="AL197" i="8" s="1"/>
  <c r="AF113" i="8"/>
  <c r="AO113" i="8" s="1"/>
  <c r="U91" i="8"/>
  <c r="Q92" i="8" s="1"/>
  <c r="AB116" i="8"/>
  <c r="X117" i="8" s="1"/>
  <c r="F198" i="8"/>
  <c r="D199" i="8"/>
  <c r="E198" i="8"/>
  <c r="AK198" i="8" s="1"/>
  <c r="T92" i="8"/>
  <c r="AG113" i="8" l="1"/>
  <c r="N67" i="8"/>
  <c r="AI113" i="8"/>
  <c r="AE114" i="8" s="1"/>
  <c r="H198" i="8"/>
  <c r="G198" i="8"/>
  <c r="AL198" i="8" s="1"/>
  <c r="R92" i="8"/>
  <c r="Y117" i="8"/>
  <c r="AN117" i="8" s="1"/>
  <c r="D200" i="8"/>
  <c r="E199" i="8"/>
  <c r="AK199" i="8" s="1"/>
  <c r="F199" i="8"/>
  <c r="AF114" i="8" l="1"/>
  <c r="AO114" i="8" s="1"/>
  <c r="AR67" i="8"/>
  <c r="AV67" i="8"/>
  <c r="AM92" i="8"/>
  <c r="AP92" i="8" s="1"/>
  <c r="AS92" i="8" s="1"/>
  <c r="Z117" i="8"/>
  <c r="J68" i="8"/>
  <c r="AT68" i="8" s="1"/>
  <c r="H199" i="8"/>
  <c r="G199" i="8"/>
  <c r="AL199" i="8" s="1"/>
  <c r="S92" i="8"/>
  <c r="U92" i="8"/>
  <c r="Q93" i="8" s="1"/>
  <c r="AB117" i="8"/>
  <c r="X118" i="8" s="1"/>
  <c r="E200" i="8"/>
  <c r="AK200" i="8" s="1"/>
  <c r="D201" i="8"/>
  <c r="F200" i="8"/>
  <c r="AQ68" i="8" l="1"/>
  <c r="AI114" i="8"/>
  <c r="AE115" i="8" s="1"/>
  <c r="AF115" i="8" s="1"/>
  <c r="AG114" i="8"/>
  <c r="K68" i="8"/>
  <c r="N68" i="8" s="1"/>
  <c r="H200" i="8"/>
  <c r="G200" i="8"/>
  <c r="AL200" i="8" s="1"/>
  <c r="R93" i="8"/>
  <c r="Y118" i="8"/>
  <c r="AN118" i="8" s="1"/>
  <c r="F201" i="8"/>
  <c r="D202" i="8"/>
  <c r="E201" i="8"/>
  <c r="AK201" i="8" s="1"/>
  <c r="T93" i="8"/>
  <c r="M68" i="8"/>
  <c r="AO115" i="8" l="1"/>
  <c r="AG115" i="8"/>
  <c r="AI115" i="8"/>
  <c r="AE116" i="8" s="1"/>
  <c r="AF116" i="8"/>
  <c r="AG116" i="8" s="1"/>
  <c r="AR68" i="8"/>
  <c r="AV68" i="8"/>
  <c r="AM93" i="8"/>
  <c r="AP93" i="8" s="1"/>
  <c r="AS93" i="8" s="1"/>
  <c r="L68" i="8"/>
  <c r="Z118" i="8"/>
  <c r="U93" i="8"/>
  <c r="Q94" i="8" s="1"/>
  <c r="S93" i="8"/>
  <c r="H201" i="8"/>
  <c r="G201" i="8"/>
  <c r="AL201" i="8" s="1"/>
  <c r="AI116" i="8"/>
  <c r="AE117" i="8" s="1"/>
  <c r="AB118" i="8"/>
  <c r="X119" i="8" s="1"/>
  <c r="D203" i="8"/>
  <c r="E202" i="8"/>
  <c r="AK202" i="8" s="1"/>
  <c r="F202" i="8"/>
  <c r="AO116" i="8" l="1"/>
  <c r="H202" i="8"/>
  <c r="G202" i="8"/>
  <c r="AL202" i="8" s="1"/>
  <c r="AF117" i="8"/>
  <c r="AO117" i="8" s="1"/>
  <c r="Y119" i="8"/>
  <c r="AN119" i="8" s="1"/>
  <c r="E203" i="8"/>
  <c r="AK203" i="8" s="1"/>
  <c r="F203" i="8"/>
  <c r="D204" i="8"/>
  <c r="R94" i="8"/>
  <c r="J69" i="8"/>
  <c r="AT69" i="8" s="1"/>
  <c r="AQ69" i="8" l="1"/>
  <c r="AM94" i="8"/>
  <c r="AP94" i="8" s="1"/>
  <c r="AS94" i="8" s="1"/>
  <c r="AG117" i="8"/>
  <c r="Z119" i="8"/>
  <c r="H203" i="8"/>
  <c r="G203" i="8"/>
  <c r="AL203" i="8" s="1"/>
  <c r="U94" i="8"/>
  <c r="AI117" i="8"/>
  <c r="AE118" i="8" s="1"/>
  <c r="AB119" i="8"/>
  <c r="X120" i="8" s="1"/>
  <c r="F204" i="8"/>
  <c r="E204" i="8"/>
  <c r="AK204" i="8" s="1"/>
  <c r="D205" i="8"/>
  <c r="S94" i="8"/>
  <c r="T94" i="8"/>
  <c r="K69" i="8"/>
  <c r="N69" i="8" s="1"/>
  <c r="AR69" i="8" l="1"/>
  <c r="AV69" i="8"/>
  <c r="H204" i="8"/>
  <c r="G204" i="8"/>
  <c r="AL204" i="8" s="1"/>
  <c r="AF118" i="8"/>
  <c r="AO118" i="8" s="1"/>
  <c r="Y120" i="8"/>
  <c r="AN120" i="8" s="1"/>
  <c r="E205" i="8"/>
  <c r="AK205" i="8" s="1"/>
  <c r="F205" i="8"/>
  <c r="D206" i="8"/>
  <c r="L69" i="8"/>
  <c r="M69" i="8"/>
  <c r="AG118" i="8" l="1"/>
  <c r="Z120" i="8"/>
  <c r="H205" i="8"/>
  <c r="G205" i="8"/>
  <c r="AL205" i="8" s="1"/>
  <c r="AB120" i="8"/>
  <c r="X121" i="8" s="1"/>
  <c r="Y121" i="8" s="1"/>
  <c r="AN121" i="8" s="1"/>
  <c r="AI118" i="8"/>
  <c r="AE119" i="8" s="1"/>
  <c r="D207" i="8"/>
  <c r="F206" i="8"/>
  <c r="E206" i="8"/>
  <c r="AK206" i="8" s="1"/>
  <c r="Q95" i="8"/>
  <c r="Z121" i="8" l="1"/>
  <c r="H206" i="8"/>
  <c r="G206" i="8"/>
  <c r="AL206" i="8" s="1"/>
  <c r="AB121" i="8"/>
  <c r="X122" i="8" s="1"/>
  <c r="Y122" i="8" s="1"/>
  <c r="AN122" i="8" s="1"/>
  <c r="AF119" i="8"/>
  <c r="AO119" i="8" s="1"/>
  <c r="R95" i="8"/>
  <c r="F207" i="8"/>
  <c r="D208" i="8"/>
  <c r="E207" i="8"/>
  <c r="AK207" i="8" s="1"/>
  <c r="T95" i="8"/>
  <c r="J70" i="8"/>
  <c r="AT70" i="8" s="1"/>
  <c r="AQ70" i="8" l="1"/>
  <c r="AM95" i="8"/>
  <c r="AP95" i="8" s="1"/>
  <c r="AS95" i="8" s="1"/>
  <c r="AG119" i="8"/>
  <c r="Z122" i="8"/>
  <c r="H207" i="8"/>
  <c r="G207" i="8"/>
  <c r="AL207" i="8" s="1"/>
  <c r="S95" i="8"/>
  <c r="U95" i="8"/>
  <c r="Q96" i="8" s="1"/>
  <c r="AI119" i="8"/>
  <c r="AE120" i="8" s="1"/>
  <c r="AB122" i="8"/>
  <c r="X123" i="8" s="1"/>
  <c r="F208" i="8"/>
  <c r="D209" i="8"/>
  <c r="E208" i="8"/>
  <c r="AK208" i="8" s="1"/>
  <c r="K70" i="8"/>
  <c r="N70" i="8" s="1"/>
  <c r="AR70" i="8" l="1"/>
  <c r="AV70" i="8"/>
  <c r="H208" i="8"/>
  <c r="G208" i="8"/>
  <c r="AL208" i="8" s="1"/>
  <c r="AF120" i="8"/>
  <c r="AO120" i="8" s="1"/>
  <c r="R96" i="8"/>
  <c r="AM96" i="8" s="1"/>
  <c r="AP96" i="8" s="1"/>
  <c r="AS96" i="8" s="1"/>
  <c r="Y123" i="8"/>
  <c r="AN123" i="8" s="1"/>
  <c r="E209" i="8"/>
  <c r="AK209" i="8" s="1"/>
  <c r="F209" i="8"/>
  <c r="D210" i="8"/>
  <c r="T96" i="8"/>
  <c r="L70" i="8"/>
  <c r="M70" i="8"/>
  <c r="AG120" i="8" l="1"/>
  <c r="Z123" i="8"/>
  <c r="U96" i="8"/>
  <c r="S96" i="8"/>
  <c r="H209" i="8"/>
  <c r="G209" i="8"/>
  <c r="AL209" i="8" s="1"/>
  <c r="AI120" i="8"/>
  <c r="AE121" i="8" s="1"/>
  <c r="AB123" i="8"/>
  <c r="X124" i="8" s="1"/>
  <c r="F210" i="8"/>
  <c r="D211" i="8"/>
  <c r="E210" i="8"/>
  <c r="AK210" i="8" s="1"/>
  <c r="H210" i="8" l="1"/>
  <c r="G210" i="8"/>
  <c r="AL210" i="8" s="1"/>
  <c r="AF121" i="8"/>
  <c r="AO121" i="8" s="1"/>
  <c r="Y124" i="8"/>
  <c r="AN124" i="8" s="1"/>
  <c r="F211" i="8"/>
  <c r="D212" i="8"/>
  <c r="E211" i="8"/>
  <c r="AK211" i="8" s="1"/>
  <c r="Q97" i="8"/>
  <c r="J71" i="8"/>
  <c r="AT71" i="8" s="1"/>
  <c r="AQ71" i="8" l="1"/>
  <c r="AG121" i="8"/>
  <c r="Z124" i="8"/>
  <c r="H211" i="8"/>
  <c r="G211" i="8"/>
  <c r="AL211" i="8" s="1"/>
  <c r="AI121" i="8"/>
  <c r="AE122" i="8" s="1"/>
  <c r="AB124" i="8"/>
  <c r="X125" i="8" s="1"/>
  <c r="K71" i="8"/>
  <c r="N71" i="8" s="1"/>
  <c r="F212" i="8"/>
  <c r="E212" i="8"/>
  <c r="AK212" i="8" s="1"/>
  <c r="D213" i="8"/>
  <c r="R97" i="8"/>
  <c r="M71" i="8"/>
  <c r="AR71" i="8" l="1"/>
  <c r="AV71" i="8"/>
  <c r="AM97" i="8"/>
  <c r="AP97" i="8" s="1"/>
  <c r="AS97" i="8" s="1"/>
  <c r="J72" i="8"/>
  <c r="H212" i="8"/>
  <c r="G212" i="8"/>
  <c r="AL212" i="8" s="1"/>
  <c r="U97" i="8"/>
  <c r="AF122" i="8"/>
  <c r="AO122" i="8" s="1"/>
  <c r="Y125" i="8"/>
  <c r="AN125" i="8" s="1"/>
  <c r="L71" i="8"/>
  <c r="D214" i="8"/>
  <c r="E213" i="8"/>
  <c r="AK213" i="8" s="1"/>
  <c r="F213" i="8"/>
  <c r="S97" i="8"/>
  <c r="T97" i="8"/>
  <c r="AQ72" i="8" l="1"/>
  <c r="AT72" i="8"/>
  <c r="AG122" i="8"/>
  <c r="Z125" i="8"/>
  <c r="K72" i="8"/>
  <c r="L72" i="8" s="1"/>
  <c r="H213" i="8"/>
  <c r="G213" i="8"/>
  <c r="AL213" i="8" s="1"/>
  <c r="AI122" i="8"/>
  <c r="AE123" i="8" s="1"/>
  <c r="AB125" i="8"/>
  <c r="X126" i="8" s="1"/>
  <c r="D215" i="8"/>
  <c r="E214" i="8"/>
  <c r="AK214" i="8" s="1"/>
  <c r="F214" i="8"/>
  <c r="M72" i="8"/>
  <c r="N72" i="8" l="1"/>
  <c r="H214" i="8"/>
  <c r="G214" i="8"/>
  <c r="AL214" i="8" s="1"/>
  <c r="AF123" i="8"/>
  <c r="AO123" i="8" s="1"/>
  <c r="Y126" i="8"/>
  <c r="AN126" i="8" s="1"/>
  <c r="D216" i="8"/>
  <c r="E215" i="8"/>
  <c r="AK215" i="8" s="1"/>
  <c r="F215" i="8"/>
  <c r="Q98" i="8"/>
  <c r="AR72" i="8" l="1"/>
  <c r="AV72" i="8"/>
  <c r="AG123" i="8"/>
  <c r="Z126" i="8"/>
  <c r="H215" i="8"/>
  <c r="G215" i="8"/>
  <c r="AL215" i="8" s="1"/>
  <c r="AI123" i="8"/>
  <c r="AE124" i="8" s="1"/>
  <c r="R98" i="8"/>
  <c r="AB126" i="8"/>
  <c r="X127" i="8" s="1"/>
  <c r="E216" i="8"/>
  <c r="AK216" i="8" s="1"/>
  <c r="D217" i="8"/>
  <c r="F216" i="8"/>
  <c r="T98" i="8"/>
  <c r="J73" i="8"/>
  <c r="AT73" i="8" s="1"/>
  <c r="AQ73" i="8" l="1"/>
  <c r="AM98" i="8"/>
  <c r="AP98" i="8" s="1"/>
  <c r="AS98" i="8" s="1"/>
  <c r="U98" i="8"/>
  <c r="Q99" i="8" s="1"/>
  <c r="H216" i="8"/>
  <c r="G216" i="8"/>
  <c r="AL216" i="8" s="1"/>
  <c r="S98" i="8"/>
  <c r="AF124" i="8"/>
  <c r="AO124" i="8" s="1"/>
  <c r="Y127" i="8"/>
  <c r="AN127" i="8" s="1"/>
  <c r="D218" i="8"/>
  <c r="E217" i="8"/>
  <c r="AK217" i="8" s="1"/>
  <c r="F217" i="8"/>
  <c r="K73" i="8"/>
  <c r="N73" i="8" s="1"/>
  <c r="AR73" i="8" l="1"/>
  <c r="AV73" i="8"/>
  <c r="AG124" i="8"/>
  <c r="Z127" i="8"/>
  <c r="H217" i="8"/>
  <c r="G217" i="8"/>
  <c r="AL217" i="8" s="1"/>
  <c r="AB127" i="8"/>
  <c r="X128" i="8" s="1"/>
  <c r="Y128" i="8" s="1"/>
  <c r="AN128" i="8" s="1"/>
  <c r="AI124" i="8"/>
  <c r="AE125" i="8" s="1"/>
  <c r="R99" i="8"/>
  <c r="AM99" i="8" s="1"/>
  <c r="AP99" i="8" s="1"/>
  <c r="AS99" i="8" s="1"/>
  <c r="E218" i="8"/>
  <c r="AK218" i="8" s="1"/>
  <c r="D219" i="8"/>
  <c r="F218" i="8"/>
  <c r="T99" i="8"/>
  <c r="L73" i="8"/>
  <c r="M73" i="8"/>
  <c r="Z128" i="8" l="1"/>
  <c r="S99" i="8"/>
  <c r="H218" i="8"/>
  <c r="G218" i="8"/>
  <c r="AL218" i="8" s="1"/>
  <c r="U99" i="8"/>
  <c r="Q100" i="8" s="1"/>
  <c r="AB128" i="8"/>
  <c r="X129" i="8" s="1"/>
  <c r="Y129" i="8" s="1"/>
  <c r="AN129" i="8" s="1"/>
  <c r="AF125" i="8"/>
  <c r="AO125" i="8" s="1"/>
  <c r="F219" i="8"/>
  <c r="D220" i="8"/>
  <c r="E219" i="8"/>
  <c r="AK219" i="8" s="1"/>
  <c r="M74" i="8"/>
  <c r="M75" i="8" s="1"/>
  <c r="M76" i="8" s="1"/>
  <c r="M77" i="8" s="1"/>
  <c r="M78" i="8" s="1"/>
  <c r="M79" i="8" s="1"/>
  <c r="M80" i="8" s="1"/>
  <c r="M81" i="8" s="1"/>
  <c r="M82" i="8" s="1"/>
  <c r="M83" i="8" s="1"/>
  <c r="M84" i="8" s="1"/>
  <c r="M85" i="8" s="1"/>
  <c r="M86" i="8" s="1"/>
  <c r="M87" i="8" s="1"/>
  <c r="M88" i="8" s="1"/>
  <c r="M89" i="8" s="1"/>
  <c r="M90" i="8" s="1"/>
  <c r="M91" i="8" s="1"/>
  <c r="M92" i="8" s="1"/>
  <c r="M93" i="8" s="1"/>
  <c r="M94" i="8" s="1"/>
  <c r="M95" i="8" s="1"/>
  <c r="M96" i="8" s="1"/>
  <c r="M97" i="8" s="1"/>
  <c r="M98" i="8" s="1"/>
  <c r="M99" i="8" s="1"/>
  <c r="M100" i="8" s="1"/>
  <c r="M101" i="8" s="1"/>
  <c r="M102" i="8" s="1"/>
  <c r="M103" i="8" s="1"/>
  <c r="M104" i="8" s="1"/>
  <c r="M105" i="8" s="1"/>
  <c r="M106" i="8" s="1"/>
  <c r="M107" i="8" s="1"/>
  <c r="M108" i="8" s="1"/>
  <c r="M109" i="8" s="1"/>
  <c r="M110" i="8" s="1"/>
  <c r="M111" i="8" s="1"/>
  <c r="M112" i="8" s="1"/>
  <c r="M113" i="8" s="1"/>
  <c r="M114" i="8" s="1"/>
  <c r="M115" i="8" s="1"/>
  <c r="M116" i="8" s="1"/>
  <c r="M117" i="8" s="1"/>
  <c r="M118" i="8" s="1"/>
  <c r="M119" i="8" s="1"/>
  <c r="M120" i="8" s="1"/>
  <c r="M121" i="8" s="1"/>
  <c r="M122" i="8" s="1"/>
  <c r="M123" i="8" s="1"/>
  <c r="M124" i="8" s="1"/>
  <c r="M125" i="8" s="1"/>
  <c r="M126" i="8" s="1"/>
  <c r="M127" i="8" s="1"/>
  <c r="M128" i="8" s="1"/>
  <c r="M129" i="8" s="1"/>
  <c r="M130" i="8" s="1"/>
  <c r="M131" i="8" s="1"/>
  <c r="M132" i="8" s="1"/>
  <c r="M133" i="8" s="1"/>
  <c r="M134" i="8" s="1"/>
  <c r="M135" i="8" s="1"/>
  <c r="M136" i="8" s="1"/>
  <c r="M137" i="8" s="1"/>
  <c r="M138" i="8" s="1"/>
  <c r="M139" i="8" s="1"/>
  <c r="M140" i="8" s="1"/>
  <c r="M141" i="8" s="1"/>
  <c r="M142" i="8" s="1"/>
  <c r="M143" i="8" s="1"/>
  <c r="M144" i="8" s="1"/>
  <c r="M145" i="8" s="1"/>
  <c r="M146" i="8" s="1"/>
  <c r="M147" i="8" s="1"/>
  <c r="M148" i="8" s="1"/>
  <c r="M149" i="8" s="1"/>
  <c r="M150" i="8" s="1"/>
  <c r="M151" i="8" s="1"/>
  <c r="M152" i="8" s="1"/>
  <c r="M153" i="8" s="1"/>
  <c r="M154" i="8" s="1"/>
  <c r="M155" i="8" s="1"/>
  <c r="M156" i="8" s="1"/>
  <c r="M157" i="8" s="1"/>
  <c r="M158" i="8" s="1"/>
  <c r="M159" i="8" s="1"/>
  <c r="M160" i="8" s="1"/>
  <c r="M161" i="8" s="1"/>
  <c r="M162" i="8" s="1"/>
  <c r="M163" i="8" s="1"/>
  <c r="M164" i="8" s="1"/>
  <c r="M165" i="8" s="1"/>
  <c r="M166" i="8" s="1"/>
  <c r="M167" i="8" s="1"/>
  <c r="M168" i="8" s="1"/>
  <c r="M169" i="8" s="1"/>
  <c r="M170" i="8" s="1"/>
  <c r="M171" i="8" s="1"/>
  <c r="M172" i="8" s="1"/>
  <c r="M173" i="8" s="1"/>
  <c r="M174" i="8" s="1"/>
  <c r="M175" i="8" s="1"/>
  <c r="M176" i="8" s="1"/>
  <c r="M177" i="8" s="1"/>
  <c r="M178" i="8" s="1"/>
  <c r="M179" i="8" s="1"/>
  <c r="M180" i="8" s="1"/>
  <c r="M181" i="8" s="1"/>
  <c r="M182" i="8" s="1"/>
  <c r="M183" i="8" s="1"/>
  <c r="M184" i="8" s="1"/>
  <c r="M185" i="8" s="1"/>
  <c r="M186" i="8" s="1"/>
  <c r="M187" i="8" s="1"/>
  <c r="M188" i="8" s="1"/>
  <c r="M189" i="8" s="1"/>
  <c r="M190" i="8" s="1"/>
  <c r="M191" i="8" s="1"/>
  <c r="M192" i="8" s="1"/>
  <c r="M193" i="8" s="1"/>
  <c r="M194" i="8" s="1"/>
  <c r="M195" i="8" s="1"/>
  <c r="M196" i="8" s="1"/>
  <c r="M197" i="8" s="1"/>
  <c r="M198" i="8" s="1"/>
  <c r="M199" i="8" s="1"/>
  <c r="M200" i="8" s="1"/>
  <c r="M201" i="8" s="1"/>
  <c r="M202" i="8" s="1"/>
  <c r="M203" i="8" s="1"/>
  <c r="M204" i="8" s="1"/>
  <c r="M205" i="8" s="1"/>
  <c r="M206" i="8" s="1"/>
  <c r="M207" i="8" s="1"/>
  <c r="M208" i="8" s="1"/>
  <c r="M209" i="8" s="1"/>
  <c r="M210" i="8" s="1"/>
  <c r="M211" i="8" s="1"/>
  <c r="M212" i="8" s="1"/>
  <c r="M213" i="8" s="1"/>
  <c r="M214" i="8" s="1"/>
  <c r="M215" i="8" s="1"/>
  <c r="M216" i="8" s="1"/>
  <c r="M217" i="8" s="1"/>
  <c r="M218" i="8" s="1"/>
  <c r="M219" i="8" s="1"/>
  <c r="M220" i="8" s="1"/>
  <c r="M221" i="8" s="1"/>
  <c r="M222" i="8" s="1"/>
  <c r="M223" i="8" s="1"/>
  <c r="M224" i="8" s="1"/>
  <c r="M225" i="8" s="1"/>
  <c r="M226" i="8" s="1"/>
  <c r="M227" i="8" s="1"/>
  <c r="M228" i="8" s="1"/>
  <c r="M229" i="8" s="1"/>
  <c r="M230" i="8" s="1"/>
  <c r="M231" i="8" s="1"/>
  <c r="M232" i="8" s="1"/>
  <c r="M233" i="8" s="1"/>
  <c r="M234" i="8" s="1"/>
  <c r="M235" i="8" s="1"/>
  <c r="M236" i="8" s="1"/>
  <c r="M237" i="8" s="1"/>
  <c r="M238" i="8" s="1"/>
  <c r="M239" i="8" s="1"/>
  <c r="M240" i="8" s="1"/>
  <c r="M241" i="8" s="1"/>
  <c r="M242" i="8" s="1"/>
  <c r="M243" i="8" s="1"/>
  <c r="M244" i="8" s="1"/>
  <c r="M245" i="8" s="1"/>
  <c r="M246" i="8" s="1"/>
  <c r="M247" i="8" s="1"/>
  <c r="M248" i="8" s="1"/>
  <c r="M249" i="8" s="1"/>
  <c r="M250" i="8" s="1"/>
  <c r="M251" i="8" s="1"/>
  <c r="M252" i="8" s="1"/>
  <c r="M253" i="8" s="1"/>
  <c r="M254" i="8" s="1"/>
  <c r="M255" i="8" s="1"/>
  <c r="M256" i="8" s="1"/>
  <c r="M257" i="8" s="1"/>
  <c r="M258" i="8" s="1"/>
  <c r="M259" i="8" s="1"/>
  <c r="M260" i="8" s="1"/>
  <c r="M261" i="8" s="1"/>
  <c r="M262" i="8" s="1"/>
  <c r="M263" i="8" s="1"/>
  <c r="M264" i="8" s="1"/>
  <c r="M265" i="8" s="1"/>
  <c r="M266" i="8" s="1"/>
  <c r="M267" i="8" s="1"/>
  <c r="M268" i="8" s="1"/>
  <c r="M269" i="8" s="1"/>
  <c r="M270" i="8" s="1"/>
  <c r="M271" i="8" s="1"/>
  <c r="M272" i="8" s="1"/>
  <c r="M273" i="8" s="1"/>
  <c r="M274" i="8" s="1"/>
  <c r="M275" i="8" s="1"/>
  <c r="M276" i="8" s="1"/>
  <c r="M277" i="8" s="1"/>
  <c r="M278" i="8" s="1"/>
  <c r="M279" i="8" s="1"/>
  <c r="M280" i="8" s="1"/>
  <c r="M281" i="8" s="1"/>
  <c r="M282" i="8" s="1"/>
  <c r="M283" i="8" s="1"/>
  <c r="M284" i="8" s="1"/>
  <c r="M285" i="8" s="1"/>
  <c r="M286" i="8" s="1"/>
  <c r="M287" i="8" s="1"/>
  <c r="M288" i="8" s="1"/>
  <c r="M289" i="8" s="1"/>
  <c r="M290" i="8" s="1"/>
  <c r="M291" i="8" s="1"/>
  <c r="M292" i="8" s="1"/>
  <c r="M293" i="8" s="1"/>
  <c r="M294" i="8" s="1"/>
  <c r="M295" i="8" s="1"/>
  <c r="M296" i="8" s="1"/>
  <c r="M297" i="8" s="1"/>
  <c r="M298" i="8" s="1"/>
  <c r="M299" i="8" s="1"/>
  <c r="M300" i="8" s="1"/>
  <c r="M301" i="8" s="1"/>
  <c r="M302" i="8" s="1"/>
  <c r="M303" i="8" s="1"/>
  <c r="M304" i="8" s="1"/>
  <c r="M305" i="8" s="1"/>
  <c r="M306" i="8" s="1"/>
  <c r="M307" i="8" s="1"/>
  <c r="M308" i="8" s="1"/>
  <c r="M309" i="8" s="1"/>
  <c r="M310" i="8" s="1"/>
  <c r="M311" i="8" s="1"/>
  <c r="M312" i="8" s="1"/>
  <c r="M313" i="8" s="1"/>
  <c r="M314" i="8" s="1"/>
  <c r="M315" i="8" s="1"/>
  <c r="M316" i="8" s="1"/>
  <c r="M317" i="8" s="1"/>
  <c r="M318" i="8" s="1"/>
  <c r="M319" i="8" s="1"/>
  <c r="M320" i="8" s="1"/>
  <c r="M321" i="8" s="1"/>
  <c r="M322" i="8" s="1"/>
  <c r="M323" i="8" s="1"/>
  <c r="M324" i="8" s="1"/>
  <c r="M325" i="8" s="1"/>
  <c r="M326" i="8" s="1"/>
  <c r="M327" i="8" s="1"/>
  <c r="M328" i="8" s="1"/>
  <c r="M329" i="8" s="1"/>
  <c r="M330" i="8" s="1"/>
  <c r="M331" i="8" s="1"/>
  <c r="M332" i="8" s="1"/>
  <c r="M333" i="8" s="1"/>
  <c r="M334" i="8" s="1"/>
  <c r="M335" i="8" s="1"/>
  <c r="M336" i="8" s="1"/>
  <c r="M337" i="8" s="1"/>
  <c r="M338" i="8" s="1"/>
  <c r="M339" i="8" s="1"/>
  <c r="M340" i="8" s="1"/>
  <c r="M341" i="8" s="1"/>
  <c r="M342" i="8" s="1"/>
  <c r="M343" i="8" s="1"/>
  <c r="M344" i="8" s="1"/>
  <c r="M345" i="8" s="1"/>
  <c r="M346" i="8" s="1"/>
  <c r="M347" i="8" s="1"/>
  <c r="M348" i="8" s="1"/>
  <c r="M349" i="8" s="1"/>
  <c r="M350" i="8" s="1"/>
  <c r="M351" i="8" s="1"/>
  <c r="M352" i="8" s="1"/>
  <c r="M353" i="8" s="1"/>
  <c r="M354" i="8" s="1"/>
  <c r="M355" i="8" s="1"/>
  <c r="M356" i="8" s="1"/>
  <c r="M357" i="8" s="1"/>
  <c r="M358" i="8" s="1"/>
  <c r="M359" i="8" s="1"/>
  <c r="M360" i="8" s="1"/>
  <c r="M361" i="8" s="1"/>
  <c r="M362" i="8" s="1"/>
  <c r="M363" i="8" s="1"/>
  <c r="M364" i="8" s="1"/>
  <c r="M365" i="8" s="1"/>
  <c r="M366" i="8" s="1"/>
  <c r="M367" i="8" s="1"/>
  <c r="J74" i="8"/>
  <c r="AT74" i="8" s="1"/>
  <c r="AQ74" i="8" l="1"/>
  <c r="AG125" i="8"/>
  <c r="Z129" i="8"/>
  <c r="H219" i="8"/>
  <c r="G219" i="8"/>
  <c r="AL219" i="8" s="1"/>
  <c r="AI125" i="8"/>
  <c r="AE126" i="8" s="1"/>
  <c r="R100" i="8"/>
  <c r="AB129" i="8"/>
  <c r="X130" i="8" s="1"/>
  <c r="F220" i="8"/>
  <c r="E220" i="8"/>
  <c r="AK220" i="8" s="1"/>
  <c r="D221" i="8"/>
  <c r="T100" i="8"/>
  <c r="K74" i="8"/>
  <c r="L74" i="8" s="1"/>
  <c r="AM100" i="8" l="1"/>
  <c r="AP100" i="8" s="1"/>
  <c r="AS100" i="8" s="1"/>
  <c r="S100" i="8"/>
  <c r="H220" i="8"/>
  <c r="G220" i="8"/>
  <c r="AL220" i="8" s="1"/>
  <c r="AF126" i="8"/>
  <c r="AO126" i="8" s="1"/>
  <c r="U100" i="8"/>
  <c r="Q101" i="8" s="1"/>
  <c r="Y130" i="8"/>
  <c r="AN130" i="8" s="1"/>
  <c r="N74" i="8"/>
  <c r="F221" i="8"/>
  <c r="E221" i="8"/>
  <c r="AK221" i="8" s="1"/>
  <c r="D222" i="8"/>
  <c r="AR74" i="8" l="1"/>
  <c r="AV74" i="8"/>
  <c r="AG126" i="8"/>
  <c r="Z130" i="8"/>
  <c r="J75" i="8"/>
  <c r="AT75" i="8" s="1"/>
  <c r="H221" i="8"/>
  <c r="G221" i="8"/>
  <c r="AL221" i="8" s="1"/>
  <c r="AI126" i="8"/>
  <c r="AE127" i="8" s="1"/>
  <c r="R101" i="8"/>
  <c r="AB130" i="8"/>
  <c r="X131" i="8" s="1"/>
  <c r="F222" i="8"/>
  <c r="D223" i="8"/>
  <c r="E222" i="8"/>
  <c r="AK222" i="8" s="1"/>
  <c r="T101" i="8"/>
  <c r="AQ75" i="8" l="1"/>
  <c r="AM101" i="8"/>
  <c r="AP101" i="8" s="1"/>
  <c r="AS101" i="8" s="1"/>
  <c r="K75" i="8"/>
  <c r="S101" i="8"/>
  <c r="H222" i="8"/>
  <c r="G222" i="8"/>
  <c r="AL222" i="8" s="1"/>
  <c r="U101" i="8"/>
  <c r="Q102" i="8" s="1"/>
  <c r="R102" i="8" s="1"/>
  <c r="AF127" i="8"/>
  <c r="AO127" i="8" s="1"/>
  <c r="Y131" i="8"/>
  <c r="AN131" i="8" s="1"/>
  <c r="D224" i="8"/>
  <c r="E223" i="8"/>
  <c r="AK223" i="8" s="1"/>
  <c r="F223" i="8"/>
  <c r="AM102" i="8" l="1"/>
  <c r="AP102" i="8" s="1"/>
  <c r="AS102" i="8" s="1"/>
  <c r="AG127" i="8"/>
  <c r="Z131" i="8"/>
  <c r="L75" i="8"/>
  <c r="N75" i="8"/>
  <c r="S102" i="8"/>
  <c r="H223" i="8"/>
  <c r="G223" i="8"/>
  <c r="AL223" i="8" s="1"/>
  <c r="AI127" i="8"/>
  <c r="AE128" i="8" s="1"/>
  <c r="U102" i="8"/>
  <c r="AB131" i="8"/>
  <c r="X132" i="8" s="1"/>
  <c r="D225" i="8"/>
  <c r="F224" i="8"/>
  <c r="E224" i="8"/>
  <c r="AK224" i="8" s="1"/>
  <c r="T102" i="8"/>
  <c r="AR75" i="8" l="1"/>
  <c r="AV75" i="8"/>
  <c r="J76" i="8"/>
  <c r="AT76" i="8" s="1"/>
  <c r="H224" i="8"/>
  <c r="G224" i="8"/>
  <c r="AL224" i="8" s="1"/>
  <c r="AF128" i="8"/>
  <c r="AO128" i="8" s="1"/>
  <c r="Y132" i="8"/>
  <c r="AN132" i="8" s="1"/>
  <c r="D226" i="8"/>
  <c r="E225" i="8"/>
  <c r="AK225" i="8" s="1"/>
  <c r="F225" i="8"/>
  <c r="Q103" i="8"/>
  <c r="AQ76" i="8" l="1"/>
  <c r="AG128" i="8"/>
  <c r="Z132" i="8"/>
  <c r="K76" i="8"/>
  <c r="L76" i="8" s="1"/>
  <c r="H225" i="8"/>
  <c r="G225" i="8"/>
  <c r="AL225" i="8" s="1"/>
  <c r="AI128" i="8"/>
  <c r="AE129" i="8" s="1"/>
  <c r="AB132" i="8"/>
  <c r="X133" i="8" s="1"/>
  <c r="D227" i="8"/>
  <c r="E226" i="8"/>
  <c r="AK226" i="8" s="1"/>
  <c r="F226" i="8"/>
  <c r="R103" i="8"/>
  <c r="AM103" i="8" l="1"/>
  <c r="AP103" i="8" s="1"/>
  <c r="AS103" i="8" s="1"/>
  <c r="N76" i="8"/>
  <c r="AV76" i="8" s="1"/>
  <c r="U103" i="8"/>
  <c r="H226" i="8"/>
  <c r="G226" i="8"/>
  <c r="AL226" i="8" s="1"/>
  <c r="AF129" i="8"/>
  <c r="AO129" i="8" s="1"/>
  <c r="Y133" i="8"/>
  <c r="AN133" i="8" s="1"/>
  <c r="D228" i="8"/>
  <c r="E227" i="8"/>
  <c r="AK227" i="8" s="1"/>
  <c r="F227" i="8"/>
  <c r="S103" i="8"/>
  <c r="T103" i="8"/>
  <c r="J77" i="8" l="1"/>
  <c r="AT77" i="8" s="1"/>
  <c r="AR76" i="8"/>
  <c r="AG129" i="8"/>
  <c r="Z133" i="8"/>
  <c r="H227" i="8"/>
  <c r="G227" i="8"/>
  <c r="AL227" i="8" s="1"/>
  <c r="AI129" i="8"/>
  <c r="AE130" i="8" s="1"/>
  <c r="AB133" i="8"/>
  <c r="X134" i="8" s="1"/>
  <c r="E228" i="8"/>
  <c r="AK228" i="8" s="1"/>
  <c r="F228" i="8"/>
  <c r="D229" i="8"/>
  <c r="AQ77" i="8" l="1"/>
  <c r="K77" i="8"/>
  <c r="L77" i="8" s="1"/>
  <c r="N77" i="8"/>
  <c r="AV77" i="8" s="1"/>
  <c r="H228" i="8"/>
  <c r="G228" i="8"/>
  <c r="AL228" i="8" s="1"/>
  <c r="AF130" i="8"/>
  <c r="AO130" i="8" s="1"/>
  <c r="Y134" i="8"/>
  <c r="AN134" i="8" s="1"/>
  <c r="D230" i="8"/>
  <c r="F229" i="8"/>
  <c r="E229" i="8"/>
  <c r="AK229" i="8" s="1"/>
  <c r="Q104" i="8"/>
  <c r="AR77" i="8" l="1"/>
  <c r="J78" i="8"/>
  <c r="AG130" i="8"/>
  <c r="Z134" i="8"/>
  <c r="H229" i="8"/>
  <c r="G229" i="8"/>
  <c r="AL229" i="8" s="1"/>
  <c r="AI130" i="8"/>
  <c r="AE131" i="8" s="1"/>
  <c r="AB134" i="8"/>
  <c r="X135" i="8" s="1"/>
  <c r="D231" i="8"/>
  <c r="E230" i="8"/>
  <c r="AK230" i="8" s="1"/>
  <c r="F230" i="8"/>
  <c r="R104" i="8"/>
  <c r="AT78" i="8" l="1"/>
  <c r="K78" i="8"/>
  <c r="L78" i="8" s="1"/>
  <c r="AQ78" i="8"/>
  <c r="AM104" i="8"/>
  <c r="AP104" i="8" s="1"/>
  <c r="AS104" i="8" s="1"/>
  <c r="U104" i="8"/>
  <c r="H230" i="8"/>
  <c r="G230" i="8"/>
  <c r="AL230" i="8" s="1"/>
  <c r="AF131" i="8"/>
  <c r="AO131" i="8" s="1"/>
  <c r="Y135" i="8"/>
  <c r="AN135" i="8" s="1"/>
  <c r="D232" i="8"/>
  <c r="F231" i="8"/>
  <c r="E231" i="8"/>
  <c r="AK231" i="8" s="1"/>
  <c r="S104" i="8"/>
  <c r="T104" i="8"/>
  <c r="N78" i="8" l="1"/>
  <c r="AV78" i="8" s="1"/>
  <c r="AG131" i="8"/>
  <c r="Z135" i="8"/>
  <c r="H231" i="8"/>
  <c r="G231" i="8"/>
  <c r="AL231" i="8" s="1"/>
  <c r="AI131" i="8"/>
  <c r="AE132" i="8" s="1"/>
  <c r="AB135" i="8"/>
  <c r="X136" i="8" s="1"/>
  <c r="D233" i="8"/>
  <c r="F232" i="8"/>
  <c r="E232" i="8"/>
  <c r="AK232" i="8" s="1"/>
  <c r="AR78" i="8" l="1"/>
  <c r="J79" i="8"/>
  <c r="K79" i="8"/>
  <c r="L79" i="8" s="1"/>
  <c r="AQ79" i="8"/>
  <c r="H232" i="8"/>
  <c r="G232" i="8"/>
  <c r="AL232" i="8" s="1"/>
  <c r="AF132" i="8"/>
  <c r="AO132" i="8" s="1"/>
  <c r="Y136" i="8"/>
  <c r="AN136" i="8" s="1"/>
  <c r="D234" i="8"/>
  <c r="E233" i="8"/>
  <c r="AK233" i="8" s="1"/>
  <c r="F233" i="8"/>
  <c r="Q105" i="8"/>
  <c r="AT79" i="8" l="1"/>
  <c r="N79" i="8"/>
  <c r="AG132" i="8"/>
  <c r="Z136" i="8"/>
  <c r="H233" i="8"/>
  <c r="G233" i="8"/>
  <c r="AL233" i="8" s="1"/>
  <c r="AI132" i="8"/>
  <c r="AE133" i="8" s="1"/>
  <c r="AB136" i="8"/>
  <c r="X137" i="8" s="1"/>
  <c r="D235" i="8"/>
  <c r="F234" i="8"/>
  <c r="E234" i="8"/>
  <c r="AK234" i="8" s="1"/>
  <c r="R105" i="8"/>
  <c r="J80" i="8" l="1"/>
  <c r="AR79" i="8"/>
  <c r="AV79" i="8"/>
  <c r="AM105" i="8"/>
  <c r="AP105" i="8" s="1"/>
  <c r="AS105" i="8" s="1"/>
  <c r="U105" i="8"/>
  <c r="H234" i="8"/>
  <c r="G234" i="8"/>
  <c r="AL234" i="8" s="1"/>
  <c r="AF133" i="8"/>
  <c r="AO133" i="8" s="1"/>
  <c r="Y137" i="8"/>
  <c r="AN137" i="8" s="1"/>
  <c r="D236" i="8"/>
  <c r="E235" i="8"/>
  <c r="AK235" i="8" s="1"/>
  <c r="F235" i="8"/>
  <c r="S105" i="8"/>
  <c r="T105" i="8"/>
  <c r="AT80" i="8" l="1"/>
  <c r="AQ80" i="8"/>
  <c r="K80" i="8"/>
  <c r="L80" i="8" s="1"/>
  <c r="AG133" i="8"/>
  <c r="Z137" i="8"/>
  <c r="H235" i="8"/>
  <c r="G235" i="8"/>
  <c r="AL235" i="8" s="1"/>
  <c r="AI133" i="8"/>
  <c r="AE134" i="8" s="1"/>
  <c r="AB137" i="8"/>
  <c r="X138" i="8" s="1"/>
  <c r="D237" i="8"/>
  <c r="F236" i="8"/>
  <c r="E236" i="8"/>
  <c r="AK236" i="8" s="1"/>
  <c r="N80" i="8" l="1"/>
  <c r="AV80" i="8"/>
  <c r="AR80" i="8"/>
  <c r="J81" i="8"/>
  <c r="H236" i="8"/>
  <c r="G236" i="8"/>
  <c r="AL236" i="8" s="1"/>
  <c r="AF134" i="8"/>
  <c r="AO134" i="8" s="1"/>
  <c r="Y138" i="8"/>
  <c r="AN138" i="8" s="1"/>
  <c r="D238" i="8"/>
  <c r="E237" i="8"/>
  <c r="AK237" i="8" s="1"/>
  <c r="F237" i="8"/>
  <c r="Q106" i="8"/>
  <c r="AT81" i="8" l="1"/>
  <c r="AQ81" i="8"/>
  <c r="K81" i="8"/>
  <c r="L81" i="8" s="1"/>
  <c r="N81" i="8"/>
  <c r="AG134" i="8"/>
  <c r="Z138" i="8"/>
  <c r="H237" i="8"/>
  <c r="G237" i="8"/>
  <c r="AL237" i="8" s="1"/>
  <c r="AI134" i="8"/>
  <c r="AE135" i="8" s="1"/>
  <c r="R106" i="8"/>
  <c r="AB138" i="8"/>
  <c r="X139" i="8" s="1"/>
  <c r="E238" i="8"/>
  <c r="AK238" i="8" s="1"/>
  <c r="F238" i="8"/>
  <c r="D239" i="8"/>
  <c r="T106" i="8"/>
  <c r="AR81" i="8" l="1"/>
  <c r="J82" i="8"/>
  <c r="AT82" i="8" s="1"/>
  <c r="AV81" i="8"/>
  <c r="AM106" i="8"/>
  <c r="AP106" i="8" s="1"/>
  <c r="AS106" i="8" s="1"/>
  <c r="S106" i="8"/>
  <c r="H238" i="8"/>
  <c r="G238" i="8"/>
  <c r="AL238" i="8" s="1"/>
  <c r="AF135" i="8"/>
  <c r="AO135" i="8" s="1"/>
  <c r="U106" i="8"/>
  <c r="Q107" i="8" s="1"/>
  <c r="Y139" i="8"/>
  <c r="AN139" i="8" s="1"/>
  <c r="F239" i="8"/>
  <c r="E239" i="8"/>
  <c r="AK239" i="8" s="1"/>
  <c r="D240" i="8"/>
  <c r="T107" i="8"/>
  <c r="AQ82" i="8" l="1"/>
  <c r="K82" i="8"/>
  <c r="AG135" i="8"/>
  <c r="Z139" i="8"/>
  <c r="H239" i="8"/>
  <c r="G239" i="8"/>
  <c r="AL239" i="8" s="1"/>
  <c r="AI135" i="8"/>
  <c r="AE136" i="8" s="1"/>
  <c r="R107" i="8"/>
  <c r="AB139" i="8"/>
  <c r="X140" i="8" s="1"/>
  <c r="D241" i="8"/>
  <c r="E240" i="8"/>
  <c r="AK240" i="8" s="1"/>
  <c r="F240" i="8"/>
  <c r="L82" i="8" l="1"/>
  <c r="N82" i="8"/>
  <c r="AM107" i="8"/>
  <c r="AP107" i="8" s="1"/>
  <c r="AS107" i="8" s="1"/>
  <c r="H240" i="8"/>
  <c r="G240" i="8"/>
  <c r="AL240" i="8" s="1"/>
  <c r="S107" i="8"/>
  <c r="AF136" i="8"/>
  <c r="AO136" i="8" s="1"/>
  <c r="U107" i="8"/>
  <c r="Q108" i="8" s="1"/>
  <c r="Y140" i="8"/>
  <c r="AN140" i="8" s="1"/>
  <c r="D242" i="8"/>
  <c r="F241" i="8"/>
  <c r="E241" i="8"/>
  <c r="AK241" i="8" s="1"/>
  <c r="J83" i="8" l="1"/>
  <c r="AR82" i="8"/>
  <c r="AV82" i="8"/>
  <c r="AG136" i="8"/>
  <c r="Z140" i="8"/>
  <c r="H241" i="8"/>
  <c r="G241" i="8"/>
  <c r="AL241" i="8" s="1"/>
  <c r="AI136" i="8"/>
  <c r="AE137" i="8" s="1"/>
  <c r="R108" i="8"/>
  <c r="AB140" i="8"/>
  <c r="X141" i="8" s="1"/>
  <c r="E242" i="8"/>
  <c r="AK242" i="8" s="1"/>
  <c r="D243" i="8"/>
  <c r="F242" i="8"/>
  <c r="T108" i="8"/>
  <c r="AT83" i="8" l="1"/>
  <c r="AQ83" i="8"/>
  <c r="K83" i="8"/>
  <c r="L83" i="8" s="1"/>
  <c r="N83" i="8"/>
  <c r="AM108" i="8"/>
  <c r="AP108" i="8" s="1"/>
  <c r="AS108" i="8" s="1"/>
  <c r="S108" i="8"/>
  <c r="H242" i="8"/>
  <c r="G242" i="8"/>
  <c r="AL242" i="8" s="1"/>
  <c r="U108" i="8"/>
  <c r="Q109" i="8" s="1"/>
  <c r="AF137" i="8"/>
  <c r="AO137" i="8" s="1"/>
  <c r="Y141" i="8"/>
  <c r="AN141" i="8" s="1"/>
  <c r="E243" i="8"/>
  <c r="AK243" i="8" s="1"/>
  <c r="D244" i="8"/>
  <c r="F243" i="8"/>
  <c r="J84" i="8" l="1"/>
  <c r="AT84" i="8" s="1"/>
  <c r="AR83" i="8"/>
  <c r="AV83" i="8"/>
  <c r="AG137" i="8"/>
  <c r="Z141" i="8"/>
  <c r="H243" i="8"/>
  <c r="G243" i="8"/>
  <c r="AL243" i="8" s="1"/>
  <c r="AB141" i="8"/>
  <c r="X142" i="8" s="1"/>
  <c r="Y142" i="8" s="1"/>
  <c r="AN142" i="8" s="1"/>
  <c r="AI137" i="8"/>
  <c r="AE138" i="8" s="1"/>
  <c r="R109" i="8"/>
  <c r="AM109" i="8" s="1"/>
  <c r="AP109" i="8" s="1"/>
  <c r="AS109" i="8" s="1"/>
  <c r="E244" i="8"/>
  <c r="AK244" i="8" s="1"/>
  <c r="F244" i="8"/>
  <c r="D245" i="8"/>
  <c r="T109" i="8"/>
  <c r="AQ84" i="8" l="1"/>
  <c r="K84" i="8"/>
  <c r="L84" i="8" s="1"/>
  <c r="Z142" i="8"/>
  <c r="S109" i="8"/>
  <c r="H244" i="8"/>
  <c r="G244" i="8"/>
  <c r="AL244" i="8" s="1"/>
  <c r="U109" i="8"/>
  <c r="Q110" i="8" s="1"/>
  <c r="AF138" i="8"/>
  <c r="AO138" i="8" s="1"/>
  <c r="AB142" i="8"/>
  <c r="X143" i="8" s="1"/>
  <c r="D246" i="8"/>
  <c r="F245" i="8"/>
  <c r="E245" i="8"/>
  <c r="AK245" i="8" s="1"/>
  <c r="N84" i="8" l="1"/>
  <c r="J85" i="8"/>
  <c r="AT85" i="8" s="1"/>
  <c r="AR84" i="8"/>
  <c r="AV84" i="8"/>
  <c r="AG138" i="8"/>
  <c r="H245" i="8"/>
  <c r="G245" i="8"/>
  <c r="AL245" i="8" s="1"/>
  <c r="AI138" i="8"/>
  <c r="AE139" i="8" s="1"/>
  <c r="R110" i="8"/>
  <c r="Y143" i="8"/>
  <c r="AN143" i="8" s="1"/>
  <c r="D247" i="8"/>
  <c r="E246" i="8"/>
  <c r="AK246" i="8" s="1"/>
  <c r="F246" i="8"/>
  <c r="T110" i="8"/>
  <c r="AQ85" i="8" l="1"/>
  <c r="K85" i="8"/>
  <c r="L85" i="8" s="1"/>
  <c r="AM110" i="8"/>
  <c r="AP110" i="8" s="1"/>
  <c r="AS110" i="8" s="1"/>
  <c r="Z143" i="8"/>
  <c r="H246" i="8"/>
  <c r="G246" i="8"/>
  <c r="AL246" i="8" s="1"/>
  <c r="S110" i="8"/>
  <c r="AB143" i="8"/>
  <c r="X144" i="8" s="1"/>
  <c r="Y144" i="8" s="1"/>
  <c r="AN144" i="8" s="1"/>
  <c r="AF139" i="8"/>
  <c r="AO139" i="8" s="1"/>
  <c r="U110" i="8"/>
  <c r="D248" i="8"/>
  <c r="E247" i="8"/>
  <c r="AK247" i="8" s="1"/>
  <c r="F247" i="8"/>
  <c r="N85" i="8" l="1"/>
  <c r="AG139" i="8"/>
  <c r="Z144" i="8"/>
  <c r="H247" i="8"/>
  <c r="G247" i="8"/>
  <c r="AL247" i="8" s="1"/>
  <c r="AB144" i="8"/>
  <c r="X145" i="8" s="1"/>
  <c r="Y145" i="8" s="1"/>
  <c r="AN145" i="8" s="1"/>
  <c r="AI139" i="8"/>
  <c r="AE140" i="8" s="1"/>
  <c r="D249" i="8"/>
  <c r="E248" i="8"/>
  <c r="AK248" i="8" s="1"/>
  <c r="F248" i="8"/>
  <c r="Q111" i="8"/>
  <c r="AV85" i="8" l="1"/>
  <c r="J86" i="8"/>
  <c r="AR85" i="8"/>
  <c r="Z145" i="8"/>
  <c r="H248" i="8"/>
  <c r="G248" i="8"/>
  <c r="AL248" i="8" s="1"/>
  <c r="AF140" i="8"/>
  <c r="AO140" i="8" s="1"/>
  <c r="R111" i="8"/>
  <c r="AB145" i="8"/>
  <c r="X146" i="8" s="1"/>
  <c r="D250" i="8"/>
  <c r="E249" i="8"/>
  <c r="AK249" i="8" s="1"/>
  <c r="F249" i="8"/>
  <c r="T111" i="8"/>
  <c r="AT86" i="8" l="1"/>
  <c r="AQ86" i="8"/>
  <c r="K86" i="8"/>
  <c r="L86" i="8" s="1"/>
  <c r="N86" i="8"/>
  <c r="AM111" i="8"/>
  <c r="AP111" i="8" s="1"/>
  <c r="AS111" i="8" s="1"/>
  <c r="AG140" i="8"/>
  <c r="S111" i="8"/>
  <c r="H249" i="8"/>
  <c r="G249" i="8"/>
  <c r="AL249" i="8" s="1"/>
  <c r="U111" i="8"/>
  <c r="Q112" i="8" s="1"/>
  <c r="AI140" i="8"/>
  <c r="AE141" i="8" s="1"/>
  <c r="Y146" i="8"/>
  <c r="AN146" i="8" s="1"/>
  <c r="D251" i="8"/>
  <c r="E250" i="8"/>
  <c r="AK250" i="8" s="1"/>
  <c r="F250" i="8"/>
  <c r="AV86" i="8" l="1"/>
  <c r="AR86" i="8"/>
  <c r="J87" i="8"/>
  <c r="Z146" i="8"/>
  <c r="H250" i="8"/>
  <c r="G250" i="8"/>
  <c r="AL250" i="8" s="1"/>
  <c r="AF141" i="8"/>
  <c r="AO141" i="8" s="1"/>
  <c r="R112" i="8"/>
  <c r="AB146" i="8"/>
  <c r="X147" i="8" s="1"/>
  <c r="E251" i="8"/>
  <c r="AK251" i="8" s="1"/>
  <c r="F251" i="8"/>
  <c r="D252" i="8"/>
  <c r="T112" i="8"/>
  <c r="AT87" i="8" l="1"/>
  <c r="AQ87" i="8"/>
  <c r="K87" i="8"/>
  <c r="L87" i="8" s="1"/>
  <c r="AM112" i="8"/>
  <c r="AP112" i="8" s="1"/>
  <c r="AS112" i="8" s="1"/>
  <c r="AG141" i="8"/>
  <c r="H251" i="8"/>
  <c r="G251" i="8"/>
  <c r="AL251" i="8" s="1"/>
  <c r="S112" i="8"/>
  <c r="AI141" i="8"/>
  <c r="AE142" i="8" s="1"/>
  <c r="U112" i="8"/>
  <c r="Q113" i="8" s="1"/>
  <c r="Y147" i="8"/>
  <c r="AN147" i="8" s="1"/>
  <c r="F252" i="8"/>
  <c r="D253" i="8"/>
  <c r="E252" i="8"/>
  <c r="AK252" i="8" s="1"/>
  <c r="N87" i="8" l="1"/>
  <c r="AV87" i="8"/>
  <c r="J88" i="8"/>
  <c r="AR87" i="8"/>
  <c r="Z147" i="8"/>
  <c r="H252" i="8"/>
  <c r="G252" i="8"/>
  <c r="AL252" i="8" s="1"/>
  <c r="AF142" i="8"/>
  <c r="AO142" i="8" s="1"/>
  <c r="AB147" i="8"/>
  <c r="X148" i="8" s="1"/>
  <c r="D254" i="8"/>
  <c r="E253" i="8"/>
  <c r="AK253" i="8" s="1"/>
  <c r="F253" i="8"/>
  <c r="R113" i="8"/>
  <c r="AM113" i="8" s="1"/>
  <c r="AP113" i="8" s="1"/>
  <c r="AS113" i="8" s="1"/>
  <c r="AT88" i="8" l="1"/>
  <c r="AQ88" i="8"/>
  <c r="K88" i="8"/>
  <c r="L88" i="8" s="1"/>
  <c r="AG142" i="8"/>
  <c r="U113" i="8"/>
  <c r="H253" i="8"/>
  <c r="G253" i="8"/>
  <c r="AL253" i="8" s="1"/>
  <c r="AI142" i="8"/>
  <c r="AE143" i="8" s="1"/>
  <c r="Y148" i="8"/>
  <c r="AN148" i="8" s="1"/>
  <c r="D255" i="8"/>
  <c r="F254" i="8"/>
  <c r="E254" i="8"/>
  <c r="AK254" i="8" s="1"/>
  <c r="S113" i="8"/>
  <c r="T113" i="8"/>
  <c r="N88" i="8" l="1"/>
  <c r="AV88" i="8"/>
  <c r="J89" i="8"/>
  <c r="AR88" i="8"/>
  <c r="Z148" i="8"/>
  <c r="H254" i="8"/>
  <c r="G254" i="8"/>
  <c r="AL254" i="8" s="1"/>
  <c r="AF143" i="8"/>
  <c r="AO143" i="8" s="1"/>
  <c r="AB148" i="8"/>
  <c r="X149" i="8" s="1"/>
  <c r="D256" i="8"/>
  <c r="F255" i="8"/>
  <c r="E255" i="8"/>
  <c r="AK255" i="8" s="1"/>
  <c r="AT89" i="8" l="1"/>
  <c r="AQ89" i="8"/>
  <c r="K89" i="8"/>
  <c r="L89" i="8" s="1"/>
  <c r="N89" i="8"/>
  <c r="AG143" i="8"/>
  <c r="H255" i="8"/>
  <c r="G255" i="8"/>
  <c r="AL255" i="8" s="1"/>
  <c r="AI143" i="8"/>
  <c r="AE144" i="8" s="1"/>
  <c r="Y149" i="8"/>
  <c r="AN149" i="8" s="1"/>
  <c r="D257" i="8"/>
  <c r="E256" i="8"/>
  <c r="AK256" i="8" s="1"/>
  <c r="F256" i="8"/>
  <c r="Q114" i="8"/>
  <c r="AV89" i="8" l="1"/>
  <c r="J90" i="8"/>
  <c r="AR89" i="8"/>
  <c r="Z149" i="8"/>
  <c r="H256" i="8"/>
  <c r="G256" i="8"/>
  <c r="AL256" i="8" s="1"/>
  <c r="AF144" i="8"/>
  <c r="AO144" i="8" s="1"/>
  <c r="R114" i="8"/>
  <c r="AM114" i="8" s="1"/>
  <c r="AP114" i="8" s="1"/>
  <c r="AS114" i="8" s="1"/>
  <c r="AB149" i="8"/>
  <c r="X150" i="8" s="1"/>
  <c r="E257" i="8"/>
  <c r="AK257" i="8" s="1"/>
  <c r="F257" i="8"/>
  <c r="D258" i="8"/>
  <c r="T114" i="8"/>
  <c r="AT90" i="8" l="1"/>
  <c r="AQ90" i="8"/>
  <c r="K90" i="8"/>
  <c r="L90" i="8" s="1"/>
  <c r="N90" i="8"/>
  <c r="AG144" i="8"/>
  <c r="U114" i="8"/>
  <c r="Q115" i="8" s="1"/>
  <c r="S114" i="8"/>
  <c r="H257" i="8"/>
  <c r="G257" i="8"/>
  <c r="AL257" i="8" s="1"/>
  <c r="AI144" i="8"/>
  <c r="AE145" i="8" s="1"/>
  <c r="Y150" i="8"/>
  <c r="AN150" i="8" s="1"/>
  <c r="F258" i="8"/>
  <c r="E258" i="8"/>
  <c r="AK258" i="8" s="1"/>
  <c r="D259" i="8"/>
  <c r="AV90" i="8" l="1"/>
  <c r="AR90" i="8"/>
  <c r="J91" i="8"/>
  <c r="Z150" i="8"/>
  <c r="H258" i="8"/>
  <c r="G258" i="8"/>
  <c r="AL258" i="8" s="1"/>
  <c r="AF145" i="8"/>
  <c r="AO145" i="8" s="1"/>
  <c r="R115" i="8"/>
  <c r="AB150" i="8"/>
  <c r="X151" i="8" s="1"/>
  <c r="D260" i="8"/>
  <c r="E259" i="8"/>
  <c r="AK259" i="8" s="1"/>
  <c r="F259" i="8"/>
  <c r="T115" i="8"/>
  <c r="AT91" i="8" l="1"/>
  <c r="AQ91" i="8"/>
  <c r="K91" i="8"/>
  <c r="L91" i="8" s="1"/>
  <c r="AM115" i="8"/>
  <c r="AP115" i="8" s="1"/>
  <c r="AS115" i="8" s="1"/>
  <c r="AG145" i="8"/>
  <c r="S115" i="8"/>
  <c r="H259" i="8"/>
  <c r="G259" i="8"/>
  <c r="AL259" i="8" s="1"/>
  <c r="AI145" i="8"/>
  <c r="AE146" i="8" s="1"/>
  <c r="U115" i="8"/>
  <c r="Q116" i="8" s="1"/>
  <c r="Y151" i="8"/>
  <c r="AN151" i="8" s="1"/>
  <c r="E260" i="8"/>
  <c r="AK260" i="8" s="1"/>
  <c r="F260" i="8"/>
  <c r="D261" i="8"/>
  <c r="T116" i="8"/>
  <c r="N91" i="8" l="1"/>
  <c r="AV91" i="8" s="1"/>
  <c r="Z151" i="8"/>
  <c r="H260" i="8"/>
  <c r="G260" i="8"/>
  <c r="AL260" i="8" s="1"/>
  <c r="AF146" i="8"/>
  <c r="AO146" i="8" s="1"/>
  <c r="R116" i="8"/>
  <c r="AB151" i="8"/>
  <c r="X152" i="8" s="1"/>
  <c r="F261" i="8"/>
  <c r="D262" i="8"/>
  <c r="E261" i="8"/>
  <c r="AK261" i="8" s="1"/>
  <c r="J92" i="8" l="1"/>
  <c r="AR91" i="8"/>
  <c r="AQ92" i="8"/>
  <c r="K92" i="8"/>
  <c r="L92" i="8" s="1"/>
  <c r="N92" i="8"/>
  <c r="AM116" i="8"/>
  <c r="AP116" i="8" s="1"/>
  <c r="AS116" i="8" s="1"/>
  <c r="AG146" i="8"/>
  <c r="S116" i="8"/>
  <c r="H261" i="8"/>
  <c r="G261" i="8"/>
  <c r="AL261" i="8" s="1"/>
  <c r="AI146" i="8"/>
  <c r="AE147" i="8" s="1"/>
  <c r="U116" i="8"/>
  <c r="Q117" i="8" s="1"/>
  <c r="Y152" i="8"/>
  <c r="AN152" i="8" s="1"/>
  <c r="E262" i="8"/>
  <c r="AK262" i="8" s="1"/>
  <c r="F262" i="8"/>
  <c r="D263" i="8"/>
  <c r="AT92" i="8" l="1"/>
  <c r="AV92" i="8"/>
  <c r="J93" i="8"/>
  <c r="AR92" i="8"/>
  <c r="Z152" i="8"/>
  <c r="H262" i="8"/>
  <c r="G262" i="8"/>
  <c r="AL262" i="8" s="1"/>
  <c r="AF147" i="8"/>
  <c r="AO147" i="8" s="1"/>
  <c r="R117" i="8"/>
  <c r="AM117" i="8" s="1"/>
  <c r="AP117" i="8" s="1"/>
  <c r="AS117" i="8" s="1"/>
  <c r="AB152" i="8"/>
  <c r="X153" i="8" s="1"/>
  <c r="D264" i="8"/>
  <c r="F263" i="8"/>
  <c r="E263" i="8"/>
  <c r="AK263" i="8" s="1"/>
  <c r="T117" i="8"/>
  <c r="AT93" i="8" l="1"/>
  <c r="AQ93" i="8"/>
  <c r="K93" i="8"/>
  <c r="L93" i="8" s="1"/>
  <c r="AG147" i="8"/>
  <c r="S117" i="8"/>
  <c r="U117" i="8"/>
  <c r="Q118" i="8" s="1"/>
  <c r="H263" i="8"/>
  <c r="G263" i="8"/>
  <c r="AL263" i="8" s="1"/>
  <c r="AI147" i="8"/>
  <c r="AE148" i="8" s="1"/>
  <c r="Y153" i="8"/>
  <c r="AN153" i="8" s="1"/>
  <c r="D265" i="8"/>
  <c r="E264" i="8"/>
  <c r="AK264" i="8" s="1"/>
  <c r="F264" i="8"/>
  <c r="N93" i="8" l="1"/>
  <c r="AR93" i="8"/>
  <c r="AV93" i="8"/>
  <c r="J94" i="8"/>
  <c r="Z153" i="8"/>
  <c r="H264" i="8"/>
  <c r="G264" i="8"/>
  <c r="AL264" i="8" s="1"/>
  <c r="AF148" i="8"/>
  <c r="AO148" i="8" s="1"/>
  <c r="R118" i="8"/>
  <c r="AB153" i="8"/>
  <c r="X154" i="8" s="1"/>
  <c r="D266" i="8"/>
  <c r="E265" i="8"/>
  <c r="AK265" i="8" s="1"/>
  <c r="F265" i="8"/>
  <c r="T118" i="8"/>
  <c r="AT94" i="8" l="1"/>
  <c r="AQ94" i="8"/>
  <c r="K94" i="8"/>
  <c r="AM118" i="8"/>
  <c r="AP118" i="8" s="1"/>
  <c r="AS118" i="8" s="1"/>
  <c r="AG148" i="8"/>
  <c r="S118" i="8"/>
  <c r="H265" i="8"/>
  <c r="G265" i="8"/>
  <c r="AL265" i="8" s="1"/>
  <c r="AI148" i="8"/>
  <c r="AE149" i="8" s="1"/>
  <c r="U118" i="8"/>
  <c r="Q119" i="8" s="1"/>
  <c r="Y154" i="8"/>
  <c r="AN154" i="8" s="1"/>
  <c r="D267" i="8"/>
  <c r="F266" i="8"/>
  <c r="E266" i="8"/>
  <c r="AK266" i="8" s="1"/>
  <c r="L94" i="8" l="1"/>
  <c r="N94" i="8"/>
  <c r="Z154" i="8"/>
  <c r="H266" i="8"/>
  <c r="G266" i="8"/>
  <c r="AL266" i="8" s="1"/>
  <c r="AF149" i="8"/>
  <c r="AO149" i="8" s="1"/>
  <c r="R119" i="8"/>
  <c r="AM119" i="8" s="1"/>
  <c r="AP119" i="8" s="1"/>
  <c r="AS119" i="8" s="1"/>
  <c r="AB154" i="8"/>
  <c r="X155" i="8" s="1"/>
  <c r="D268" i="8"/>
  <c r="E267" i="8"/>
  <c r="AK267" i="8" s="1"/>
  <c r="F267" i="8"/>
  <c r="T119" i="8"/>
  <c r="AV94" i="8" l="1"/>
  <c r="J95" i="8"/>
  <c r="AR94" i="8"/>
  <c r="AG149" i="8"/>
  <c r="U119" i="8"/>
  <c r="Q120" i="8" s="1"/>
  <c r="H267" i="8"/>
  <c r="G267" i="8"/>
  <c r="AL267" i="8" s="1"/>
  <c r="AI149" i="8"/>
  <c r="AE150" i="8" s="1"/>
  <c r="S119" i="8"/>
  <c r="Y155" i="8"/>
  <c r="AN155" i="8" s="1"/>
  <c r="E268" i="8"/>
  <c r="AK268" i="8" s="1"/>
  <c r="F268" i="8"/>
  <c r="D269" i="8"/>
  <c r="AT95" i="8" l="1"/>
  <c r="AQ95" i="8"/>
  <c r="K95" i="8"/>
  <c r="L95" i="8" s="1"/>
  <c r="Z155" i="8"/>
  <c r="H268" i="8"/>
  <c r="G268" i="8"/>
  <c r="AL268" i="8" s="1"/>
  <c r="AF150" i="8"/>
  <c r="AO150" i="8" s="1"/>
  <c r="R120" i="8"/>
  <c r="AB155" i="8"/>
  <c r="X156" i="8" s="1"/>
  <c r="D270" i="8"/>
  <c r="E269" i="8"/>
  <c r="AK269" i="8" s="1"/>
  <c r="F269" i="8"/>
  <c r="T120" i="8"/>
  <c r="N95" i="8" l="1"/>
  <c r="AV95" i="8"/>
  <c r="J96" i="8"/>
  <c r="AR95" i="8"/>
  <c r="AM120" i="8"/>
  <c r="AP120" i="8" s="1"/>
  <c r="AS120" i="8" s="1"/>
  <c r="AG150" i="8"/>
  <c r="S120" i="8"/>
  <c r="H269" i="8"/>
  <c r="G269" i="8"/>
  <c r="AL269" i="8" s="1"/>
  <c r="U120" i="8"/>
  <c r="Q121" i="8" s="1"/>
  <c r="AI150" i="8"/>
  <c r="AE151" i="8" s="1"/>
  <c r="Y156" i="8"/>
  <c r="AN156" i="8" s="1"/>
  <c r="F270" i="8"/>
  <c r="D271" i="8"/>
  <c r="E270" i="8"/>
  <c r="AK270" i="8" s="1"/>
  <c r="AT96" i="8" l="1"/>
  <c r="AQ96" i="8"/>
  <c r="K96" i="8"/>
  <c r="L96" i="8" s="1"/>
  <c r="Z156" i="8"/>
  <c r="H270" i="8"/>
  <c r="G270" i="8"/>
  <c r="AL270" i="8" s="1"/>
  <c r="AF151" i="8"/>
  <c r="AO151" i="8" s="1"/>
  <c r="R121" i="8"/>
  <c r="AM121" i="8" s="1"/>
  <c r="AP121" i="8" s="1"/>
  <c r="AS121" i="8" s="1"/>
  <c r="AB156" i="8"/>
  <c r="X157" i="8" s="1"/>
  <c r="F271" i="8"/>
  <c r="D272" i="8"/>
  <c r="E271" i="8"/>
  <c r="AK271" i="8" s="1"/>
  <c r="T121" i="8"/>
  <c r="N96" i="8" l="1"/>
  <c r="J97" i="8"/>
  <c r="AR96" i="8"/>
  <c r="AV96" i="8"/>
  <c r="AG151" i="8"/>
  <c r="H271" i="8"/>
  <c r="G271" i="8"/>
  <c r="AL271" i="8" s="1"/>
  <c r="S121" i="8"/>
  <c r="U121" i="8"/>
  <c r="Q122" i="8" s="1"/>
  <c r="AI151" i="8"/>
  <c r="AE152" i="8" s="1"/>
  <c r="Y157" i="8"/>
  <c r="AN157" i="8" s="1"/>
  <c r="F272" i="8"/>
  <c r="E272" i="8"/>
  <c r="AK272" i="8" s="1"/>
  <c r="D273" i="8"/>
  <c r="AT97" i="8" l="1"/>
  <c r="AQ97" i="8"/>
  <c r="K97" i="8"/>
  <c r="L97" i="8" s="1"/>
  <c r="N97" i="8"/>
  <c r="AR97" i="8"/>
  <c r="AV97" i="8"/>
  <c r="Z157" i="8"/>
  <c r="J98" i="8"/>
  <c r="AQ98" i="8" s="1"/>
  <c r="H272" i="8"/>
  <c r="G272" i="8"/>
  <c r="AL272" i="8" s="1"/>
  <c r="AF152" i="8"/>
  <c r="AO152" i="8" s="1"/>
  <c r="R122" i="8"/>
  <c r="AB157" i="8"/>
  <c r="X158" i="8" s="1"/>
  <c r="D274" i="8"/>
  <c r="E273" i="8"/>
  <c r="AK273" i="8" s="1"/>
  <c r="F273" i="8"/>
  <c r="T122" i="8"/>
  <c r="AT98" i="8" l="1"/>
  <c r="AM122" i="8"/>
  <c r="AP122" i="8" s="1"/>
  <c r="AS122" i="8" s="1"/>
  <c r="AG152" i="8"/>
  <c r="K98" i="8"/>
  <c r="L98" i="8" s="1"/>
  <c r="S122" i="8"/>
  <c r="H273" i="8"/>
  <c r="G273" i="8"/>
  <c r="AL273" i="8" s="1"/>
  <c r="U122" i="8"/>
  <c r="Q123" i="8" s="1"/>
  <c r="AI152" i="8"/>
  <c r="AE153" i="8" s="1"/>
  <c r="Y158" i="8"/>
  <c r="AN158" i="8" s="1"/>
  <c r="F274" i="8"/>
  <c r="D275" i="8"/>
  <c r="E274" i="8"/>
  <c r="AK274" i="8" s="1"/>
  <c r="T123" i="8"/>
  <c r="Z158" i="8" l="1"/>
  <c r="H274" i="8"/>
  <c r="G274" i="8"/>
  <c r="AL274" i="8" s="1"/>
  <c r="N98" i="8"/>
  <c r="AB158" i="8"/>
  <c r="X159" i="8" s="1"/>
  <c r="Y159" i="8" s="1"/>
  <c r="AN159" i="8" s="1"/>
  <c r="AF153" i="8"/>
  <c r="AO153" i="8" s="1"/>
  <c r="R123" i="8"/>
  <c r="F275" i="8"/>
  <c r="D276" i="8"/>
  <c r="E275" i="8"/>
  <c r="AK275" i="8" s="1"/>
  <c r="AR98" i="8" l="1"/>
  <c r="AV98" i="8"/>
  <c r="AM123" i="8"/>
  <c r="AP123" i="8" s="1"/>
  <c r="AS123" i="8" s="1"/>
  <c r="AG153" i="8"/>
  <c r="Z159" i="8"/>
  <c r="S123" i="8"/>
  <c r="J99" i="8"/>
  <c r="AT99" i="8" s="1"/>
  <c r="H275" i="8"/>
  <c r="G275" i="8"/>
  <c r="AL275" i="8" s="1"/>
  <c r="U123" i="8"/>
  <c r="Q124" i="8" s="1"/>
  <c r="AB159" i="8"/>
  <c r="X160" i="8" s="1"/>
  <c r="Y160" i="8" s="1"/>
  <c r="AN160" i="8" s="1"/>
  <c r="AI153" i="8"/>
  <c r="AE154" i="8" s="1"/>
  <c r="E276" i="8"/>
  <c r="AK276" i="8" s="1"/>
  <c r="F276" i="8"/>
  <c r="D277" i="8"/>
  <c r="AQ99" i="8" l="1"/>
  <c r="Z160" i="8"/>
  <c r="H276" i="8"/>
  <c r="G276" i="8"/>
  <c r="AL276" i="8" s="1"/>
  <c r="K99" i="8"/>
  <c r="L99" i="8" s="1"/>
  <c r="AF154" i="8"/>
  <c r="AO154" i="8" s="1"/>
  <c r="R124" i="8"/>
  <c r="AM124" i="8" s="1"/>
  <c r="AP124" i="8" s="1"/>
  <c r="AS124" i="8" s="1"/>
  <c r="AB160" i="8"/>
  <c r="X161" i="8" s="1"/>
  <c r="E277" i="8"/>
  <c r="AK277" i="8" s="1"/>
  <c r="F277" i="8"/>
  <c r="D278" i="8"/>
  <c r="T124" i="8"/>
  <c r="AG154" i="8" l="1"/>
  <c r="S124" i="8"/>
  <c r="U124" i="8"/>
  <c r="Q125" i="8" s="1"/>
  <c r="H277" i="8"/>
  <c r="G277" i="8"/>
  <c r="AL277" i="8" s="1"/>
  <c r="N99" i="8"/>
  <c r="AI154" i="8"/>
  <c r="AE155" i="8" s="1"/>
  <c r="Y161" i="8"/>
  <c r="AN161" i="8" s="1"/>
  <c r="F278" i="8"/>
  <c r="E278" i="8"/>
  <c r="AK278" i="8" s="1"/>
  <c r="D279" i="8"/>
  <c r="AR99" i="8" l="1"/>
  <c r="AV99" i="8"/>
  <c r="Z161" i="8"/>
  <c r="J100" i="8"/>
  <c r="AT100" i="8" s="1"/>
  <c r="H278" i="8"/>
  <c r="G278" i="8"/>
  <c r="AL278" i="8" s="1"/>
  <c r="AB161" i="8"/>
  <c r="X162" i="8" s="1"/>
  <c r="Y162" i="8" s="1"/>
  <c r="AN162" i="8" s="1"/>
  <c r="AF155" i="8"/>
  <c r="AO155" i="8" s="1"/>
  <c r="R125" i="8"/>
  <c r="D280" i="8"/>
  <c r="F279" i="8"/>
  <c r="E279" i="8"/>
  <c r="AK279" i="8" s="1"/>
  <c r="T125" i="8"/>
  <c r="AQ100" i="8" l="1"/>
  <c r="AM125" i="8"/>
  <c r="AP125" i="8" s="1"/>
  <c r="AS125" i="8" s="1"/>
  <c r="AG155" i="8"/>
  <c r="Z162" i="8"/>
  <c r="U125" i="8"/>
  <c r="Q126" i="8" s="1"/>
  <c r="H279" i="8"/>
  <c r="G279" i="8"/>
  <c r="AL279" i="8" s="1"/>
  <c r="K100" i="8"/>
  <c r="L100" i="8" s="1"/>
  <c r="AI155" i="8"/>
  <c r="AE156" i="8" s="1"/>
  <c r="S125" i="8"/>
  <c r="AB162" i="8"/>
  <c r="X163" i="8" s="1"/>
  <c r="D281" i="8"/>
  <c r="E280" i="8"/>
  <c r="AK280" i="8" s="1"/>
  <c r="F280" i="8"/>
  <c r="H280" i="8" l="1"/>
  <c r="G280" i="8"/>
  <c r="AL280" i="8" s="1"/>
  <c r="N100" i="8"/>
  <c r="AF156" i="8"/>
  <c r="AO156" i="8" s="1"/>
  <c r="R126" i="8"/>
  <c r="Y163" i="8"/>
  <c r="AN163" i="8" s="1"/>
  <c r="F281" i="8"/>
  <c r="D282" i="8"/>
  <c r="E281" i="8"/>
  <c r="AK281" i="8" s="1"/>
  <c r="T126" i="8"/>
  <c r="AR100" i="8" l="1"/>
  <c r="AV100" i="8"/>
  <c r="AM126" i="8"/>
  <c r="AP126" i="8" s="1"/>
  <c r="AS126" i="8" s="1"/>
  <c r="AG156" i="8"/>
  <c r="Z163" i="8"/>
  <c r="J101" i="8"/>
  <c r="AT101" i="8" s="1"/>
  <c r="S126" i="8"/>
  <c r="H281" i="8"/>
  <c r="G281" i="8"/>
  <c r="AL281" i="8" s="1"/>
  <c r="U126" i="8"/>
  <c r="AB163" i="8"/>
  <c r="X164" i="8" s="1"/>
  <c r="Y164" i="8" s="1"/>
  <c r="AN164" i="8" s="1"/>
  <c r="AI156" i="8"/>
  <c r="AE157" i="8" s="1"/>
  <c r="D283" i="8"/>
  <c r="F282" i="8"/>
  <c r="E282" i="8"/>
  <c r="AK282" i="8" s="1"/>
  <c r="AQ101" i="8" l="1"/>
  <c r="Z164" i="8"/>
  <c r="H282" i="8"/>
  <c r="G282" i="8"/>
  <c r="AL282" i="8" s="1"/>
  <c r="K101" i="8"/>
  <c r="L101" i="8" s="1"/>
  <c r="AF157" i="8"/>
  <c r="AO157" i="8" s="1"/>
  <c r="AB164" i="8"/>
  <c r="X165" i="8" s="1"/>
  <c r="D284" i="8"/>
  <c r="E283" i="8"/>
  <c r="AK283" i="8" s="1"/>
  <c r="F283" i="8"/>
  <c r="Q127" i="8"/>
  <c r="AG157" i="8" l="1"/>
  <c r="N101" i="8"/>
  <c r="H283" i="8"/>
  <c r="G283" i="8"/>
  <c r="AL283" i="8" s="1"/>
  <c r="AI157" i="8"/>
  <c r="AE158" i="8" s="1"/>
  <c r="R127" i="8"/>
  <c r="Y165" i="8"/>
  <c r="AN165" i="8" s="1"/>
  <c r="F284" i="8"/>
  <c r="D285" i="8"/>
  <c r="E284" i="8"/>
  <c r="AK284" i="8" s="1"/>
  <c r="T127" i="8"/>
  <c r="AR101" i="8" l="1"/>
  <c r="AV101" i="8"/>
  <c r="AM127" i="8"/>
  <c r="AP127" i="8" s="1"/>
  <c r="AS127" i="8" s="1"/>
  <c r="Z165" i="8"/>
  <c r="J102" i="8"/>
  <c r="AT102" i="8" s="1"/>
  <c r="U127" i="8"/>
  <c r="Q128" i="8" s="1"/>
  <c r="H284" i="8"/>
  <c r="G284" i="8"/>
  <c r="AL284" i="8" s="1"/>
  <c r="AB165" i="8"/>
  <c r="X166" i="8" s="1"/>
  <c r="Y166" i="8" s="1"/>
  <c r="AN166" i="8" s="1"/>
  <c r="AF158" i="8"/>
  <c r="AO158" i="8" s="1"/>
  <c r="S127" i="8"/>
  <c r="F285" i="8"/>
  <c r="D286" i="8"/>
  <c r="E285" i="8"/>
  <c r="AK285" i="8" s="1"/>
  <c r="AQ102" i="8" l="1"/>
  <c r="AG158" i="8"/>
  <c r="Z166" i="8"/>
  <c r="K102" i="8"/>
  <c r="L102" i="8" s="1"/>
  <c r="H285" i="8"/>
  <c r="G285" i="8"/>
  <c r="AL285" i="8" s="1"/>
  <c r="AI158" i="8"/>
  <c r="AE159" i="8" s="1"/>
  <c r="R128" i="8"/>
  <c r="AB166" i="8"/>
  <c r="X167" i="8" s="1"/>
  <c r="F286" i="8"/>
  <c r="E286" i="8"/>
  <c r="AK286" i="8" s="1"/>
  <c r="D287" i="8"/>
  <c r="T128" i="8"/>
  <c r="AM128" i="8" l="1"/>
  <c r="AP128" i="8" s="1"/>
  <c r="AS128" i="8" s="1"/>
  <c r="N102" i="8"/>
  <c r="AV102" i="8" s="1"/>
  <c r="S128" i="8"/>
  <c r="H286" i="8"/>
  <c r="G286" i="8"/>
  <c r="AL286" i="8" s="1"/>
  <c r="U128" i="8"/>
  <c r="Q129" i="8" s="1"/>
  <c r="AF159" i="8"/>
  <c r="AO159" i="8" s="1"/>
  <c r="Y167" i="8"/>
  <c r="AN167" i="8" s="1"/>
  <c r="D288" i="8"/>
  <c r="F287" i="8"/>
  <c r="E287" i="8"/>
  <c r="AK287" i="8" s="1"/>
  <c r="J103" i="8" l="1"/>
  <c r="AT103" i="8" s="1"/>
  <c r="AR102" i="8"/>
  <c r="AG159" i="8"/>
  <c r="Z167" i="8"/>
  <c r="K103" i="8"/>
  <c r="L103" i="8" s="1"/>
  <c r="H287" i="8"/>
  <c r="G287" i="8"/>
  <c r="AL287" i="8" s="1"/>
  <c r="AI159" i="8"/>
  <c r="AE160" i="8" s="1"/>
  <c r="R129" i="8"/>
  <c r="AB167" i="8"/>
  <c r="X168" i="8" s="1"/>
  <c r="D289" i="8"/>
  <c r="F288" i="8"/>
  <c r="E288" i="8"/>
  <c r="AK288" i="8" s="1"/>
  <c r="T129" i="8"/>
  <c r="AQ103" i="8" l="1"/>
  <c r="AM129" i="8"/>
  <c r="AP129" i="8" s="1"/>
  <c r="AS129" i="8" s="1"/>
  <c r="N103" i="8"/>
  <c r="S129" i="8"/>
  <c r="H288" i="8"/>
  <c r="G288" i="8"/>
  <c r="AL288" i="8" s="1"/>
  <c r="U129" i="8"/>
  <c r="Q130" i="8" s="1"/>
  <c r="AF160" i="8"/>
  <c r="AO160" i="8" s="1"/>
  <c r="Y168" i="8"/>
  <c r="AN168" i="8" s="1"/>
  <c r="D290" i="8"/>
  <c r="F289" i="8"/>
  <c r="E289" i="8"/>
  <c r="AK289" i="8" s="1"/>
  <c r="T130" i="8"/>
  <c r="AR103" i="8" l="1"/>
  <c r="AV103" i="8"/>
  <c r="AG160" i="8"/>
  <c r="Z168" i="8"/>
  <c r="J104" i="8"/>
  <c r="H289" i="8"/>
  <c r="G289" i="8"/>
  <c r="AL289" i="8" s="1"/>
  <c r="AI160" i="8"/>
  <c r="AE161" i="8" s="1"/>
  <c r="R130" i="8"/>
  <c r="AB168" i="8"/>
  <c r="X169" i="8" s="1"/>
  <c r="E290" i="8"/>
  <c r="AK290" i="8" s="1"/>
  <c r="F290" i="8"/>
  <c r="D291" i="8"/>
  <c r="AQ104" i="8" l="1"/>
  <c r="AT104" i="8"/>
  <c r="AM130" i="8"/>
  <c r="AP130" i="8" s="1"/>
  <c r="AS130" i="8" s="1"/>
  <c r="K104" i="8"/>
  <c r="S130" i="8"/>
  <c r="H290" i="8"/>
  <c r="G290" i="8"/>
  <c r="AL290" i="8" s="1"/>
  <c r="AF161" i="8"/>
  <c r="AO161" i="8" s="1"/>
  <c r="U130" i="8"/>
  <c r="Q131" i="8" s="1"/>
  <c r="Y169" i="8"/>
  <c r="AN169" i="8" s="1"/>
  <c r="F291" i="8"/>
  <c r="E291" i="8"/>
  <c r="AK291" i="8" s="1"/>
  <c r="D292" i="8"/>
  <c r="AG161" i="8" l="1"/>
  <c r="Z169" i="8"/>
  <c r="L104" i="8"/>
  <c r="N104" i="8"/>
  <c r="H291" i="8"/>
  <c r="G291" i="8"/>
  <c r="AL291" i="8" s="1"/>
  <c r="AI161" i="8"/>
  <c r="AE162" i="8" s="1"/>
  <c r="R131" i="8"/>
  <c r="AB169" i="8"/>
  <c r="X170" i="8" s="1"/>
  <c r="F292" i="8"/>
  <c r="D293" i="8"/>
  <c r="E292" i="8"/>
  <c r="AK292" i="8" s="1"/>
  <c r="T131" i="8"/>
  <c r="AR104" i="8" l="1"/>
  <c r="AV104" i="8"/>
  <c r="AM131" i="8"/>
  <c r="AP131" i="8" s="1"/>
  <c r="AS131" i="8" s="1"/>
  <c r="J105" i="8"/>
  <c r="AT105" i="8" s="1"/>
  <c r="U131" i="8"/>
  <c r="Q132" i="8" s="1"/>
  <c r="H292" i="8"/>
  <c r="G292" i="8"/>
  <c r="AL292" i="8" s="1"/>
  <c r="AF162" i="8"/>
  <c r="AO162" i="8" s="1"/>
  <c r="S131" i="8"/>
  <c r="Y170" i="8"/>
  <c r="AN170" i="8" s="1"/>
  <c r="D294" i="8"/>
  <c r="F293" i="8"/>
  <c r="E293" i="8"/>
  <c r="AK293" i="8" s="1"/>
  <c r="AQ105" i="8" l="1"/>
  <c r="AG162" i="8"/>
  <c r="Z170" i="8"/>
  <c r="K105" i="8"/>
  <c r="L105" i="8" s="1"/>
  <c r="H293" i="8"/>
  <c r="G293" i="8"/>
  <c r="AL293" i="8" s="1"/>
  <c r="AI162" i="8"/>
  <c r="AE163" i="8" s="1"/>
  <c r="R132" i="8"/>
  <c r="AM132" i="8" s="1"/>
  <c r="AP132" i="8" s="1"/>
  <c r="AS132" i="8" s="1"/>
  <c r="AB170" i="8"/>
  <c r="X171" i="8" s="1"/>
  <c r="D295" i="8"/>
  <c r="F294" i="8"/>
  <c r="E294" i="8"/>
  <c r="AK294" i="8" s="1"/>
  <c r="T132" i="8"/>
  <c r="U132" i="8" l="1"/>
  <c r="Q133" i="8" s="1"/>
  <c r="N105" i="8"/>
  <c r="H294" i="8"/>
  <c r="G294" i="8"/>
  <c r="AL294" i="8" s="1"/>
  <c r="S132" i="8"/>
  <c r="AF163" i="8"/>
  <c r="AO163" i="8" s="1"/>
  <c r="Y171" i="8"/>
  <c r="AN171" i="8" s="1"/>
  <c r="D296" i="8"/>
  <c r="F295" i="8"/>
  <c r="E295" i="8"/>
  <c r="AK295" i="8" s="1"/>
  <c r="AR105" i="8" l="1"/>
  <c r="AV105" i="8"/>
  <c r="AG163" i="8"/>
  <c r="Z171" i="8"/>
  <c r="J106" i="8"/>
  <c r="AT106" i="8" s="1"/>
  <c r="H295" i="8"/>
  <c r="G295" i="8"/>
  <c r="AL295" i="8" s="1"/>
  <c r="AI163" i="8"/>
  <c r="AE164" i="8" s="1"/>
  <c r="R133" i="8"/>
  <c r="AB171" i="8"/>
  <c r="X172" i="8" s="1"/>
  <c r="F296" i="8"/>
  <c r="E296" i="8"/>
  <c r="AK296" i="8" s="1"/>
  <c r="D297" i="8"/>
  <c r="T133" i="8"/>
  <c r="AQ106" i="8" l="1"/>
  <c r="AM133" i="8"/>
  <c r="AP133" i="8" s="1"/>
  <c r="AS133" i="8" s="1"/>
  <c r="K106" i="8"/>
  <c r="L106" i="8" s="1"/>
  <c r="U133" i="8"/>
  <c r="Q134" i="8" s="1"/>
  <c r="H296" i="8"/>
  <c r="G296" i="8"/>
  <c r="AL296" i="8" s="1"/>
  <c r="AF164" i="8"/>
  <c r="AO164" i="8" s="1"/>
  <c r="S133" i="8"/>
  <c r="Y172" i="8"/>
  <c r="AN172" i="8" s="1"/>
  <c r="D298" i="8"/>
  <c r="E297" i="8"/>
  <c r="AK297" i="8" s="1"/>
  <c r="F297" i="8"/>
  <c r="AG164" i="8" l="1"/>
  <c r="Z172" i="8"/>
  <c r="N106" i="8"/>
  <c r="AV106" i="8" s="1"/>
  <c r="H297" i="8"/>
  <c r="G297" i="8"/>
  <c r="AL297" i="8" s="1"/>
  <c r="AI164" i="8"/>
  <c r="AE165" i="8" s="1"/>
  <c r="R134" i="8"/>
  <c r="AB172" i="8"/>
  <c r="X173" i="8" s="1"/>
  <c r="D299" i="8"/>
  <c r="E298" i="8"/>
  <c r="AK298" i="8" s="1"/>
  <c r="F298" i="8"/>
  <c r="T134" i="8"/>
  <c r="J107" i="8" l="1"/>
  <c r="AT107" i="8" s="1"/>
  <c r="AR106" i="8"/>
  <c r="AM134" i="8"/>
  <c r="AP134" i="8" s="1"/>
  <c r="AS134" i="8" s="1"/>
  <c r="S134" i="8"/>
  <c r="H298" i="8"/>
  <c r="G298" i="8"/>
  <c r="AL298" i="8" s="1"/>
  <c r="U134" i="8"/>
  <c r="Q135" i="8" s="1"/>
  <c r="AF165" i="8"/>
  <c r="AO165" i="8" s="1"/>
  <c r="Y173" i="8"/>
  <c r="AN173" i="8" s="1"/>
  <c r="D300" i="8"/>
  <c r="E299" i="8"/>
  <c r="AK299" i="8" s="1"/>
  <c r="F299" i="8"/>
  <c r="AQ107" i="8" l="1"/>
  <c r="K107" i="8"/>
  <c r="L107" i="8" s="1"/>
  <c r="AG165" i="8"/>
  <c r="Z173" i="8"/>
  <c r="H299" i="8"/>
  <c r="G299" i="8"/>
  <c r="AL299" i="8" s="1"/>
  <c r="AI165" i="8"/>
  <c r="AE166" i="8" s="1"/>
  <c r="R135" i="8"/>
  <c r="AB173" i="8"/>
  <c r="X174" i="8" s="1"/>
  <c r="E300" i="8"/>
  <c r="AK300" i="8" s="1"/>
  <c r="D301" i="8"/>
  <c r="F300" i="8"/>
  <c r="T135" i="8"/>
  <c r="N107" i="8" l="1"/>
  <c r="AR107" i="8" s="1"/>
  <c r="AV107" i="8"/>
  <c r="J108" i="8"/>
  <c r="AM135" i="8"/>
  <c r="AP135" i="8" s="1"/>
  <c r="AS135" i="8" s="1"/>
  <c r="K108" i="8"/>
  <c r="L108" i="8" s="1"/>
  <c r="S135" i="8"/>
  <c r="H300" i="8"/>
  <c r="G300" i="8"/>
  <c r="AL300" i="8" s="1"/>
  <c r="AF166" i="8"/>
  <c r="AO166" i="8" s="1"/>
  <c r="U135" i="8"/>
  <c r="Q136" i="8" s="1"/>
  <c r="Y174" i="8"/>
  <c r="AN174" i="8" s="1"/>
  <c r="E301" i="8"/>
  <c r="AK301" i="8" s="1"/>
  <c r="D302" i="8"/>
  <c r="F301" i="8"/>
  <c r="T136" i="8"/>
  <c r="AQ108" i="8" l="1"/>
  <c r="AT108" i="8"/>
  <c r="AG166" i="8"/>
  <c r="N108" i="8"/>
  <c r="J109" i="8" s="1"/>
  <c r="AQ109" i="8" s="1"/>
  <c r="Z174" i="8"/>
  <c r="H301" i="8"/>
  <c r="G301" i="8"/>
  <c r="AL301" i="8" s="1"/>
  <c r="AB174" i="8"/>
  <c r="X175" i="8" s="1"/>
  <c r="Y175" i="8" s="1"/>
  <c r="AN175" i="8" s="1"/>
  <c r="AI166" i="8"/>
  <c r="AE167" i="8" s="1"/>
  <c r="R136" i="8"/>
  <c r="D303" i="8"/>
  <c r="F302" i="8"/>
  <c r="E302" i="8"/>
  <c r="AK302" i="8" s="1"/>
  <c r="AT109" i="8" l="1"/>
  <c r="AR108" i="8"/>
  <c r="AV108" i="8"/>
  <c r="AM136" i="8"/>
  <c r="AP136" i="8" s="1"/>
  <c r="AS136" i="8" s="1"/>
  <c r="Z175" i="8"/>
  <c r="K109" i="8"/>
  <c r="L109" i="8" s="1"/>
  <c r="S136" i="8"/>
  <c r="H302" i="8"/>
  <c r="G302" i="8"/>
  <c r="AL302" i="8" s="1"/>
  <c r="AF167" i="8"/>
  <c r="AO167" i="8" s="1"/>
  <c r="U136" i="8"/>
  <c r="Q137" i="8" s="1"/>
  <c r="AB175" i="8"/>
  <c r="X176" i="8" s="1"/>
  <c r="E303" i="8"/>
  <c r="AK303" i="8" s="1"/>
  <c r="D304" i="8"/>
  <c r="F303" i="8"/>
  <c r="AG167" i="8" l="1"/>
  <c r="N109" i="8"/>
  <c r="AV109" i="8" s="1"/>
  <c r="H303" i="8"/>
  <c r="G303" i="8"/>
  <c r="AL303" i="8" s="1"/>
  <c r="AI167" i="8"/>
  <c r="AE168" i="8" s="1"/>
  <c r="R137" i="8"/>
  <c r="Y176" i="8"/>
  <c r="AN176" i="8" s="1"/>
  <c r="F304" i="8"/>
  <c r="D305" i="8"/>
  <c r="E304" i="8"/>
  <c r="AK304" i="8" s="1"/>
  <c r="T137" i="8"/>
  <c r="J110" i="8" l="1"/>
  <c r="AT110" i="8" s="1"/>
  <c r="AR109" i="8"/>
  <c r="AM137" i="8"/>
  <c r="AP137" i="8" s="1"/>
  <c r="AS137" i="8" s="1"/>
  <c r="Z176" i="8"/>
  <c r="H304" i="8"/>
  <c r="G304" i="8"/>
  <c r="AL304" i="8" s="1"/>
  <c r="U137" i="8"/>
  <c r="Q138" i="8" s="1"/>
  <c r="S137" i="8"/>
  <c r="AB176" i="8"/>
  <c r="X177" i="8" s="1"/>
  <c r="Y177" i="8" s="1"/>
  <c r="AN177" i="8" s="1"/>
  <c r="AF168" i="8"/>
  <c r="AO168" i="8" s="1"/>
  <c r="E305" i="8"/>
  <c r="AK305" i="8" s="1"/>
  <c r="F305" i="8"/>
  <c r="D306" i="8"/>
  <c r="AQ110" i="8" l="1"/>
  <c r="K110" i="8"/>
  <c r="L110" i="8" s="1"/>
  <c r="AG168" i="8"/>
  <c r="Z177" i="8"/>
  <c r="H305" i="8"/>
  <c r="G305" i="8"/>
  <c r="AL305" i="8" s="1"/>
  <c r="AI168" i="8"/>
  <c r="AE169" i="8" s="1"/>
  <c r="R138" i="8"/>
  <c r="AB177" i="8"/>
  <c r="X178" i="8" s="1"/>
  <c r="E306" i="8"/>
  <c r="AK306" i="8" s="1"/>
  <c r="D307" i="8"/>
  <c r="F306" i="8"/>
  <c r="T138" i="8"/>
  <c r="N110" i="8" l="1"/>
  <c r="J111" i="8" s="1"/>
  <c r="AM138" i="8"/>
  <c r="AP138" i="8" s="1"/>
  <c r="AS138" i="8" s="1"/>
  <c r="S138" i="8"/>
  <c r="H306" i="8"/>
  <c r="G306" i="8"/>
  <c r="AL306" i="8" s="1"/>
  <c r="AF169" i="8"/>
  <c r="AO169" i="8" s="1"/>
  <c r="U138" i="8"/>
  <c r="Q139" i="8" s="1"/>
  <c r="Y178" i="8"/>
  <c r="AN178" i="8" s="1"/>
  <c r="F307" i="8"/>
  <c r="E307" i="8"/>
  <c r="AK307" i="8" s="1"/>
  <c r="D308" i="8"/>
  <c r="AQ111" i="8" l="1"/>
  <c r="AT111" i="8"/>
  <c r="K111" i="8"/>
  <c r="N111" i="8" s="1"/>
  <c r="AR110" i="8"/>
  <c r="AV110" i="8"/>
  <c r="AG169" i="8"/>
  <c r="Z178" i="8"/>
  <c r="H307" i="8"/>
  <c r="G307" i="8"/>
  <c r="AL307" i="8" s="1"/>
  <c r="AI169" i="8"/>
  <c r="AE170" i="8" s="1"/>
  <c r="R139" i="8"/>
  <c r="AM139" i="8" s="1"/>
  <c r="AP139" i="8" s="1"/>
  <c r="AS139" i="8" s="1"/>
  <c r="AB178" i="8"/>
  <c r="X179" i="8" s="1"/>
  <c r="D309" i="8"/>
  <c r="E308" i="8"/>
  <c r="AK308" i="8" s="1"/>
  <c r="F308" i="8"/>
  <c r="T139" i="8"/>
  <c r="L111" i="8" l="1"/>
  <c r="AR111" i="8"/>
  <c r="AV111" i="8"/>
  <c r="U139" i="8"/>
  <c r="J112" i="8"/>
  <c r="AT112" i="8" s="1"/>
  <c r="H308" i="8"/>
  <c r="G308" i="8"/>
  <c r="AL308" i="8" s="1"/>
  <c r="S139" i="8"/>
  <c r="AF170" i="8"/>
  <c r="AO170" i="8" s="1"/>
  <c r="Y179" i="8"/>
  <c r="AN179" i="8" s="1"/>
  <c r="E309" i="8"/>
  <c r="AK309" i="8" s="1"/>
  <c r="F309" i="8"/>
  <c r="D310" i="8"/>
  <c r="Q140" i="8"/>
  <c r="AQ112" i="8" l="1"/>
  <c r="AG170" i="8"/>
  <c r="Z179" i="8"/>
  <c r="K112" i="8"/>
  <c r="H309" i="8"/>
  <c r="G309" i="8"/>
  <c r="AL309" i="8" s="1"/>
  <c r="AI170" i="8"/>
  <c r="AE171" i="8" s="1"/>
  <c r="R140" i="8"/>
  <c r="AB179" i="8"/>
  <c r="X180" i="8" s="1"/>
  <c r="F310" i="8"/>
  <c r="D311" i="8"/>
  <c r="E310" i="8"/>
  <c r="AK310" i="8" s="1"/>
  <c r="T140" i="8"/>
  <c r="AM140" i="8" l="1"/>
  <c r="AP140" i="8" s="1"/>
  <c r="AS140" i="8" s="1"/>
  <c r="L112" i="8"/>
  <c r="N112" i="8"/>
  <c r="S140" i="8"/>
  <c r="H310" i="8"/>
  <c r="G310" i="8"/>
  <c r="AL310" i="8" s="1"/>
  <c r="U140" i="8"/>
  <c r="Q141" i="8" s="1"/>
  <c r="AF171" i="8"/>
  <c r="AO171" i="8" s="1"/>
  <c r="Y180" i="8"/>
  <c r="AN180" i="8" s="1"/>
  <c r="E311" i="8"/>
  <c r="AK311" i="8" s="1"/>
  <c r="F311" i="8"/>
  <c r="D312" i="8"/>
  <c r="AR112" i="8" l="1"/>
  <c r="AV112" i="8"/>
  <c r="AG171" i="8"/>
  <c r="Z180" i="8"/>
  <c r="J113" i="8"/>
  <c r="AT113" i="8" s="1"/>
  <c r="H311" i="8"/>
  <c r="G311" i="8"/>
  <c r="AL311" i="8" s="1"/>
  <c r="AI171" i="8"/>
  <c r="AE172" i="8" s="1"/>
  <c r="R141" i="8"/>
  <c r="AB180" i="8"/>
  <c r="X181" i="8" s="1"/>
  <c r="D313" i="8"/>
  <c r="E312" i="8"/>
  <c r="AK312" i="8" s="1"/>
  <c r="F312" i="8"/>
  <c r="T141" i="8"/>
  <c r="AQ113" i="8" l="1"/>
  <c r="AM141" i="8"/>
  <c r="AP141" i="8" s="1"/>
  <c r="AS141" i="8" s="1"/>
  <c r="K113" i="8"/>
  <c r="L113" i="8" s="1"/>
  <c r="H312" i="8"/>
  <c r="G312" i="8"/>
  <c r="AL312" i="8" s="1"/>
  <c r="S141" i="8"/>
  <c r="U141" i="8"/>
  <c r="Q142" i="8" s="1"/>
  <c r="AF172" i="8"/>
  <c r="AO172" i="8" s="1"/>
  <c r="Y181" i="8"/>
  <c r="AN181" i="8" s="1"/>
  <c r="F313" i="8"/>
  <c r="D314" i="8"/>
  <c r="E313" i="8"/>
  <c r="AK313" i="8" s="1"/>
  <c r="AG172" i="8" l="1"/>
  <c r="Z181" i="8"/>
  <c r="N113" i="8"/>
  <c r="H313" i="8"/>
  <c r="G313" i="8"/>
  <c r="AL313" i="8" s="1"/>
  <c r="AB181" i="8"/>
  <c r="X182" i="8" s="1"/>
  <c r="Y182" i="8" s="1"/>
  <c r="AN182" i="8" s="1"/>
  <c r="AI172" i="8"/>
  <c r="AE173" i="8" s="1"/>
  <c r="R142" i="8"/>
  <c r="AM142" i="8" s="1"/>
  <c r="AP142" i="8" s="1"/>
  <c r="AS142" i="8" s="1"/>
  <c r="E314" i="8"/>
  <c r="AK314" i="8" s="1"/>
  <c r="F314" i="8"/>
  <c r="D315" i="8"/>
  <c r="T142" i="8"/>
  <c r="AR113" i="8" l="1"/>
  <c r="AV113" i="8"/>
  <c r="Z182" i="8"/>
  <c r="J114" i="8"/>
  <c r="AT114" i="8" s="1"/>
  <c r="U142" i="8"/>
  <c r="Q143" i="8" s="1"/>
  <c r="H314" i="8"/>
  <c r="G314" i="8"/>
  <c r="AL314" i="8" s="1"/>
  <c r="AF173" i="8"/>
  <c r="AO173" i="8" s="1"/>
  <c r="S142" i="8"/>
  <c r="AB182" i="8"/>
  <c r="X183" i="8" s="1"/>
  <c r="E315" i="8"/>
  <c r="AK315" i="8" s="1"/>
  <c r="D316" i="8"/>
  <c r="F315" i="8"/>
  <c r="AQ114" i="8" l="1"/>
  <c r="AG173" i="8"/>
  <c r="K114" i="8"/>
  <c r="L114" i="8" s="1"/>
  <c r="H315" i="8"/>
  <c r="G315" i="8"/>
  <c r="AL315" i="8" s="1"/>
  <c r="AI173" i="8"/>
  <c r="AE174" i="8" s="1"/>
  <c r="R143" i="8"/>
  <c r="Y183" i="8"/>
  <c r="AN183" i="8" s="1"/>
  <c r="E316" i="8"/>
  <c r="AK316" i="8" s="1"/>
  <c r="F316" i="8"/>
  <c r="D317" i="8"/>
  <c r="T143" i="8"/>
  <c r="AM143" i="8" l="1"/>
  <c r="AP143" i="8" s="1"/>
  <c r="AS143" i="8" s="1"/>
  <c r="Z183" i="8"/>
  <c r="N114" i="8"/>
  <c r="S143" i="8"/>
  <c r="U143" i="8"/>
  <c r="Q144" i="8" s="1"/>
  <c r="H316" i="8"/>
  <c r="G316" i="8"/>
  <c r="AL316" i="8" s="1"/>
  <c r="AF174" i="8"/>
  <c r="AO174" i="8" s="1"/>
  <c r="AB183" i="8"/>
  <c r="X184" i="8" s="1"/>
  <c r="F317" i="8"/>
  <c r="D318" i="8"/>
  <c r="E317" i="8"/>
  <c r="AK317" i="8" s="1"/>
  <c r="AR114" i="8" l="1"/>
  <c r="AV114" i="8"/>
  <c r="AG174" i="8"/>
  <c r="J115" i="8"/>
  <c r="AT115" i="8" s="1"/>
  <c r="H317" i="8"/>
  <c r="G317" i="8"/>
  <c r="AL317" i="8" s="1"/>
  <c r="AI174" i="8"/>
  <c r="AE175" i="8" s="1"/>
  <c r="R144" i="8"/>
  <c r="Y184" i="8"/>
  <c r="AN184" i="8" s="1"/>
  <c r="F318" i="8"/>
  <c r="D319" i="8"/>
  <c r="E318" i="8"/>
  <c r="AK318" i="8" s="1"/>
  <c r="T144" i="8"/>
  <c r="AQ115" i="8" l="1"/>
  <c r="AM144" i="8"/>
  <c r="AP144" i="8" s="1"/>
  <c r="AS144" i="8" s="1"/>
  <c r="Z184" i="8"/>
  <c r="K115" i="8"/>
  <c r="L115" i="8" s="1"/>
  <c r="S144" i="8"/>
  <c r="H318" i="8"/>
  <c r="G318" i="8"/>
  <c r="AL318" i="8" s="1"/>
  <c r="U144" i="8"/>
  <c r="Q145" i="8" s="1"/>
  <c r="AF175" i="8"/>
  <c r="AO175" i="8" s="1"/>
  <c r="AB184" i="8"/>
  <c r="X185" i="8" s="1"/>
  <c r="F319" i="8"/>
  <c r="D320" i="8"/>
  <c r="E319" i="8"/>
  <c r="AK319" i="8" s="1"/>
  <c r="AG175" i="8" l="1"/>
  <c r="N115" i="8"/>
  <c r="AV115" i="8" s="1"/>
  <c r="H319" i="8"/>
  <c r="G319" i="8"/>
  <c r="AL319" i="8" s="1"/>
  <c r="AI175" i="8"/>
  <c r="AE176" i="8" s="1"/>
  <c r="R145" i="8"/>
  <c r="Y185" i="8"/>
  <c r="AN185" i="8" s="1"/>
  <c r="D321" i="8"/>
  <c r="F320" i="8"/>
  <c r="E320" i="8"/>
  <c r="AK320" i="8" s="1"/>
  <c r="T145" i="8"/>
  <c r="J116" i="8" l="1"/>
  <c r="AT116" i="8" s="1"/>
  <c r="AR115" i="8"/>
  <c r="AM145" i="8"/>
  <c r="AP145" i="8" s="1"/>
  <c r="AS145" i="8" s="1"/>
  <c r="Z185" i="8"/>
  <c r="K116" i="8"/>
  <c r="L116" i="8" s="1"/>
  <c r="U145" i="8"/>
  <c r="Q146" i="8" s="1"/>
  <c r="S145" i="8"/>
  <c r="H320" i="8"/>
  <c r="G320" i="8"/>
  <c r="AL320" i="8" s="1"/>
  <c r="AF176" i="8"/>
  <c r="AO176" i="8" s="1"/>
  <c r="AB185" i="8"/>
  <c r="X186" i="8" s="1"/>
  <c r="F321" i="8"/>
  <c r="E321" i="8"/>
  <c r="AK321" i="8" s="1"/>
  <c r="D322" i="8"/>
  <c r="T146" i="8"/>
  <c r="AQ116" i="8" l="1"/>
  <c r="AG176" i="8"/>
  <c r="N116" i="8"/>
  <c r="AV116" i="8" s="1"/>
  <c r="H321" i="8"/>
  <c r="G321" i="8"/>
  <c r="AL321" i="8" s="1"/>
  <c r="AI176" i="8"/>
  <c r="AE177" i="8" s="1"/>
  <c r="R146" i="8"/>
  <c r="Y186" i="8"/>
  <c r="AN186" i="8" s="1"/>
  <c r="D323" i="8"/>
  <c r="E322" i="8"/>
  <c r="AK322" i="8" s="1"/>
  <c r="F322" i="8"/>
  <c r="J117" i="8" l="1"/>
  <c r="AT117" i="8" s="1"/>
  <c r="AR116" i="8"/>
  <c r="AM146" i="8"/>
  <c r="AP146" i="8" s="1"/>
  <c r="AS146" i="8" s="1"/>
  <c r="Z186" i="8"/>
  <c r="S146" i="8"/>
  <c r="H322" i="8"/>
  <c r="G322" i="8"/>
  <c r="AL322" i="8" s="1"/>
  <c r="U146" i="8"/>
  <c r="Q147" i="8" s="1"/>
  <c r="AF177" i="8"/>
  <c r="AO177" i="8" s="1"/>
  <c r="AB186" i="8"/>
  <c r="X187" i="8" s="1"/>
  <c r="F323" i="8"/>
  <c r="E323" i="8"/>
  <c r="AK323" i="8" s="1"/>
  <c r="D324" i="8"/>
  <c r="AQ117" i="8" l="1"/>
  <c r="K117" i="8"/>
  <c r="L117" i="8" s="1"/>
  <c r="AG177" i="8"/>
  <c r="H323" i="8"/>
  <c r="G323" i="8"/>
  <c r="AL323" i="8" s="1"/>
  <c r="AI177" i="8"/>
  <c r="AE178" i="8" s="1"/>
  <c r="R147" i="8"/>
  <c r="Y187" i="8"/>
  <c r="AN187" i="8" s="1"/>
  <c r="F324" i="8"/>
  <c r="E324" i="8"/>
  <c r="AK324" i="8" s="1"/>
  <c r="D325" i="8"/>
  <c r="T147" i="8"/>
  <c r="N117" i="8" l="1"/>
  <c r="AV117" i="8" s="1"/>
  <c r="AM147" i="8"/>
  <c r="AP147" i="8" s="1"/>
  <c r="AS147" i="8" s="1"/>
  <c r="Z187" i="8"/>
  <c r="U147" i="8"/>
  <c r="Q148" i="8" s="1"/>
  <c r="H324" i="8"/>
  <c r="G324" i="8"/>
  <c r="AL324" i="8" s="1"/>
  <c r="AF178" i="8"/>
  <c r="AO178" i="8" s="1"/>
  <c r="S147" i="8"/>
  <c r="AB187" i="8"/>
  <c r="X188" i="8" s="1"/>
  <c r="D326" i="8"/>
  <c r="E325" i="8"/>
  <c r="AK325" i="8" s="1"/>
  <c r="F325" i="8"/>
  <c r="AR117" i="8" l="1"/>
  <c r="J118" i="8"/>
  <c r="AT118" i="8" s="1"/>
  <c r="K118" i="8"/>
  <c r="L118" i="8" s="1"/>
  <c r="AG178" i="8"/>
  <c r="N118" i="8"/>
  <c r="AV118" i="8" s="1"/>
  <c r="H325" i="8"/>
  <c r="G325" i="8"/>
  <c r="AL325" i="8" s="1"/>
  <c r="AI178" i="8"/>
  <c r="AE179" i="8" s="1"/>
  <c r="R148" i="8"/>
  <c r="Y188" i="8"/>
  <c r="AN188" i="8" s="1"/>
  <c r="F326" i="8"/>
  <c r="E326" i="8"/>
  <c r="AK326" i="8" s="1"/>
  <c r="D327" i="8"/>
  <c r="T148" i="8"/>
  <c r="AQ118" i="8" l="1"/>
  <c r="J119" i="8"/>
  <c r="AQ119" i="8" s="1"/>
  <c r="AR118" i="8"/>
  <c r="AM148" i="8"/>
  <c r="AP148" i="8" s="1"/>
  <c r="AS148" i="8" s="1"/>
  <c r="Z188" i="8"/>
  <c r="K119" i="8"/>
  <c r="L119" i="8" s="1"/>
  <c r="U148" i="8"/>
  <c r="Q149" i="8" s="1"/>
  <c r="H326" i="8"/>
  <c r="G326" i="8"/>
  <c r="AL326" i="8" s="1"/>
  <c r="AF179" i="8"/>
  <c r="AO179" i="8" s="1"/>
  <c r="S148" i="8"/>
  <c r="AB188" i="8"/>
  <c r="X189" i="8" s="1"/>
  <c r="F327" i="8"/>
  <c r="D328" i="8"/>
  <c r="E327" i="8"/>
  <c r="AK327" i="8" s="1"/>
  <c r="AT119" i="8" l="1"/>
  <c r="AG179" i="8"/>
  <c r="N119" i="8"/>
  <c r="AV119" i="8" s="1"/>
  <c r="H327" i="8"/>
  <c r="G327" i="8"/>
  <c r="AL327" i="8" s="1"/>
  <c r="AI179" i="8"/>
  <c r="AE180" i="8" s="1"/>
  <c r="R149" i="8"/>
  <c r="Y189" i="8"/>
  <c r="AN189" i="8" s="1"/>
  <c r="D329" i="8"/>
  <c r="E328" i="8"/>
  <c r="AK328" i="8" s="1"/>
  <c r="F328" i="8"/>
  <c r="T149" i="8"/>
  <c r="J120" i="8" l="1"/>
  <c r="AT120" i="8" s="1"/>
  <c r="AR119" i="8"/>
  <c r="AM149" i="8"/>
  <c r="AP149" i="8" s="1"/>
  <c r="AS149" i="8" s="1"/>
  <c r="Z189" i="8"/>
  <c r="K120" i="8"/>
  <c r="L120" i="8" s="1"/>
  <c r="U149" i="8"/>
  <c r="Q150" i="8" s="1"/>
  <c r="H328" i="8"/>
  <c r="G328" i="8"/>
  <c r="AL328" i="8" s="1"/>
  <c r="AF180" i="8"/>
  <c r="AO180" i="8" s="1"/>
  <c r="S149" i="8"/>
  <c r="AB189" i="8"/>
  <c r="X190" i="8" s="1"/>
  <c r="D330" i="8"/>
  <c r="E329" i="8"/>
  <c r="AK329" i="8" s="1"/>
  <c r="F329" i="8"/>
  <c r="AQ120" i="8" l="1"/>
  <c r="AG180" i="8"/>
  <c r="N120" i="8"/>
  <c r="H329" i="8"/>
  <c r="G329" i="8"/>
  <c r="AL329" i="8" s="1"/>
  <c r="AI180" i="8"/>
  <c r="AE181" i="8" s="1"/>
  <c r="R150" i="8"/>
  <c r="Y190" i="8"/>
  <c r="AN190" i="8" s="1"/>
  <c r="F330" i="8"/>
  <c r="E330" i="8"/>
  <c r="AK330" i="8" s="1"/>
  <c r="D331" i="8"/>
  <c r="T150" i="8"/>
  <c r="AR120" i="8" l="1"/>
  <c r="AV120" i="8"/>
  <c r="AM150" i="8"/>
  <c r="AP150" i="8" s="1"/>
  <c r="AS150" i="8" s="1"/>
  <c r="Z190" i="8"/>
  <c r="J121" i="8"/>
  <c r="S150" i="8"/>
  <c r="H330" i="8"/>
  <c r="G330" i="8"/>
  <c r="AL330" i="8" s="1"/>
  <c r="AF181" i="8"/>
  <c r="AO181" i="8" s="1"/>
  <c r="U150" i="8"/>
  <c r="Q151" i="8" s="1"/>
  <c r="AB190" i="8"/>
  <c r="X191" i="8" s="1"/>
  <c r="F331" i="8"/>
  <c r="E331" i="8"/>
  <c r="AK331" i="8" s="1"/>
  <c r="D332" i="8"/>
  <c r="AQ121" i="8" l="1"/>
  <c r="AT121" i="8"/>
  <c r="AG181" i="8"/>
  <c r="K121" i="8"/>
  <c r="L121" i="8" s="1"/>
  <c r="H331" i="8"/>
  <c r="G331" i="8"/>
  <c r="AL331" i="8" s="1"/>
  <c r="AI181" i="8"/>
  <c r="AE182" i="8" s="1"/>
  <c r="R151" i="8"/>
  <c r="Y191" i="8"/>
  <c r="AN191" i="8" s="1"/>
  <c r="E332" i="8"/>
  <c r="AK332" i="8" s="1"/>
  <c r="D333" i="8"/>
  <c r="F332" i="8"/>
  <c r="T151" i="8"/>
  <c r="AM151" i="8" l="1"/>
  <c r="AP151" i="8" s="1"/>
  <c r="AS151" i="8" s="1"/>
  <c r="Z191" i="8"/>
  <c r="N121" i="8"/>
  <c r="H332" i="8"/>
  <c r="G332" i="8"/>
  <c r="AL332" i="8" s="1"/>
  <c r="S151" i="8"/>
  <c r="AF182" i="8"/>
  <c r="AO182" i="8" s="1"/>
  <c r="U151" i="8"/>
  <c r="Q152" i="8" s="1"/>
  <c r="AB191" i="8"/>
  <c r="X192" i="8" s="1"/>
  <c r="F333" i="8"/>
  <c r="E333" i="8"/>
  <c r="AK333" i="8" s="1"/>
  <c r="D334" i="8"/>
  <c r="AR121" i="8" l="1"/>
  <c r="AV121" i="8"/>
  <c r="AG182" i="8"/>
  <c r="J122" i="8"/>
  <c r="AT122" i="8" s="1"/>
  <c r="H333" i="8"/>
  <c r="G333" i="8"/>
  <c r="AL333" i="8" s="1"/>
  <c r="AI182" i="8"/>
  <c r="AE183" i="8" s="1"/>
  <c r="R152" i="8"/>
  <c r="Y192" i="8"/>
  <c r="AN192" i="8" s="1"/>
  <c r="D335" i="8"/>
  <c r="E334" i="8"/>
  <c r="AK334" i="8" s="1"/>
  <c r="F334" i="8"/>
  <c r="T152" i="8"/>
  <c r="AQ122" i="8" l="1"/>
  <c r="AM152" i="8"/>
  <c r="AP152" i="8" s="1"/>
  <c r="AS152" i="8" s="1"/>
  <c r="Z192" i="8"/>
  <c r="K122" i="8"/>
  <c r="L122" i="8" s="1"/>
  <c r="S152" i="8"/>
  <c r="H334" i="8"/>
  <c r="G334" i="8"/>
  <c r="AL334" i="8" s="1"/>
  <c r="AF183" i="8"/>
  <c r="AO183" i="8" s="1"/>
  <c r="U152" i="8"/>
  <c r="Q153" i="8" s="1"/>
  <c r="AB192" i="8"/>
  <c r="X193" i="8" s="1"/>
  <c r="F335" i="8"/>
  <c r="D336" i="8"/>
  <c r="E335" i="8"/>
  <c r="AK335" i="8" s="1"/>
  <c r="AG183" i="8" l="1"/>
  <c r="N122" i="8"/>
  <c r="AV122" i="8" s="1"/>
  <c r="H335" i="8"/>
  <c r="G335" i="8"/>
  <c r="AL335" i="8" s="1"/>
  <c r="AI183" i="8"/>
  <c r="AE184" i="8" s="1"/>
  <c r="R153" i="8"/>
  <c r="Y193" i="8"/>
  <c r="AN193" i="8" s="1"/>
  <c r="D337" i="8"/>
  <c r="E336" i="8"/>
  <c r="AK336" i="8" s="1"/>
  <c r="F336" i="8"/>
  <c r="T153" i="8"/>
  <c r="J123" i="8" l="1"/>
  <c r="AT123" i="8" s="1"/>
  <c r="AR122" i="8"/>
  <c r="AM153" i="8"/>
  <c r="AP153" i="8" s="1"/>
  <c r="AS153" i="8" s="1"/>
  <c r="Z193" i="8"/>
  <c r="K123" i="8"/>
  <c r="L123" i="8" s="1"/>
  <c r="H336" i="8"/>
  <c r="G336" i="8"/>
  <c r="AL336" i="8" s="1"/>
  <c r="S153" i="8"/>
  <c r="AF184" i="8"/>
  <c r="AO184" i="8" s="1"/>
  <c r="U153" i="8"/>
  <c r="Q154" i="8" s="1"/>
  <c r="AB193" i="8"/>
  <c r="X194" i="8" s="1"/>
  <c r="D338" i="8"/>
  <c r="E337" i="8"/>
  <c r="AK337" i="8" s="1"/>
  <c r="F337" i="8"/>
  <c r="AQ123" i="8" l="1"/>
  <c r="AG184" i="8"/>
  <c r="N123" i="8"/>
  <c r="H337" i="8"/>
  <c r="G337" i="8"/>
  <c r="AL337" i="8" s="1"/>
  <c r="AI184" i="8"/>
  <c r="AE185" i="8" s="1"/>
  <c r="R154" i="8"/>
  <c r="Y194" i="8"/>
  <c r="AN194" i="8" s="1"/>
  <c r="D339" i="8"/>
  <c r="E338" i="8"/>
  <c r="AK338" i="8" s="1"/>
  <c r="F338" i="8"/>
  <c r="T154" i="8"/>
  <c r="AR123" i="8" l="1"/>
  <c r="AV123" i="8"/>
  <c r="AM154" i="8"/>
  <c r="AP154" i="8" s="1"/>
  <c r="AS154" i="8" s="1"/>
  <c r="Z194" i="8"/>
  <c r="J124" i="8"/>
  <c r="U154" i="8"/>
  <c r="Q155" i="8" s="1"/>
  <c r="H338" i="8"/>
  <c r="G338" i="8"/>
  <c r="AL338" i="8" s="1"/>
  <c r="AF185" i="8"/>
  <c r="AO185" i="8" s="1"/>
  <c r="S154" i="8"/>
  <c r="AB194" i="8"/>
  <c r="X195" i="8" s="1"/>
  <c r="E339" i="8"/>
  <c r="AK339" i="8" s="1"/>
  <c r="F339" i="8"/>
  <c r="D340" i="8"/>
  <c r="AQ124" i="8" l="1"/>
  <c r="AT124" i="8"/>
  <c r="AG185" i="8"/>
  <c r="K124" i="8"/>
  <c r="L124" i="8" s="1"/>
  <c r="H339" i="8"/>
  <c r="G339" i="8"/>
  <c r="AL339" i="8" s="1"/>
  <c r="AI185" i="8"/>
  <c r="AE186" i="8" s="1"/>
  <c r="R155" i="8"/>
  <c r="Y195" i="8"/>
  <c r="AN195" i="8" s="1"/>
  <c r="E340" i="8"/>
  <c r="AK340" i="8" s="1"/>
  <c r="F340" i="8"/>
  <c r="D341" i="8"/>
  <c r="T155" i="8"/>
  <c r="AM155" i="8" l="1"/>
  <c r="AP155" i="8" s="1"/>
  <c r="AS155" i="8" s="1"/>
  <c r="Z195" i="8"/>
  <c r="N124" i="8"/>
  <c r="S155" i="8"/>
  <c r="H340" i="8"/>
  <c r="G340" i="8"/>
  <c r="AL340" i="8" s="1"/>
  <c r="U155" i="8"/>
  <c r="Q156" i="8" s="1"/>
  <c r="AB195" i="8"/>
  <c r="X196" i="8" s="1"/>
  <c r="Y196" i="8" s="1"/>
  <c r="AN196" i="8" s="1"/>
  <c r="AF186" i="8"/>
  <c r="AO186" i="8" s="1"/>
  <c r="D342" i="8"/>
  <c r="E341" i="8"/>
  <c r="AK341" i="8" s="1"/>
  <c r="F341" i="8"/>
  <c r="AR124" i="8" l="1"/>
  <c r="AV124" i="8"/>
  <c r="AG186" i="8"/>
  <c r="J125" i="8"/>
  <c r="AT125" i="8" s="1"/>
  <c r="Z196" i="8"/>
  <c r="K125" i="8"/>
  <c r="L125" i="8" s="1"/>
  <c r="H341" i="8"/>
  <c r="G341" i="8"/>
  <c r="AL341" i="8" s="1"/>
  <c r="AI186" i="8"/>
  <c r="AE187" i="8" s="1"/>
  <c r="R156" i="8"/>
  <c r="AB196" i="8"/>
  <c r="X197" i="8" s="1"/>
  <c r="D343" i="8"/>
  <c r="E342" i="8"/>
  <c r="AK342" i="8" s="1"/>
  <c r="F342" i="8"/>
  <c r="T156" i="8"/>
  <c r="AQ125" i="8" l="1"/>
  <c r="AM156" i="8"/>
  <c r="AP156" i="8" s="1"/>
  <c r="AS156" i="8" s="1"/>
  <c r="N125" i="8"/>
  <c r="S156" i="8"/>
  <c r="H342" i="8"/>
  <c r="G342" i="8"/>
  <c r="AL342" i="8" s="1"/>
  <c r="U156" i="8"/>
  <c r="AF187" i="8"/>
  <c r="AO187" i="8" s="1"/>
  <c r="Y197" i="8"/>
  <c r="AN197" i="8" s="1"/>
  <c r="F343" i="8"/>
  <c r="D344" i="8"/>
  <c r="E343" i="8"/>
  <c r="AK343" i="8" s="1"/>
  <c r="AR125" i="8" l="1"/>
  <c r="AV125" i="8"/>
  <c r="J126" i="8"/>
  <c r="AG187" i="8"/>
  <c r="Z197" i="8"/>
  <c r="K126" i="8"/>
  <c r="L126" i="8" s="1"/>
  <c r="H343" i="8"/>
  <c r="G343" i="8"/>
  <c r="AL343" i="8" s="1"/>
  <c r="AI187" i="8"/>
  <c r="AE188" i="8" s="1"/>
  <c r="AB197" i="8"/>
  <c r="X198" i="8" s="1"/>
  <c r="F344" i="8"/>
  <c r="E344" i="8"/>
  <c r="AK344" i="8" s="1"/>
  <c r="D345" i="8"/>
  <c r="Q157" i="8"/>
  <c r="AQ126" i="8" l="1"/>
  <c r="AT126" i="8"/>
  <c r="N126" i="8"/>
  <c r="J127" i="8" s="1"/>
  <c r="AQ127" i="8" s="1"/>
  <c r="H344" i="8"/>
  <c r="G344" i="8"/>
  <c r="AL344" i="8" s="1"/>
  <c r="AF188" i="8"/>
  <c r="AO188" i="8" s="1"/>
  <c r="R157" i="8"/>
  <c r="Y198" i="8"/>
  <c r="AN198" i="8" s="1"/>
  <c r="F345" i="8"/>
  <c r="D346" i="8"/>
  <c r="E345" i="8"/>
  <c r="AK345" i="8" s="1"/>
  <c r="T157" i="8"/>
  <c r="AT127" i="8" l="1"/>
  <c r="AR126" i="8"/>
  <c r="AV126" i="8"/>
  <c r="AM157" i="8"/>
  <c r="AP157" i="8" s="1"/>
  <c r="AS157" i="8" s="1"/>
  <c r="AG188" i="8"/>
  <c r="Z198" i="8"/>
  <c r="K127" i="8"/>
  <c r="L127" i="8" s="1"/>
  <c r="H345" i="8"/>
  <c r="G345" i="8"/>
  <c r="AL345" i="8" s="1"/>
  <c r="U157" i="8"/>
  <c r="Q158" i="8" s="1"/>
  <c r="S157" i="8"/>
  <c r="AI188" i="8"/>
  <c r="AE189" i="8" s="1"/>
  <c r="AB198" i="8"/>
  <c r="X199" i="8" s="1"/>
  <c r="D347" i="8"/>
  <c r="F346" i="8"/>
  <c r="E346" i="8"/>
  <c r="AK346" i="8" s="1"/>
  <c r="N127" i="8" l="1"/>
  <c r="AV127" i="8" s="1"/>
  <c r="H346" i="8"/>
  <c r="G346" i="8"/>
  <c r="AL346" i="8" s="1"/>
  <c r="AF189" i="8"/>
  <c r="AO189" i="8" s="1"/>
  <c r="R158" i="8"/>
  <c r="Y199" i="8"/>
  <c r="AN199" i="8" s="1"/>
  <c r="D348" i="8"/>
  <c r="F347" i="8"/>
  <c r="E347" i="8"/>
  <c r="AK347" i="8" s="1"/>
  <c r="T158" i="8"/>
  <c r="J128" i="8" l="1"/>
  <c r="AT128" i="8" s="1"/>
  <c r="AR127" i="8"/>
  <c r="AM158" i="8"/>
  <c r="AP158" i="8" s="1"/>
  <c r="AS158" i="8" s="1"/>
  <c r="AG189" i="8"/>
  <c r="Z199" i="8"/>
  <c r="H347" i="8"/>
  <c r="G347" i="8"/>
  <c r="AL347" i="8" s="1"/>
  <c r="S158" i="8"/>
  <c r="U158" i="8"/>
  <c r="Q159" i="8" s="1"/>
  <c r="AI189" i="8"/>
  <c r="AE190" i="8" s="1"/>
  <c r="AB199" i="8"/>
  <c r="X200" i="8" s="1"/>
  <c r="F348" i="8"/>
  <c r="E348" i="8"/>
  <c r="AK348" i="8" s="1"/>
  <c r="D349" i="8"/>
  <c r="T159" i="8"/>
  <c r="AQ128" i="8" l="1"/>
  <c r="K128" i="8"/>
  <c r="L128" i="8" s="1"/>
  <c r="H348" i="8"/>
  <c r="G348" i="8"/>
  <c r="AL348" i="8" s="1"/>
  <c r="AF190" i="8"/>
  <c r="AO190" i="8" s="1"/>
  <c r="R159" i="8"/>
  <c r="Y200" i="8"/>
  <c r="AN200" i="8" s="1"/>
  <c r="F349" i="8"/>
  <c r="D350" i="8"/>
  <c r="E349" i="8"/>
  <c r="AK349" i="8" s="1"/>
  <c r="N128" i="8" l="1"/>
  <c r="J129" i="8" s="1"/>
  <c r="AT129" i="8" s="1"/>
  <c r="AR128" i="8"/>
  <c r="AV128" i="8"/>
  <c r="AM159" i="8"/>
  <c r="AP159" i="8" s="1"/>
  <c r="AS159" i="8" s="1"/>
  <c r="AG190" i="8"/>
  <c r="Z200" i="8"/>
  <c r="K129" i="8"/>
  <c r="L129" i="8" s="1"/>
  <c r="S159" i="8"/>
  <c r="H349" i="8"/>
  <c r="G349" i="8"/>
  <c r="AL349" i="8" s="1"/>
  <c r="U159" i="8"/>
  <c r="Q160" i="8" s="1"/>
  <c r="AI190" i="8"/>
  <c r="AE191" i="8" s="1"/>
  <c r="AB200" i="8"/>
  <c r="X201" i="8" s="1"/>
  <c r="D351" i="8"/>
  <c r="E350" i="8"/>
  <c r="AK350" i="8" s="1"/>
  <c r="F350" i="8"/>
  <c r="AQ129" i="8" l="1"/>
  <c r="N129" i="8"/>
  <c r="H350" i="8"/>
  <c r="G350" i="8"/>
  <c r="AL350" i="8" s="1"/>
  <c r="AF191" i="8"/>
  <c r="AO191" i="8" s="1"/>
  <c r="R160" i="8"/>
  <c r="Y201" i="8"/>
  <c r="AN201" i="8" s="1"/>
  <c r="D352" i="8"/>
  <c r="E351" i="8"/>
  <c r="AK351" i="8" s="1"/>
  <c r="F351" i="8"/>
  <c r="T160" i="8"/>
  <c r="AR129" i="8" l="1"/>
  <c r="AV129" i="8"/>
  <c r="AM160" i="8"/>
  <c r="AP160" i="8" s="1"/>
  <c r="AS160" i="8" s="1"/>
  <c r="AG191" i="8"/>
  <c r="Z201" i="8"/>
  <c r="J130" i="8"/>
  <c r="S160" i="8"/>
  <c r="H351" i="8"/>
  <c r="G351" i="8"/>
  <c r="AL351" i="8" s="1"/>
  <c r="U160" i="8"/>
  <c r="Q161" i="8" s="1"/>
  <c r="AI191" i="8"/>
  <c r="AE192" i="8" s="1"/>
  <c r="AB201" i="8"/>
  <c r="X202" i="8" s="1"/>
  <c r="E352" i="8"/>
  <c r="AK352" i="8" s="1"/>
  <c r="F352" i="8"/>
  <c r="D353" i="8"/>
  <c r="AQ130" i="8" l="1"/>
  <c r="AT130" i="8"/>
  <c r="K130" i="8"/>
  <c r="L130" i="8" s="1"/>
  <c r="H352" i="8"/>
  <c r="G352" i="8"/>
  <c r="AL352" i="8" s="1"/>
  <c r="AF192" i="8"/>
  <c r="AO192" i="8" s="1"/>
  <c r="R161" i="8"/>
  <c r="AM161" i="8" s="1"/>
  <c r="AP161" i="8" s="1"/>
  <c r="AS161" i="8" s="1"/>
  <c r="Y202" i="8"/>
  <c r="AN202" i="8" s="1"/>
  <c r="F353" i="8"/>
  <c r="D354" i="8"/>
  <c r="E353" i="8"/>
  <c r="AK353" i="8" s="1"/>
  <c r="T161" i="8"/>
  <c r="N130" i="8" l="1"/>
  <c r="AV130" i="8" s="1"/>
  <c r="AG192" i="8"/>
  <c r="Z202" i="8"/>
  <c r="U161" i="8"/>
  <c r="Q162" i="8" s="1"/>
  <c r="S161" i="8"/>
  <c r="H353" i="8"/>
  <c r="G353" i="8"/>
  <c r="AL353" i="8" s="1"/>
  <c r="AI192" i="8"/>
  <c r="AE193" i="8" s="1"/>
  <c r="AB202" i="8"/>
  <c r="X203" i="8" s="1"/>
  <c r="D355" i="8"/>
  <c r="E354" i="8"/>
  <c r="AK354" i="8" s="1"/>
  <c r="F354" i="8"/>
  <c r="AR130" i="8" l="1"/>
  <c r="J131" i="8"/>
  <c r="H354" i="8"/>
  <c r="G354" i="8"/>
  <c r="AL354" i="8" s="1"/>
  <c r="AF193" i="8"/>
  <c r="AO193" i="8" s="1"/>
  <c r="R162" i="8"/>
  <c r="AM162" i="8" s="1"/>
  <c r="AP162" i="8" s="1"/>
  <c r="AS162" i="8" s="1"/>
  <c r="Y203" i="8"/>
  <c r="AN203" i="8" s="1"/>
  <c r="E355" i="8"/>
  <c r="AK355" i="8" s="1"/>
  <c r="F355" i="8"/>
  <c r="D356" i="8"/>
  <c r="T162" i="8"/>
  <c r="AT131" i="8" l="1"/>
  <c r="AQ131" i="8"/>
  <c r="K131" i="8"/>
  <c r="AG193" i="8"/>
  <c r="S162" i="8"/>
  <c r="Z203" i="8"/>
  <c r="H355" i="8"/>
  <c r="G355" i="8"/>
  <c r="AL355" i="8" s="1"/>
  <c r="U162" i="8"/>
  <c r="Q163" i="8" s="1"/>
  <c r="AI193" i="8"/>
  <c r="AE194" i="8" s="1"/>
  <c r="AB203" i="8"/>
  <c r="X204" i="8" s="1"/>
  <c r="D357" i="8"/>
  <c r="E356" i="8"/>
  <c r="AK356" i="8" s="1"/>
  <c r="F356" i="8"/>
  <c r="L131" i="8" l="1"/>
  <c r="N131" i="8"/>
  <c r="H356" i="8"/>
  <c r="G356" i="8"/>
  <c r="AL356" i="8" s="1"/>
  <c r="AF194" i="8"/>
  <c r="AO194" i="8" s="1"/>
  <c r="R163" i="8"/>
  <c r="AM163" i="8" s="1"/>
  <c r="AP163" i="8" s="1"/>
  <c r="AS163" i="8" s="1"/>
  <c r="Y204" i="8"/>
  <c r="AN204" i="8" s="1"/>
  <c r="E357" i="8"/>
  <c r="AK357" i="8" s="1"/>
  <c r="F357" i="8"/>
  <c r="D358" i="8"/>
  <c r="T163" i="8"/>
  <c r="J132" i="8" l="1"/>
  <c r="AR131" i="8"/>
  <c r="AV131" i="8"/>
  <c r="AG194" i="8"/>
  <c r="Z204" i="8"/>
  <c r="U163" i="8"/>
  <c r="Q164" i="8" s="1"/>
  <c r="H357" i="8"/>
  <c r="G357" i="8"/>
  <c r="AL357" i="8" s="1"/>
  <c r="S163" i="8"/>
  <c r="AI194" i="8"/>
  <c r="AE195" i="8" s="1"/>
  <c r="AB204" i="8"/>
  <c r="X205" i="8" s="1"/>
  <c r="F358" i="8"/>
  <c r="D359" i="8"/>
  <c r="E358" i="8"/>
  <c r="AK358" i="8" s="1"/>
  <c r="AT132" i="8" l="1"/>
  <c r="AQ132" i="8"/>
  <c r="K132" i="8"/>
  <c r="L132" i="8" s="1"/>
  <c r="H358" i="8"/>
  <c r="G358" i="8"/>
  <c r="AL358" i="8" s="1"/>
  <c r="AF195" i="8"/>
  <c r="AO195" i="8" s="1"/>
  <c r="R164" i="8"/>
  <c r="AM164" i="8" s="1"/>
  <c r="AP164" i="8" s="1"/>
  <c r="AS164" i="8" s="1"/>
  <c r="Y205" i="8"/>
  <c r="AN205" i="8" s="1"/>
  <c r="D360" i="8"/>
  <c r="E359" i="8"/>
  <c r="AK359" i="8" s="1"/>
  <c r="F359" i="8"/>
  <c r="T164" i="8"/>
  <c r="N132" i="8" l="1"/>
  <c r="AG195" i="8"/>
  <c r="S164" i="8"/>
  <c r="Z205" i="8"/>
  <c r="U164" i="8"/>
  <c r="H359" i="8"/>
  <c r="G359" i="8"/>
  <c r="AL359" i="8" s="1"/>
  <c r="AI195" i="8"/>
  <c r="AE196" i="8" s="1"/>
  <c r="AB205" i="8"/>
  <c r="X206" i="8" s="1"/>
  <c r="D361" i="8"/>
  <c r="F360" i="8"/>
  <c r="E360" i="8"/>
  <c r="AK360" i="8" s="1"/>
  <c r="J133" i="8" l="1"/>
  <c r="AR132" i="8"/>
  <c r="AV132" i="8"/>
  <c r="H360" i="8"/>
  <c r="G360" i="8"/>
  <c r="AL360" i="8" s="1"/>
  <c r="AF196" i="8"/>
  <c r="AO196" i="8" s="1"/>
  <c r="Y206" i="8"/>
  <c r="AN206" i="8" s="1"/>
  <c r="E361" i="8"/>
  <c r="AK361" i="8" s="1"/>
  <c r="D362" i="8"/>
  <c r="F361" i="8"/>
  <c r="Q165" i="8"/>
  <c r="AT133" i="8" l="1"/>
  <c r="AQ133" i="8"/>
  <c r="K133" i="8"/>
  <c r="L133" i="8" s="1"/>
  <c r="AG196" i="8"/>
  <c r="Z206" i="8"/>
  <c r="H361" i="8"/>
  <c r="G361" i="8"/>
  <c r="AL361" i="8" s="1"/>
  <c r="AI196" i="8"/>
  <c r="AE197" i="8" s="1"/>
  <c r="R165" i="8"/>
  <c r="AB206" i="8"/>
  <c r="X207" i="8" s="1"/>
  <c r="F362" i="8"/>
  <c r="D363" i="8"/>
  <c r="E362" i="8"/>
  <c r="AK362" i="8" s="1"/>
  <c r="T165" i="8"/>
  <c r="N133" i="8" l="1"/>
  <c r="AM165" i="8"/>
  <c r="AP165" i="8" s="1"/>
  <c r="AS165" i="8" s="1"/>
  <c r="H362" i="8"/>
  <c r="G362" i="8"/>
  <c r="AL362" i="8" s="1"/>
  <c r="U165" i="8"/>
  <c r="Q166" i="8" s="1"/>
  <c r="AF197" i="8"/>
  <c r="AO197" i="8" s="1"/>
  <c r="S165" i="8"/>
  <c r="Y207" i="8"/>
  <c r="AN207" i="8" s="1"/>
  <c r="D364" i="8"/>
  <c r="F363" i="8"/>
  <c r="E363" i="8"/>
  <c r="AK363" i="8" s="1"/>
  <c r="AV133" i="8" l="1"/>
  <c r="J134" i="8"/>
  <c r="AR133" i="8"/>
  <c r="AG197" i="8"/>
  <c r="Z207" i="8"/>
  <c r="H363" i="8"/>
  <c r="G363" i="8"/>
  <c r="AL363" i="8" s="1"/>
  <c r="AI197" i="8"/>
  <c r="AE198" i="8" s="1"/>
  <c r="R166" i="8"/>
  <c r="AB207" i="8"/>
  <c r="X208" i="8" s="1"/>
  <c r="F364" i="8"/>
  <c r="D365" i="8"/>
  <c r="E364" i="8"/>
  <c r="AK364" i="8" s="1"/>
  <c r="T166" i="8"/>
  <c r="AT134" i="8" l="1"/>
  <c r="AQ134" i="8"/>
  <c r="K134" i="8"/>
  <c r="L134" i="8" s="1"/>
  <c r="N134" i="8"/>
  <c r="AM166" i="8"/>
  <c r="AP166" i="8" s="1"/>
  <c r="AS166" i="8" s="1"/>
  <c r="H364" i="8"/>
  <c r="G364" i="8"/>
  <c r="AL364" i="8" s="1"/>
  <c r="S166" i="8"/>
  <c r="U166" i="8"/>
  <c r="Q167" i="8" s="1"/>
  <c r="AF198" i="8"/>
  <c r="AO198" i="8" s="1"/>
  <c r="Y208" i="8"/>
  <c r="AN208" i="8" s="1"/>
  <c r="D366" i="8"/>
  <c r="F365" i="8"/>
  <c r="E365" i="8"/>
  <c r="AK365" i="8" s="1"/>
  <c r="AV134" i="8" l="1"/>
  <c r="J135" i="8"/>
  <c r="AR134" i="8"/>
  <c r="AG198" i="8"/>
  <c r="Z208" i="8"/>
  <c r="H365" i="8"/>
  <c r="G365" i="8"/>
  <c r="AL365" i="8" s="1"/>
  <c r="AI198" i="8"/>
  <c r="AE199" i="8" s="1"/>
  <c r="R167" i="8"/>
  <c r="AM167" i="8" s="1"/>
  <c r="AP167" i="8" s="1"/>
  <c r="AS167" i="8" s="1"/>
  <c r="AB208" i="8"/>
  <c r="X209" i="8" s="1"/>
  <c r="F366" i="8"/>
  <c r="E366" i="8"/>
  <c r="AK366" i="8" s="1"/>
  <c r="D367" i="8"/>
  <c r="T167" i="8"/>
  <c r="AT135" i="8" l="1"/>
  <c r="AQ135" i="8"/>
  <c r="K135" i="8"/>
  <c r="L135" i="8" s="1"/>
  <c r="S167" i="8"/>
  <c r="H366" i="8"/>
  <c r="G366" i="8"/>
  <c r="AL366" i="8" s="1"/>
  <c r="U167" i="8"/>
  <c r="Q168" i="8" s="1"/>
  <c r="AF199" i="8"/>
  <c r="AO199" i="8" s="1"/>
  <c r="Y209" i="8"/>
  <c r="AN209" i="8" s="1"/>
  <c r="F367" i="8"/>
  <c r="E367" i="8"/>
  <c r="AK367" i="8" s="1"/>
  <c r="N135" i="8" l="1"/>
  <c r="AV135" i="8"/>
  <c r="J136" i="8"/>
  <c r="AR135" i="8"/>
  <c r="AG199" i="8"/>
  <c r="Z209" i="8"/>
  <c r="H367" i="8"/>
  <c r="G367" i="8"/>
  <c r="AL367" i="8" s="1"/>
  <c r="AI199" i="8"/>
  <c r="AE200" i="8" s="1"/>
  <c r="R168" i="8"/>
  <c r="AB209" i="8"/>
  <c r="X210" i="8" s="1"/>
  <c r="T168" i="8"/>
  <c r="AT136" i="8" l="1"/>
  <c r="AQ136" i="8"/>
  <c r="K136" i="8"/>
  <c r="L136" i="8" s="1"/>
  <c r="AM168" i="8"/>
  <c r="AP168" i="8" s="1"/>
  <c r="AS168" i="8" s="1"/>
  <c r="S168" i="8"/>
  <c r="U168" i="8"/>
  <c r="Q169" i="8" s="1"/>
  <c r="R169" i="8" s="1"/>
  <c r="AF200" i="8"/>
  <c r="AO200" i="8" s="1"/>
  <c r="Y210" i="8"/>
  <c r="AN210" i="8" s="1"/>
  <c r="N136" i="8" l="1"/>
  <c r="AV136" i="8"/>
  <c r="AR136" i="8"/>
  <c r="J137" i="8"/>
  <c r="AM169" i="8"/>
  <c r="AP169" i="8" s="1"/>
  <c r="AS169" i="8" s="1"/>
  <c r="AG200" i="8"/>
  <c r="Z210" i="8"/>
  <c r="AI200" i="8"/>
  <c r="AE201" i="8" s="1"/>
  <c r="U169" i="8"/>
  <c r="AB210" i="8"/>
  <c r="X211" i="8" s="1"/>
  <c r="S169" i="8"/>
  <c r="T169" i="8"/>
  <c r="AT137" i="8" l="1"/>
  <c r="AQ137" i="8"/>
  <c r="K137" i="8"/>
  <c r="L137" i="8" s="1"/>
  <c r="AF201" i="8"/>
  <c r="AO201" i="8" s="1"/>
  <c r="Y211" i="8"/>
  <c r="AN211" i="8" s="1"/>
  <c r="Q170" i="8"/>
  <c r="N137" i="8" l="1"/>
  <c r="J138" i="8"/>
  <c r="AR137" i="8"/>
  <c r="AV137" i="8"/>
  <c r="AG201" i="8"/>
  <c r="Z211" i="8"/>
  <c r="AB211" i="8"/>
  <c r="X212" i="8" s="1"/>
  <c r="Y212" i="8" s="1"/>
  <c r="AN212" i="8" s="1"/>
  <c r="AI201" i="8"/>
  <c r="AE202" i="8" s="1"/>
  <c r="R170" i="8"/>
  <c r="T170" i="8"/>
  <c r="AT138" i="8" l="1"/>
  <c r="AQ138" i="8"/>
  <c r="K138" i="8"/>
  <c r="L138" i="8" s="1"/>
  <c r="AM170" i="8"/>
  <c r="AP170" i="8" s="1"/>
  <c r="AS170" i="8" s="1"/>
  <c r="Z212" i="8"/>
  <c r="U170" i="8"/>
  <c r="Q171" i="8" s="1"/>
  <c r="R171" i="8" s="1"/>
  <c r="AF202" i="8"/>
  <c r="AO202" i="8" s="1"/>
  <c r="S170" i="8"/>
  <c r="AB212" i="8"/>
  <c r="X213" i="8" s="1"/>
  <c r="N138" i="8" l="1"/>
  <c r="AV138" i="8"/>
  <c r="J139" i="8"/>
  <c r="AR138" i="8"/>
  <c r="AM171" i="8"/>
  <c r="AP171" i="8" s="1"/>
  <c r="AS171" i="8" s="1"/>
  <c r="AG202" i="8"/>
  <c r="AI202" i="8"/>
  <c r="AE203" i="8" s="1"/>
  <c r="U171" i="8"/>
  <c r="Y213" i="8"/>
  <c r="AN213" i="8" s="1"/>
  <c r="S171" i="8"/>
  <c r="T171" i="8"/>
  <c r="AT139" i="8" l="1"/>
  <c r="AQ139" i="8"/>
  <c r="K139" i="8"/>
  <c r="L139" i="8" s="1"/>
  <c r="Z213" i="8"/>
  <c r="AF203" i="8"/>
  <c r="AO203" i="8" s="1"/>
  <c r="AB213" i="8"/>
  <c r="X214" i="8" s="1"/>
  <c r="Q172" i="8"/>
  <c r="R172" i="8" s="1"/>
  <c r="AM172" i="8" s="1"/>
  <c r="AP172" i="8" s="1"/>
  <c r="AS172" i="8" s="1"/>
  <c r="N139" i="8" l="1"/>
  <c r="AR139" i="8"/>
  <c r="AV139" i="8"/>
  <c r="J140" i="8"/>
  <c r="AG203" i="8"/>
  <c r="S172" i="8"/>
  <c r="AI203" i="8"/>
  <c r="AE204" i="8" s="1"/>
  <c r="U172" i="8"/>
  <c r="Y214" i="8"/>
  <c r="AN214" i="8" s="1"/>
  <c r="T172" i="8"/>
  <c r="AT140" i="8" l="1"/>
  <c r="AQ140" i="8"/>
  <c r="K140" i="8"/>
  <c r="Z214" i="8"/>
  <c r="AB214" i="8"/>
  <c r="X215" i="8" s="1"/>
  <c r="Y215" i="8" s="1"/>
  <c r="AN215" i="8" s="1"/>
  <c r="AF204" i="8"/>
  <c r="AO204" i="8" s="1"/>
  <c r="Q173" i="8"/>
  <c r="R173" i="8" s="1"/>
  <c r="L140" i="8" l="1"/>
  <c r="N140" i="8"/>
  <c r="AM173" i="8"/>
  <c r="AP173" i="8" s="1"/>
  <c r="AS173" i="8" s="1"/>
  <c r="AG204" i="8"/>
  <c r="Z215" i="8"/>
  <c r="AB215" i="8"/>
  <c r="X216" i="8" s="1"/>
  <c r="Y216" i="8" s="1"/>
  <c r="AN216" i="8" s="1"/>
  <c r="AI204" i="8"/>
  <c r="AE205" i="8" s="1"/>
  <c r="U173" i="8"/>
  <c r="S173" i="8"/>
  <c r="T173" i="8"/>
  <c r="AV140" i="8" l="1"/>
  <c r="AR140" i="8"/>
  <c r="J141" i="8"/>
  <c r="Z216" i="8"/>
  <c r="AF205" i="8"/>
  <c r="AO205" i="8" s="1"/>
  <c r="AB216" i="8"/>
  <c r="X217" i="8" s="1"/>
  <c r="AT141" i="8" l="1"/>
  <c r="AQ141" i="8"/>
  <c r="K141" i="8"/>
  <c r="AG205" i="8"/>
  <c r="AI205" i="8"/>
  <c r="AE206" i="8" s="1"/>
  <c r="Y217" i="8"/>
  <c r="AN217" i="8" s="1"/>
  <c r="Q174" i="8"/>
  <c r="L141" i="8" l="1"/>
  <c r="N141" i="8"/>
  <c r="Z217" i="8"/>
  <c r="AF206" i="8"/>
  <c r="AO206" i="8" s="1"/>
  <c r="R174" i="8"/>
  <c r="AB217" i="8"/>
  <c r="X218" i="8" s="1"/>
  <c r="T174" i="8"/>
  <c r="AV141" i="8" l="1"/>
  <c r="AR141" i="8"/>
  <c r="J142" i="8"/>
  <c r="AM174" i="8"/>
  <c r="AP174" i="8" s="1"/>
  <c r="AS174" i="8" s="1"/>
  <c r="AG206" i="8"/>
  <c r="U174" i="8"/>
  <c r="Q175" i="8" s="1"/>
  <c r="R175" i="8" s="1"/>
  <c r="AI206" i="8"/>
  <c r="AE207" i="8" s="1"/>
  <c r="S174" i="8"/>
  <c r="Y218" i="8"/>
  <c r="AN218" i="8" s="1"/>
  <c r="AT142" i="8" l="1"/>
  <c r="AQ142" i="8"/>
  <c r="K142" i="8"/>
  <c r="L142" i="8" s="1"/>
  <c r="AM175" i="8"/>
  <c r="AP175" i="8" s="1"/>
  <c r="AS175" i="8" s="1"/>
  <c r="Z218" i="8"/>
  <c r="S175" i="8"/>
  <c r="AF207" i="8"/>
  <c r="AO207" i="8" s="1"/>
  <c r="U175" i="8"/>
  <c r="AB218" i="8"/>
  <c r="X219" i="8" s="1"/>
  <c r="T175" i="8"/>
  <c r="N142" i="8" l="1"/>
  <c r="AV142" i="8"/>
  <c r="J143" i="8"/>
  <c r="AR142" i="8"/>
  <c r="AG207" i="8"/>
  <c r="AI207" i="8"/>
  <c r="AE208" i="8" s="1"/>
  <c r="Y219" i="8"/>
  <c r="AN219" i="8" s="1"/>
  <c r="Q176" i="8"/>
  <c r="R176" i="8" s="1"/>
  <c r="AT143" i="8" l="1"/>
  <c r="AQ143" i="8"/>
  <c r="K143" i="8"/>
  <c r="L143" i="8" s="1"/>
  <c r="AM176" i="8"/>
  <c r="AP176" i="8" s="1"/>
  <c r="AS176" i="8" s="1"/>
  <c r="Z219" i="8"/>
  <c r="AF208" i="8"/>
  <c r="AO208" i="8" s="1"/>
  <c r="U176" i="8"/>
  <c r="AB219" i="8"/>
  <c r="X220" i="8" s="1"/>
  <c r="S176" i="8"/>
  <c r="T176" i="8"/>
  <c r="N143" i="8" l="1"/>
  <c r="J144" i="8"/>
  <c r="AR143" i="8"/>
  <c r="AV143" i="8"/>
  <c r="AG208" i="8"/>
  <c r="AI208" i="8"/>
  <c r="AE209" i="8" s="1"/>
  <c r="Y220" i="8"/>
  <c r="AN220" i="8" s="1"/>
  <c r="Q177" i="8"/>
  <c r="AT144" i="8" l="1"/>
  <c r="AQ144" i="8"/>
  <c r="K144" i="8"/>
  <c r="L144" i="8" s="1"/>
  <c r="Z220" i="8"/>
  <c r="AF209" i="8"/>
  <c r="AO209" i="8" s="1"/>
  <c r="R177" i="8"/>
  <c r="AM177" i="8" s="1"/>
  <c r="AP177" i="8" s="1"/>
  <c r="AS177" i="8" s="1"/>
  <c r="AB220" i="8"/>
  <c r="X221" i="8" s="1"/>
  <c r="T177" i="8"/>
  <c r="N144" i="8" l="1"/>
  <c r="AV144" i="8" s="1"/>
  <c r="AG209" i="8"/>
  <c r="U177" i="8"/>
  <c r="Q178" i="8" s="1"/>
  <c r="R178" i="8" s="1"/>
  <c r="AM178" i="8" s="1"/>
  <c r="AP178" i="8" s="1"/>
  <c r="AS178" i="8" s="1"/>
  <c r="S177" i="8"/>
  <c r="AI209" i="8"/>
  <c r="AE210" i="8" s="1"/>
  <c r="Y221" i="8"/>
  <c r="AN221" i="8" s="1"/>
  <c r="T178" i="8"/>
  <c r="AR144" i="8" l="1"/>
  <c r="J145" i="8"/>
  <c r="AQ145" i="8"/>
  <c r="K145" i="8"/>
  <c r="L145" i="8" s="1"/>
  <c r="Z221" i="8"/>
  <c r="S178" i="8"/>
  <c r="AB221" i="8"/>
  <c r="X222" i="8" s="1"/>
  <c r="Y222" i="8" s="1"/>
  <c r="AN222" i="8" s="1"/>
  <c r="AF210" i="8"/>
  <c r="AO210" i="8" s="1"/>
  <c r="U178" i="8"/>
  <c r="AT145" i="8" l="1"/>
  <c r="N145" i="8"/>
  <c r="AV145" i="8" s="1"/>
  <c r="J146" i="8"/>
  <c r="AR145" i="8"/>
  <c r="AG210" i="8"/>
  <c r="Z222" i="8"/>
  <c r="AB222" i="8"/>
  <c r="X223" i="8" s="1"/>
  <c r="Y223" i="8" s="1"/>
  <c r="AN223" i="8" s="1"/>
  <c r="AI210" i="8"/>
  <c r="AE211" i="8" s="1"/>
  <c r="Q179" i="8"/>
  <c r="AT146" i="8" l="1"/>
  <c r="AQ146" i="8"/>
  <c r="K146" i="8"/>
  <c r="Z223" i="8"/>
  <c r="AB223" i="8"/>
  <c r="X224" i="8" s="1"/>
  <c r="Y224" i="8" s="1"/>
  <c r="AN224" i="8" s="1"/>
  <c r="AF211" i="8"/>
  <c r="AO211" i="8" s="1"/>
  <c r="R179" i="8"/>
  <c r="T179" i="8"/>
  <c r="L146" i="8" l="1"/>
  <c r="N146" i="8"/>
  <c r="AM179" i="8"/>
  <c r="AP179" i="8" s="1"/>
  <c r="AS179" i="8" s="1"/>
  <c r="AG211" i="8"/>
  <c r="Z224" i="8"/>
  <c r="S179" i="8"/>
  <c r="AB224" i="8"/>
  <c r="X225" i="8" s="1"/>
  <c r="Y225" i="8" s="1"/>
  <c r="AN225" i="8" s="1"/>
  <c r="AI211" i="8"/>
  <c r="AE212" i="8" s="1"/>
  <c r="U179" i="8"/>
  <c r="Q180" i="8" s="1"/>
  <c r="AR146" i="8" l="1"/>
  <c r="AV146" i="8"/>
  <c r="J147" i="8"/>
  <c r="AF212" i="8"/>
  <c r="AO212" i="8" s="1"/>
  <c r="Z225" i="8"/>
  <c r="R180" i="8"/>
  <c r="AM180" i="8" s="1"/>
  <c r="AP180" i="8" s="1"/>
  <c r="AS180" i="8" s="1"/>
  <c r="AB225" i="8"/>
  <c r="X226" i="8" s="1"/>
  <c r="T180" i="8"/>
  <c r="AT147" i="8" l="1"/>
  <c r="AI212" i="8"/>
  <c r="AE213" i="8" s="1"/>
  <c r="AF213" i="8" s="1"/>
  <c r="AO213" i="8" s="1"/>
  <c r="AG212" i="8"/>
  <c r="AQ147" i="8"/>
  <c r="K147" i="8"/>
  <c r="S180" i="8"/>
  <c r="U180" i="8"/>
  <c r="Q181" i="8" s="1"/>
  <c r="Y226" i="8"/>
  <c r="AN226" i="8" s="1"/>
  <c r="L147" i="8" l="1"/>
  <c r="N147" i="8"/>
  <c r="AG213" i="8"/>
  <c r="Z226" i="8"/>
  <c r="AI213" i="8"/>
  <c r="AE214" i="8" s="1"/>
  <c r="R181" i="8"/>
  <c r="AB226" i="8"/>
  <c r="X227" i="8" s="1"/>
  <c r="T181" i="8"/>
  <c r="AV147" i="8" l="1"/>
  <c r="J148" i="8"/>
  <c r="AR147" i="8"/>
  <c r="AM181" i="8"/>
  <c r="AP181" i="8" s="1"/>
  <c r="AS181" i="8" s="1"/>
  <c r="U181" i="8"/>
  <c r="Q182" i="8" s="1"/>
  <c r="S181" i="8"/>
  <c r="AF214" i="8"/>
  <c r="AO214" i="8" s="1"/>
  <c r="Y227" i="8"/>
  <c r="AN227" i="8" s="1"/>
  <c r="T182" i="8"/>
  <c r="AT148" i="8" l="1"/>
  <c r="AQ148" i="8"/>
  <c r="K148" i="8"/>
  <c r="L148" i="8" s="1"/>
  <c r="N148" i="8"/>
  <c r="AG214" i="8"/>
  <c r="Z227" i="8"/>
  <c r="AB227" i="8"/>
  <c r="X228" i="8" s="1"/>
  <c r="Y228" i="8" s="1"/>
  <c r="AN228" i="8" s="1"/>
  <c r="AI214" i="8"/>
  <c r="AE215" i="8" s="1"/>
  <c r="R182" i="8"/>
  <c r="AV148" i="8" l="1"/>
  <c r="J149" i="8"/>
  <c r="AR148" i="8"/>
  <c r="AM182" i="8"/>
  <c r="AP182" i="8" s="1"/>
  <c r="AS182" i="8" s="1"/>
  <c r="Z228" i="8"/>
  <c r="S182" i="8"/>
  <c r="U182" i="8"/>
  <c r="Q183" i="8" s="1"/>
  <c r="AF215" i="8"/>
  <c r="AO215" i="8" s="1"/>
  <c r="AB228" i="8"/>
  <c r="X229" i="8" s="1"/>
  <c r="AT149" i="8" l="1"/>
  <c r="AQ149" i="8"/>
  <c r="K149" i="8"/>
  <c r="L149" i="8" s="1"/>
  <c r="AG215" i="8"/>
  <c r="AI215" i="8"/>
  <c r="AE216" i="8" s="1"/>
  <c r="R183" i="8"/>
  <c r="Y229" i="8"/>
  <c r="AN229" i="8" s="1"/>
  <c r="T183" i="8"/>
  <c r="N149" i="8" l="1"/>
  <c r="AM183" i="8"/>
  <c r="AP183" i="8" s="1"/>
  <c r="AS183" i="8" s="1"/>
  <c r="S183" i="8"/>
  <c r="Z229" i="8"/>
  <c r="U183" i="8"/>
  <c r="Q184" i="8" s="1"/>
  <c r="R184" i="8" s="1"/>
  <c r="AF216" i="8"/>
  <c r="AO216" i="8" s="1"/>
  <c r="AB229" i="8"/>
  <c r="X230" i="8" s="1"/>
  <c r="T184" i="8"/>
  <c r="J150" i="8" l="1"/>
  <c r="AV149" i="8"/>
  <c r="AR149" i="8"/>
  <c r="AM184" i="8"/>
  <c r="AP184" i="8" s="1"/>
  <c r="AS184" i="8" s="1"/>
  <c r="AG216" i="8"/>
  <c r="S184" i="8"/>
  <c r="AI216" i="8"/>
  <c r="AE217" i="8" s="1"/>
  <c r="U184" i="8"/>
  <c r="Y230" i="8"/>
  <c r="AN230" i="8" s="1"/>
  <c r="AT150" i="8" l="1"/>
  <c r="AQ150" i="8"/>
  <c r="K150" i="8"/>
  <c r="L150" i="8" s="1"/>
  <c r="Z230" i="8"/>
  <c r="AB230" i="8"/>
  <c r="X231" i="8" s="1"/>
  <c r="Y231" i="8" s="1"/>
  <c r="AN231" i="8" s="1"/>
  <c r="AF217" i="8"/>
  <c r="AO217" i="8" s="1"/>
  <c r="Q185" i="8"/>
  <c r="N150" i="8" l="1"/>
  <c r="AV150" i="8"/>
  <c r="J151" i="8"/>
  <c r="AR150" i="8"/>
  <c r="AG217" i="8"/>
  <c r="Z231" i="8"/>
  <c r="AI217" i="8"/>
  <c r="AE218" i="8" s="1"/>
  <c r="R185" i="8"/>
  <c r="AM185" i="8" s="1"/>
  <c r="AP185" i="8" s="1"/>
  <c r="AS185" i="8" s="1"/>
  <c r="AB231" i="8"/>
  <c r="X232" i="8" s="1"/>
  <c r="T185" i="8"/>
  <c r="AT151" i="8" l="1"/>
  <c r="AQ151" i="8"/>
  <c r="K151" i="8"/>
  <c r="L151" i="8" s="1"/>
  <c r="S185" i="8"/>
  <c r="U185" i="8"/>
  <c r="Q186" i="8" s="1"/>
  <c r="R186" i="8" s="1"/>
  <c r="AM186" i="8" s="1"/>
  <c r="AP186" i="8" s="1"/>
  <c r="AS186" i="8" s="1"/>
  <c r="AF218" i="8"/>
  <c r="AO218" i="8" s="1"/>
  <c r="Y232" i="8"/>
  <c r="AN232" i="8" s="1"/>
  <c r="N151" i="8" l="1"/>
  <c r="AG218" i="8"/>
  <c r="Z232" i="8"/>
  <c r="S186" i="8"/>
  <c r="AI218" i="8"/>
  <c r="AE219" i="8" s="1"/>
  <c r="U186" i="8"/>
  <c r="AB232" i="8"/>
  <c r="X233" i="8" s="1"/>
  <c r="T186" i="8"/>
  <c r="AR151" i="8" l="1"/>
  <c r="AV151" i="8"/>
  <c r="J152" i="8"/>
  <c r="AF219" i="8"/>
  <c r="AO219" i="8" s="1"/>
  <c r="Y233" i="8"/>
  <c r="AN233" i="8" s="1"/>
  <c r="Q187" i="8"/>
  <c r="AT152" i="8" l="1"/>
  <c r="AQ152" i="8"/>
  <c r="K152" i="8"/>
  <c r="L152" i="8" s="1"/>
  <c r="AG219" i="8"/>
  <c r="Z233" i="8"/>
  <c r="AB233" i="8"/>
  <c r="X234" i="8" s="1"/>
  <c r="Y234" i="8" s="1"/>
  <c r="AN234" i="8" s="1"/>
  <c r="AI219" i="8"/>
  <c r="AE220" i="8" s="1"/>
  <c r="R187" i="8"/>
  <c r="T187" i="8"/>
  <c r="N152" i="8" l="1"/>
  <c r="AR152" i="8"/>
  <c r="J153" i="8"/>
  <c r="AV152" i="8"/>
  <c r="AM187" i="8"/>
  <c r="AP187" i="8" s="1"/>
  <c r="AS187" i="8" s="1"/>
  <c r="Z234" i="8"/>
  <c r="U187" i="8"/>
  <c r="Q188" i="8" s="1"/>
  <c r="R188" i="8" s="1"/>
  <c r="S187" i="8"/>
  <c r="AF220" i="8"/>
  <c r="AO220" i="8" s="1"/>
  <c r="AB234" i="8"/>
  <c r="X235" i="8" s="1"/>
  <c r="AT153" i="8" l="1"/>
  <c r="AQ153" i="8"/>
  <c r="K153" i="8"/>
  <c r="L153" i="8" s="1"/>
  <c r="AM188" i="8"/>
  <c r="AP188" i="8" s="1"/>
  <c r="AS188" i="8" s="1"/>
  <c r="AG220" i="8"/>
  <c r="S188" i="8"/>
  <c r="AI220" i="8"/>
  <c r="AE221" i="8" s="1"/>
  <c r="U188" i="8"/>
  <c r="Y235" i="8"/>
  <c r="AN235" i="8" s="1"/>
  <c r="T188" i="8"/>
  <c r="N153" i="8" l="1"/>
  <c r="AV153" i="8" s="1"/>
  <c r="Z235" i="8"/>
  <c r="AB235" i="8"/>
  <c r="X236" i="8" s="1"/>
  <c r="Y236" i="8" s="1"/>
  <c r="AN236" i="8" s="1"/>
  <c r="AF221" i="8"/>
  <c r="AO221" i="8" s="1"/>
  <c r="Q189" i="8"/>
  <c r="J154" i="8" l="1"/>
  <c r="AT154" i="8" s="1"/>
  <c r="AR153" i="8"/>
  <c r="AG221" i="8"/>
  <c r="Z236" i="8"/>
  <c r="AI221" i="8"/>
  <c r="AE222" i="8" s="1"/>
  <c r="R189" i="8"/>
  <c r="AM189" i="8" s="1"/>
  <c r="AP189" i="8" s="1"/>
  <c r="AS189" i="8" s="1"/>
  <c r="AB236" i="8"/>
  <c r="X237" i="8" s="1"/>
  <c r="T189" i="8"/>
  <c r="AQ154" i="8" l="1"/>
  <c r="K154" i="8"/>
  <c r="L154" i="8" s="1"/>
  <c r="U189" i="8"/>
  <c r="Q190" i="8" s="1"/>
  <c r="R190" i="8" s="1"/>
  <c r="AM190" i="8" s="1"/>
  <c r="AP190" i="8" s="1"/>
  <c r="AS190" i="8" s="1"/>
  <c r="S189" i="8"/>
  <c r="AF222" i="8"/>
  <c r="AO222" i="8" s="1"/>
  <c r="Y237" i="8"/>
  <c r="AN237" i="8" s="1"/>
  <c r="T190" i="8"/>
  <c r="N154" i="8" l="1"/>
  <c r="AV154" i="8" s="1"/>
  <c r="AR154" i="8"/>
  <c r="J155" i="8"/>
  <c r="AQ155" i="8"/>
  <c r="K155" i="8"/>
  <c r="L155" i="8" s="1"/>
  <c r="AG222" i="8"/>
  <c r="Z237" i="8"/>
  <c r="S190" i="8"/>
  <c r="AB237" i="8"/>
  <c r="X238" i="8" s="1"/>
  <c r="Y238" i="8" s="1"/>
  <c r="AN238" i="8" s="1"/>
  <c r="AI222" i="8"/>
  <c r="AE223" i="8" s="1"/>
  <c r="U190" i="8"/>
  <c r="AT155" i="8" l="1"/>
  <c r="N155" i="8"/>
  <c r="AR155" i="8" s="1"/>
  <c r="Z238" i="8"/>
  <c r="AB238" i="8"/>
  <c r="X239" i="8" s="1"/>
  <c r="Y239" i="8" s="1"/>
  <c r="AN239" i="8" s="1"/>
  <c r="AF223" i="8"/>
  <c r="AO223" i="8" s="1"/>
  <c r="Q191" i="8"/>
  <c r="AV155" i="8" l="1"/>
  <c r="J156" i="8"/>
  <c r="AQ156" i="8"/>
  <c r="K156" i="8"/>
  <c r="L156" i="8" s="1"/>
  <c r="AG223" i="8"/>
  <c r="Z239" i="8"/>
  <c r="AI223" i="8"/>
  <c r="AE224" i="8" s="1"/>
  <c r="R191" i="8"/>
  <c r="AB239" i="8"/>
  <c r="X240" i="8" s="1"/>
  <c r="T191" i="8"/>
  <c r="AT156" i="8" l="1"/>
  <c r="N156" i="8"/>
  <c r="AR156" i="8"/>
  <c r="AV156" i="8"/>
  <c r="J157" i="8"/>
  <c r="AM191" i="8"/>
  <c r="AP191" i="8" s="1"/>
  <c r="AS191" i="8" s="1"/>
  <c r="S191" i="8"/>
  <c r="U191" i="8"/>
  <c r="AF224" i="8"/>
  <c r="AO224" i="8" s="1"/>
  <c r="Y240" i="8"/>
  <c r="AN240" i="8" s="1"/>
  <c r="AT157" i="8" l="1"/>
  <c r="AQ157" i="8"/>
  <c r="K157" i="8"/>
  <c r="L157" i="8" s="1"/>
  <c r="AG224" i="8"/>
  <c r="Z240" i="8"/>
  <c r="AB240" i="8"/>
  <c r="X241" i="8" s="1"/>
  <c r="Y241" i="8" s="1"/>
  <c r="AN241" i="8" s="1"/>
  <c r="AI224" i="8"/>
  <c r="AE225" i="8" s="1"/>
  <c r="Q192" i="8"/>
  <c r="R192" i="8" s="1"/>
  <c r="N157" i="8" l="1"/>
  <c r="AV157" i="8"/>
  <c r="J158" i="8"/>
  <c r="AR157" i="8"/>
  <c r="AM192" i="8"/>
  <c r="AP192" i="8" s="1"/>
  <c r="AS192" i="8" s="1"/>
  <c r="Z241" i="8"/>
  <c r="AF225" i="8"/>
  <c r="AO225" i="8" s="1"/>
  <c r="U192" i="8"/>
  <c r="AB241" i="8"/>
  <c r="X242" i="8" s="1"/>
  <c r="S192" i="8"/>
  <c r="T192" i="8"/>
  <c r="AT158" i="8" l="1"/>
  <c r="AQ158" i="8"/>
  <c r="K158" i="8"/>
  <c r="L158" i="8" s="1"/>
  <c r="AG225" i="8"/>
  <c r="AI225" i="8"/>
  <c r="AE226" i="8" s="1"/>
  <c r="Y242" i="8"/>
  <c r="AN242" i="8" s="1"/>
  <c r="Q193" i="8"/>
  <c r="N158" i="8" l="1"/>
  <c r="AR158" i="8" s="1"/>
  <c r="J159" i="8"/>
  <c r="AV158" i="8"/>
  <c r="Z242" i="8"/>
  <c r="AF226" i="8"/>
  <c r="AO226" i="8" s="1"/>
  <c r="R193" i="8"/>
  <c r="AB242" i="8"/>
  <c r="X243" i="8" s="1"/>
  <c r="T193" i="8"/>
  <c r="AT159" i="8" l="1"/>
  <c r="AQ159" i="8"/>
  <c r="K159" i="8"/>
  <c r="N159" i="8" s="1"/>
  <c r="AM193" i="8"/>
  <c r="AP193" i="8" s="1"/>
  <c r="AS193" i="8" s="1"/>
  <c r="AG226" i="8"/>
  <c r="S193" i="8"/>
  <c r="U193" i="8"/>
  <c r="Q194" i="8" s="1"/>
  <c r="AI226" i="8"/>
  <c r="AE227" i="8" s="1"/>
  <c r="Y243" i="8"/>
  <c r="AN243" i="8" s="1"/>
  <c r="L159" i="8" l="1"/>
  <c r="AR159" i="8"/>
  <c r="AV159" i="8"/>
  <c r="J160" i="8"/>
  <c r="Z243" i="8"/>
  <c r="AF227" i="8"/>
  <c r="AO227" i="8" s="1"/>
  <c r="R194" i="8"/>
  <c r="AM194" i="8" s="1"/>
  <c r="AP194" i="8" s="1"/>
  <c r="AS194" i="8" s="1"/>
  <c r="AB243" i="8"/>
  <c r="X244" i="8" s="1"/>
  <c r="T194" i="8"/>
  <c r="AT160" i="8" l="1"/>
  <c r="AQ160" i="8"/>
  <c r="K160" i="8"/>
  <c r="L160" i="8" s="1"/>
  <c r="AG227" i="8"/>
  <c r="U194" i="8"/>
  <c r="Q195" i="8" s="1"/>
  <c r="S194" i="8"/>
  <c r="AI227" i="8"/>
  <c r="AE228" i="8" s="1"/>
  <c r="Y244" i="8"/>
  <c r="AN244" i="8" s="1"/>
  <c r="N160" i="8" l="1"/>
  <c r="AV160" i="8" s="1"/>
  <c r="AR160" i="8"/>
  <c r="Z244" i="8"/>
  <c r="AF228" i="8"/>
  <c r="AO228" i="8" s="1"/>
  <c r="R195" i="8"/>
  <c r="AB244" i="8"/>
  <c r="X245" i="8" s="1"/>
  <c r="T195" i="8"/>
  <c r="J161" i="8" l="1"/>
  <c r="AT161" i="8" s="1"/>
  <c r="AM195" i="8"/>
  <c r="AP195" i="8" s="1"/>
  <c r="AS195" i="8" s="1"/>
  <c r="AG228" i="8"/>
  <c r="S195" i="8"/>
  <c r="U195" i="8"/>
  <c r="Q196" i="8" s="1"/>
  <c r="AI228" i="8"/>
  <c r="AE229" i="8" s="1"/>
  <c r="Y245" i="8"/>
  <c r="AN245" i="8" s="1"/>
  <c r="AQ161" i="8" l="1"/>
  <c r="K161" i="8"/>
  <c r="N161" i="8" s="1"/>
  <c r="Z245" i="8"/>
  <c r="AF229" i="8"/>
  <c r="AO229" i="8" s="1"/>
  <c r="R196" i="8"/>
  <c r="AM196" i="8" s="1"/>
  <c r="AP196" i="8" s="1"/>
  <c r="AS196" i="8" s="1"/>
  <c r="AB245" i="8"/>
  <c r="X246" i="8" s="1"/>
  <c r="T196" i="8"/>
  <c r="L161" i="8" l="1"/>
  <c r="AR161" i="8"/>
  <c r="J162" i="8"/>
  <c r="AV161" i="8"/>
  <c r="AG229" i="8"/>
  <c r="U196" i="8"/>
  <c r="Q197" i="8" s="1"/>
  <c r="R197" i="8" s="1"/>
  <c r="AM197" i="8" s="1"/>
  <c r="AP197" i="8" s="1"/>
  <c r="AS197" i="8" s="1"/>
  <c r="S196" i="8"/>
  <c r="AI229" i="8"/>
  <c r="AE230" i="8" s="1"/>
  <c r="Y246" i="8"/>
  <c r="AN246" i="8" s="1"/>
  <c r="AT162" i="8" l="1"/>
  <c r="AQ162" i="8"/>
  <c r="K162" i="8"/>
  <c r="Z246" i="8"/>
  <c r="AF230" i="8"/>
  <c r="AO230" i="8" s="1"/>
  <c r="U197" i="8"/>
  <c r="AB246" i="8"/>
  <c r="X247" i="8" s="1"/>
  <c r="S197" i="8"/>
  <c r="T197" i="8"/>
  <c r="L162" i="8" l="1"/>
  <c r="N162" i="8"/>
  <c r="AG230" i="8"/>
  <c r="AI230" i="8"/>
  <c r="AE231" i="8" s="1"/>
  <c r="Y247" i="8"/>
  <c r="AN247" i="8" s="1"/>
  <c r="Q198" i="8"/>
  <c r="AV162" i="8" l="1"/>
  <c r="J163" i="8"/>
  <c r="AR162" i="8"/>
  <c r="Z247" i="8"/>
  <c r="AF231" i="8"/>
  <c r="AO231" i="8" s="1"/>
  <c r="R198" i="8"/>
  <c r="AM198" i="8" s="1"/>
  <c r="AP198" i="8" s="1"/>
  <c r="AS198" i="8" s="1"/>
  <c r="AB247" i="8"/>
  <c r="X248" i="8" s="1"/>
  <c r="T198" i="8"/>
  <c r="AT163" i="8" l="1"/>
  <c r="AQ163" i="8"/>
  <c r="K163" i="8"/>
  <c r="L163" i="8" s="1"/>
  <c r="AG231" i="8"/>
  <c r="S198" i="8"/>
  <c r="U198" i="8"/>
  <c r="Q199" i="8" s="1"/>
  <c r="R199" i="8" s="1"/>
  <c r="AM199" i="8" s="1"/>
  <c r="AP199" i="8" s="1"/>
  <c r="AS199" i="8" s="1"/>
  <c r="AI231" i="8"/>
  <c r="AE232" i="8" s="1"/>
  <c r="Y248" i="8"/>
  <c r="AN248" i="8" s="1"/>
  <c r="N163" i="8" l="1"/>
  <c r="AV163" i="8" s="1"/>
  <c r="Z248" i="8"/>
  <c r="AF232" i="8"/>
  <c r="AO232" i="8" s="1"/>
  <c r="U199" i="8"/>
  <c r="AB248" i="8"/>
  <c r="X249" i="8" s="1"/>
  <c r="S199" i="8"/>
  <c r="T199" i="8"/>
  <c r="AR163" i="8" l="1"/>
  <c r="J164" i="8"/>
  <c r="AT164" i="8" s="1"/>
  <c r="AG232" i="8"/>
  <c r="AI232" i="8"/>
  <c r="AE233" i="8" s="1"/>
  <c r="Y249" i="8"/>
  <c r="AN249" i="8" s="1"/>
  <c r="Q200" i="8"/>
  <c r="AQ164" i="8" l="1"/>
  <c r="K164" i="8"/>
  <c r="L164" i="8" s="1"/>
  <c r="Z249" i="8"/>
  <c r="AB249" i="8"/>
  <c r="X250" i="8" s="1"/>
  <c r="Y250" i="8" s="1"/>
  <c r="AN250" i="8" s="1"/>
  <c r="AF233" i="8"/>
  <c r="AO233" i="8" s="1"/>
  <c r="R200" i="8"/>
  <c r="T200" i="8"/>
  <c r="N164" i="8" l="1"/>
  <c r="AV164" i="8"/>
  <c r="J165" i="8"/>
  <c r="AR164" i="8"/>
  <c r="AM200" i="8"/>
  <c r="AP200" i="8" s="1"/>
  <c r="AS200" i="8" s="1"/>
  <c r="AG233" i="8"/>
  <c r="Z250" i="8"/>
  <c r="S200" i="8"/>
  <c r="U200" i="8"/>
  <c r="Q201" i="8" s="1"/>
  <c r="AI233" i="8"/>
  <c r="AE234" i="8" s="1"/>
  <c r="AB250" i="8"/>
  <c r="X251" i="8" s="1"/>
  <c r="AT165" i="8" l="1"/>
  <c r="AQ165" i="8"/>
  <c r="K165" i="8"/>
  <c r="L165" i="8" s="1"/>
  <c r="AF234" i="8"/>
  <c r="AO234" i="8" s="1"/>
  <c r="R201" i="8"/>
  <c r="AM201" i="8" s="1"/>
  <c r="AP201" i="8" s="1"/>
  <c r="AS201" i="8" s="1"/>
  <c r="Y251" i="8"/>
  <c r="AN251" i="8" s="1"/>
  <c r="T201" i="8"/>
  <c r="N165" i="8" l="1"/>
  <c r="AG234" i="8"/>
  <c r="Z251" i="8"/>
  <c r="S201" i="8"/>
  <c r="U201" i="8"/>
  <c r="Q202" i="8" s="1"/>
  <c r="R202" i="8" s="1"/>
  <c r="AM202" i="8" s="1"/>
  <c r="AP202" i="8" s="1"/>
  <c r="AS202" i="8" s="1"/>
  <c r="AI234" i="8"/>
  <c r="AE235" i="8" s="1"/>
  <c r="AB251" i="8"/>
  <c r="X252" i="8" s="1"/>
  <c r="AR165" i="8" l="1"/>
  <c r="AV165" i="8"/>
  <c r="J166" i="8"/>
  <c r="AF235" i="8"/>
  <c r="AO235" i="8" s="1"/>
  <c r="U202" i="8"/>
  <c r="Y252" i="8"/>
  <c r="AN252" i="8" s="1"/>
  <c r="S202" i="8"/>
  <c r="T202" i="8"/>
  <c r="AT166" i="8" l="1"/>
  <c r="AQ166" i="8"/>
  <c r="K166" i="8"/>
  <c r="L166" i="8" s="1"/>
  <c r="AG235" i="8"/>
  <c r="Z252" i="8"/>
  <c r="AI235" i="8"/>
  <c r="AE236" i="8" s="1"/>
  <c r="AB252" i="8"/>
  <c r="X253" i="8" s="1"/>
  <c r="Q203" i="8"/>
  <c r="R203" i="8" s="1"/>
  <c r="N166" i="8" l="1"/>
  <c r="J167" i="8"/>
  <c r="AR166" i="8"/>
  <c r="AV166" i="8"/>
  <c r="AM203" i="8"/>
  <c r="AP203" i="8" s="1"/>
  <c r="AS203" i="8" s="1"/>
  <c r="S203" i="8"/>
  <c r="AF236" i="8"/>
  <c r="AO236" i="8" s="1"/>
  <c r="U203" i="8"/>
  <c r="Y253" i="8"/>
  <c r="AN253" i="8" s="1"/>
  <c r="T203" i="8"/>
  <c r="AT167" i="8" l="1"/>
  <c r="AQ167" i="8"/>
  <c r="K167" i="8"/>
  <c r="L167" i="8" s="1"/>
  <c r="AG236" i="8"/>
  <c r="Z253" i="8"/>
  <c r="AI236" i="8"/>
  <c r="AE237" i="8" s="1"/>
  <c r="AB253" i="8"/>
  <c r="X254" i="8" s="1"/>
  <c r="Q204" i="8"/>
  <c r="N167" i="8" l="1"/>
  <c r="AV167" i="8" s="1"/>
  <c r="AF237" i="8"/>
  <c r="AO237" i="8" s="1"/>
  <c r="R204" i="8"/>
  <c r="Y254" i="8"/>
  <c r="AN254" i="8" s="1"/>
  <c r="T204" i="8"/>
  <c r="J168" i="8" l="1"/>
  <c r="AR167" i="8"/>
  <c r="AQ168" i="8"/>
  <c r="K168" i="8"/>
  <c r="L168" i="8" s="1"/>
  <c r="N168" i="8"/>
  <c r="AM204" i="8"/>
  <c r="AP204" i="8" s="1"/>
  <c r="AS204" i="8" s="1"/>
  <c r="AG237" i="8"/>
  <c r="Z254" i="8"/>
  <c r="U204" i="8"/>
  <c r="Q205" i="8" s="1"/>
  <c r="S204" i="8"/>
  <c r="AI237" i="8"/>
  <c r="AE238" i="8" s="1"/>
  <c r="AB254" i="8"/>
  <c r="X255" i="8" s="1"/>
  <c r="AT168" i="8" l="1"/>
  <c r="J169" i="8"/>
  <c r="AR168" i="8"/>
  <c r="AV168" i="8"/>
  <c r="AF238" i="8"/>
  <c r="AO238" i="8" s="1"/>
  <c r="R205" i="8"/>
  <c r="Y255" i="8"/>
  <c r="AN255" i="8" s="1"/>
  <c r="T205" i="8"/>
  <c r="AT169" i="8" l="1"/>
  <c r="AQ169" i="8"/>
  <c r="K169" i="8"/>
  <c r="L169" i="8" s="1"/>
  <c r="AM205" i="8"/>
  <c r="AP205" i="8" s="1"/>
  <c r="AS205" i="8" s="1"/>
  <c r="AG238" i="8"/>
  <c r="Z255" i="8"/>
  <c r="S205" i="8"/>
  <c r="U205" i="8"/>
  <c r="Q206" i="8" s="1"/>
  <c r="AI238" i="8"/>
  <c r="AE239" i="8" s="1"/>
  <c r="AB255" i="8"/>
  <c r="X256" i="8" s="1"/>
  <c r="N169" i="8" l="1"/>
  <c r="AV169" i="8" s="1"/>
  <c r="J170" i="8"/>
  <c r="AR169" i="8"/>
  <c r="AF239" i="8"/>
  <c r="AO239" i="8" s="1"/>
  <c r="R206" i="8"/>
  <c r="AM206" i="8" s="1"/>
  <c r="AP206" i="8" s="1"/>
  <c r="AS206" i="8" s="1"/>
  <c r="Y256" i="8"/>
  <c r="AN256" i="8" s="1"/>
  <c r="T206" i="8"/>
  <c r="AT170" i="8" l="1"/>
  <c r="AQ170" i="8"/>
  <c r="K170" i="8"/>
  <c r="L170" i="8" s="1"/>
  <c r="AG239" i="8"/>
  <c r="Z256" i="8"/>
  <c r="S206" i="8"/>
  <c r="U206" i="8"/>
  <c r="Q207" i="8" s="1"/>
  <c r="AI239" i="8"/>
  <c r="AE240" i="8" s="1"/>
  <c r="AB256" i="8"/>
  <c r="X257" i="8" s="1"/>
  <c r="N170" i="8" l="1"/>
  <c r="AV170" i="8" s="1"/>
  <c r="AR170" i="8"/>
  <c r="AF240" i="8"/>
  <c r="AO240" i="8" s="1"/>
  <c r="R207" i="8"/>
  <c r="Y257" i="8"/>
  <c r="AN257" i="8" s="1"/>
  <c r="T207" i="8"/>
  <c r="J171" i="8" l="1"/>
  <c r="AT171" i="8" s="1"/>
  <c r="AM207" i="8"/>
  <c r="AP207" i="8" s="1"/>
  <c r="AS207" i="8" s="1"/>
  <c r="AG240" i="8"/>
  <c r="Z257" i="8"/>
  <c r="S207" i="8"/>
  <c r="U207" i="8"/>
  <c r="Q208" i="8" s="1"/>
  <c r="AI240" i="8"/>
  <c r="AE241" i="8" s="1"/>
  <c r="AB257" i="8"/>
  <c r="X258" i="8" s="1"/>
  <c r="AQ171" i="8" l="1"/>
  <c r="K171" i="8"/>
  <c r="L171" i="8" s="1"/>
  <c r="N171" i="8"/>
  <c r="AF241" i="8"/>
  <c r="AO241" i="8" s="1"/>
  <c r="R208" i="8"/>
  <c r="AM208" i="8" s="1"/>
  <c r="AP208" i="8" s="1"/>
  <c r="AS208" i="8" s="1"/>
  <c r="Y258" i="8"/>
  <c r="AN258" i="8" s="1"/>
  <c r="T208" i="8"/>
  <c r="AR171" i="8" l="1"/>
  <c r="AV171" i="8"/>
  <c r="J172" i="8"/>
  <c r="AG241" i="8"/>
  <c r="S208" i="8"/>
  <c r="Z258" i="8"/>
  <c r="U208" i="8"/>
  <c r="Q209" i="8" s="1"/>
  <c r="AI241" i="8"/>
  <c r="AE242" i="8" s="1"/>
  <c r="AB258" i="8"/>
  <c r="X259" i="8" s="1"/>
  <c r="AT172" i="8" l="1"/>
  <c r="AQ172" i="8"/>
  <c r="K172" i="8"/>
  <c r="L172" i="8" s="1"/>
  <c r="AF242" i="8"/>
  <c r="AO242" i="8" s="1"/>
  <c r="R209" i="8"/>
  <c r="Y259" i="8"/>
  <c r="AN259" i="8" s="1"/>
  <c r="T209" i="8"/>
  <c r="N172" i="8" l="1"/>
  <c r="AM209" i="8"/>
  <c r="AP209" i="8" s="1"/>
  <c r="AS209" i="8" s="1"/>
  <c r="AG242" i="8"/>
  <c r="Z259" i="8"/>
  <c r="S209" i="8"/>
  <c r="U209" i="8"/>
  <c r="Q210" i="8" s="1"/>
  <c r="AB259" i="8"/>
  <c r="X260" i="8" s="1"/>
  <c r="Y260" i="8" s="1"/>
  <c r="AN260" i="8" s="1"/>
  <c r="AI242" i="8"/>
  <c r="AE243" i="8" s="1"/>
  <c r="AV172" i="8" l="1"/>
  <c r="AR172" i="8"/>
  <c r="J173" i="8"/>
  <c r="Z260" i="8"/>
  <c r="AF243" i="8"/>
  <c r="AO243" i="8" s="1"/>
  <c r="R210" i="8"/>
  <c r="AB260" i="8"/>
  <c r="X261" i="8" s="1"/>
  <c r="T210" i="8"/>
  <c r="AT173" i="8" l="1"/>
  <c r="AQ173" i="8"/>
  <c r="K173" i="8"/>
  <c r="L173" i="8" s="1"/>
  <c r="AM210" i="8"/>
  <c r="AP210" i="8" s="1"/>
  <c r="AS210" i="8" s="1"/>
  <c r="AG243" i="8"/>
  <c r="S210" i="8"/>
  <c r="U210" i="8"/>
  <c r="Q211" i="8" s="1"/>
  <c r="AI243" i="8"/>
  <c r="AE244" i="8" s="1"/>
  <c r="Y261" i="8"/>
  <c r="AN261" i="8" s="1"/>
  <c r="N173" i="8" l="1"/>
  <c r="AV173" i="8"/>
  <c r="AR173" i="8"/>
  <c r="J174" i="8"/>
  <c r="Z261" i="8"/>
  <c r="AB261" i="8"/>
  <c r="X262" i="8" s="1"/>
  <c r="Y262" i="8" s="1"/>
  <c r="AN262" i="8" s="1"/>
  <c r="AF244" i="8"/>
  <c r="AO244" i="8" s="1"/>
  <c r="R211" i="8"/>
  <c r="AM211" i="8" s="1"/>
  <c r="AP211" i="8" s="1"/>
  <c r="AS211" i="8" s="1"/>
  <c r="T211" i="8"/>
  <c r="AT174" i="8" l="1"/>
  <c r="AQ174" i="8"/>
  <c r="K174" i="8"/>
  <c r="L174" i="8" s="1"/>
  <c r="AG244" i="8"/>
  <c r="Z262" i="8"/>
  <c r="S211" i="8"/>
  <c r="U211" i="8"/>
  <c r="Q212" i="8" s="1"/>
  <c r="AI244" i="8"/>
  <c r="AE245" i="8" s="1"/>
  <c r="AB262" i="8"/>
  <c r="X263" i="8" s="1"/>
  <c r="N174" i="8" l="1"/>
  <c r="AF245" i="8"/>
  <c r="AO245" i="8" s="1"/>
  <c r="R212" i="8"/>
  <c r="Y263" i="8"/>
  <c r="AN263" i="8" s="1"/>
  <c r="T212" i="8"/>
  <c r="AV174" i="8" l="1"/>
  <c r="J175" i="8"/>
  <c r="AR174" i="8"/>
  <c r="AM212" i="8"/>
  <c r="AP212" i="8" s="1"/>
  <c r="AS212" i="8" s="1"/>
  <c r="AG245" i="8"/>
  <c r="S212" i="8"/>
  <c r="Z263" i="8"/>
  <c r="U212" i="8"/>
  <c r="Q213" i="8" s="1"/>
  <c r="R213" i="8" s="1"/>
  <c r="AB263" i="8"/>
  <c r="X264" i="8" s="1"/>
  <c r="Y264" i="8" s="1"/>
  <c r="AN264" i="8" s="1"/>
  <c r="AI245" i="8"/>
  <c r="AE246" i="8" s="1"/>
  <c r="AT175" i="8" l="1"/>
  <c r="AQ175" i="8"/>
  <c r="K175" i="8"/>
  <c r="N175" i="8"/>
  <c r="L175" i="8"/>
  <c r="AM213" i="8"/>
  <c r="AP213" i="8" s="1"/>
  <c r="AS213" i="8" s="1"/>
  <c r="Z264" i="8"/>
  <c r="AF246" i="8"/>
  <c r="AO246" i="8" s="1"/>
  <c r="U213" i="8"/>
  <c r="AB264" i="8"/>
  <c r="X265" i="8" s="1"/>
  <c r="S213" i="8"/>
  <c r="T213" i="8"/>
  <c r="AR175" i="8" l="1"/>
  <c r="J176" i="8"/>
  <c r="AV175" i="8"/>
  <c r="AG246" i="8"/>
  <c r="AI246" i="8"/>
  <c r="AE247" i="8" s="1"/>
  <c r="Y265" i="8"/>
  <c r="AN265" i="8" s="1"/>
  <c r="Q214" i="8"/>
  <c r="AT176" i="8" l="1"/>
  <c r="AQ176" i="8"/>
  <c r="K176" i="8"/>
  <c r="L176" i="8" s="1"/>
  <c r="Z265" i="8"/>
  <c r="AF247" i="8"/>
  <c r="AO247" i="8" s="1"/>
  <c r="R214" i="8"/>
  <c r="AB265" i="8"/>
  <c r="X266" i="8" s="1"/>
  <c r="T214" i="8"/>
  <c r="N176" i="8" l="1"/>
  <c r="AV176" i="8" s="1"/>
  <c r="J177" i="8"/>
  <c r="AR176" i="8"/>
  <c r="AM214" i="8"/>
  <c r="AP214" i="8" s="1"/>
  <c r="AS214" i="8" s="1"/>
  <c r="AG247" i="8"/>
  <c r="U214" i="8"/>
  <c r="Q215" i="8" s="1"/>
  <c r="R215" i="8" s="1"/>
  <c r="S214" i="8"/>
  <c r="AI247" i="8"/>
  <c r="AE248" i="8" s="1"/>
  <c r="Y266" i="8"/>
  <c r="AN266" i="8" s="1"/>
  <c r="AT177" i="8" l="1"/>
  <c r="AQ177" i="8"/>
  <c r="K177" i="8"/>
  <c r="L177" i="8" s="1"/>
  <c r="AM215" i="8"/>
  <c r="AP215" i="8" s="1"/>
  <c r="AS215" i="8" s="1"/>
  <c r="Z266" i="8"/>
  <c r="AB266" i="8"/>
  <c r="X267" i="8" s="1"/>
  <c r="Y267" i="8" s="1"/>
  <c r="AN267" i="8" s="1"/>
  <c r="AF248" i="8"/>
  <c r="AO248" i="8" s="1"/>
  <c r="U215" i="8"/>
  <c r="S215" i="8"/>
  <c r="T215" i="8"/>
  <c r="AT178" i="8" l="1"/>
  <c r="N177" i="8"/>
  <c r="AR177" i="8"/>
  <c r="AV177" i="8"/>
  <c r="J178" i="8"/>
  <c r="AG248" i="8"/>
  <c r="Z267" i="8"/>
  <c r="AI248" i="8"/>
  <c r="AE249" i="8" s="1"/>
  <c r="AB267" i="8"/>
  <c r="X268" i="8" s="1"/>
  <c r="Q216" i="8"/>
  <c r="AQ178" i="8" l="1"/>
  <c r="K178" i="8"/>
  <c r="L178" i="8" s="1"/>
  <c r="AF249" i="8"/>
  <c r="AO249" i="8" s="1"/>
  <c r="R216" i="8"/>
  <c r="AM216" i="8" s="1"/>
  <c r="AP216" i="8" s="1"/>
  <c r="AS216" i="8" s="1"/>
  <c r="Y268" i="8"/>
  <c r="AN268" i="8" s="1"/>
  <c r="T216" i="8"/>
  <c r="N178" i="8" l="1"/>
  <c r="AG249" i="8"/>
  <c r="Z268" i="8"/>
  <c r="S216" i="8"/>
  <c r="U216" i="8"/>
  <c r="Q217" i="8" s="1"/>
  <c r="AI249" i="8"/>
  <c r="AE250" i="8" s="1"/>
  <c r="AB268" i="8"/>
  <c r="X269" i="8" s="1"/>
  <c r="AV178" i="8" l="1"/>
  <c r="J179" i="8"/>
  <c r="AR178" i="8"/>
  <c r="AF250" i="8"/>
  <c r="AO250" i="8" s="1"/>
  <c r="R217" i="8"/>
  <c r="AM217" i="8" s="1"/>
  <c r="AP217" i="8" s="1"/>
  <c r="AS217" i="8" s="1"/>
  <c r="Y269" i="8"/>
  <c r="AN269" i="8" s="1"/>
  <c r="T217" i="8"/>
  <c r="AT179" i="8" l="1"/>
  <c r="AQ179" i="8"/>
  <c r="K179" i="8"/>
  <c r="L179" i="8" s="1"/>
  <c r="AG250" i="8"/>
  <c r="Z269" i="8"/>
  <c r="S217" i="8"/>
  <c r="U217" i="8"/>
  <c r="Q218" i="8" s="1"/>
  <c r="AI250" i="8"/>
  <c r="AE251" i="8" s="1"/>
  <c r="AB269" i="8"/>
  <c r="X270" i="8" s="1"/>
  <c r="T218" i="8"/>
  <c r="N179" i="8" l="1"/>
  <c r="AV179" i="8"/>
  <c r="AR179" i="8"/>
  <c r="J180" i="8"/>
  <c r="AF251" i="8"/>
  <c r="AO251" i="8" s="1"/>
  <c r="R218" i="8"/>
  <c r="Y270" i="8"/>
  <c r="AN270" i="8" s="1"/>
  <c r="AT180" i="8" l="1"/>
  <c r="AQ180" i="8"/>
  <c r="K180" i="8"/>
  <c r="L180" i="8" s="1"/>
  <c r="N180" i="8"/>
  <c r="AM218" i="8"/>
  <c r="AP218" i="8" s="1"/>
  <c r="AS218" i="8" s="1"/>
  <c r="AG251" i="8"/>
  <c r="Z270" i="8"/>
  <c r="S218" i="8"/>
  <c r="AB270" i="8"/>
  <c r="X271" i="8" s="1"/>
  <c r="Y271" i="8" s="1"/>
  <c r="AN271" i="8" s="1"/>
  <c r="AI251" i="8"/>
  <c r="AE252" i="8" s="1"/>
  <c r="U218" i="8"/>
  <c r="Q219" i="8" s="1"/>
  <c r="AV180" i="8" l="1"/>
  <c r="J181" i="8"/>
  <c r="AR180" i="8"/>
  <c r="Z271" i="8"/>
  <c r="AF252" i="8"/>
  <c r="AO252" i="8" s="1"/>
  <c r="R219" i="8"/>
  <c r="AM219" i="8" s="1"/>
  <c r="AP219" i="8" s="1"/>
  <c r="AS219" i="8" s="1"/>
  <c r="AB271" i="8"/>
  <c r="X272" i="8" s="1"/>
  <c r="T219" i="8"/>
  <c r="AT181" i="8" l="1"/>
  <c r="AQ181" i="8"/>
  <c r="K181" i="8"/>
  <c r="L181" i="8" s="1"/>
  <c r="AG252" i="8"/>
  <c r="S219" i="8"/>
  <c r="U219" i="8"/>
  <c r="Q220" i="8" s="1"/>
  <c r="AI252" i="8"/>
  <c r="AE253" i="8" s="1"/>
  <c r="Y272" i="8"/>
  <c r="AN272" i="8" s="1"/>
  <c r="N181" i="8" l="1"/>
  <c r="J182" i="8"/>
  <c r="AR181" i="8"/>
  <c r="AV181" i="8"/>
  <c r="Z272" i="8"/>
  <c r="AB272" i="8"/>
  <c r="X273" i="8" s="1"/>
  <c r="Y273" i="8" s="1"/>
  <c r="AN273" i="8" s="1"/>
  <c r="AF253" i="8"/>
  <c r="AO253" i="8" s="1"/>
  <c r="R220" i="8"/>
  <c r="AM220" i="8" s="1"/>
  <c r="AP220" i="8" s="1"/>
  <c r="AS220" i="8" s="1"/>
  <c r="T220" i="8"/>
  <c r="AT182" i="8" l="1"/>
  <c r="AQ182" i="8"/>
  <c r="K182" i="8"/>
  <c r="L182" i="8" s="1"/>
  <c r="AG253" i="8"/>
  <c r="Z273" i="8"/>
  <c r="S220" i="8"/>
  <c r="U220" i="8"/>
  <c r="Q221" i="8" s="1"/>
  <c r="AB273" i="8"/>
  <c r="X274" i="8" s="1"/>
  <c r="Y274" i="8" s="1"/>
  <c r="AN274" i="8" s="1"/>
  <c r="AI253" i="8"/>
  <c r="AE254" i="8" s="1"/>
  <c r="N182" i="8" l="1"/>
  <c r="AR182" i="8" s="1"/>
  <c r="Z274" i="8"/>
  <c r="AF254" i="8"/>
  <c r="AO254" i="8" s="1"/>
  <c r="R221" i="8"/>
  <c r="AM221" i="8" s="1"/>
  <c r="AP221" i="8" s="1"/>
  <c r="AS221" i="8" s="1"/>
  <c r="AB274" i="8"/>
  <c r="X275" i="8" s="1"/>
  <c r="T221" i="8"/>
  <c r="J183" i="8" l="1"/>
  <c r="AT183" i="8" s="1"/>
  <c r="AV182" i="8"/>
  <c r="AG254" i="8"/>
  <c r="S221" i="8"/>
  <c r="U221" i="8"/>
  <c r="Q222" i="8" s="1"/>
  <c r="R222" i="8" s="1"/>
  <c r="AM222" i="8" s="1"/>
  <c r="AP222" i="8" s="1"/>
  <c r="AS222" i="8" s="1"/>
  <c r="AI254" i="8"/>
  <c r="AE255" i="8" s="1"/>
  <c r="Y275" i="8"/>
  <c r="AN275" i="8" s="1"/>
  <c r="T222" i="8"/>
  <c r="AQ183" i="8" l="1"/>
  <c r="K183" i="8"/>
  <c r="L183" i="8" s="1"/>
  <c r="Z275" i="8"/>
  <c r="S222" i="8"/>
  <c r="AB275" i="8"/>
  <c r="X276" i="8" s="1"/>
  <c r="Y276" i="8" s="1"/>
  <c r="AN276" i="8" s="1"/>
  <c r="AF255" i="8"/>
  <c r="AO255" i="8" s="1"/>
  <c r="U222" i="8"/>
  <c r="N183" i="8" l="1"/>
  <c r="AR183" i="8" s="1"/>
  <c r="AG255" i="8"/>
  <c r="Z276" i="8"/>
  <c r="AB276" i="8"/>
  <c r="X277" i="8" s="1"/>
  <c r="Y277" i="8" s="1"/>
  <c r="AN277" i="8" s="1"/>
  <c r="AI255" i="8"/>
  <c r="AE256" i="8" s="1"/>
  <c r="Q223" i="8"/>
  <c r="J184" i="8" l="1"/>
  <c r="AV183" i="8"/>
  <c r="AQ184" i="8"/>
  <c r="K184" i="8"/>
  <c r="Z277" i="8"/>
  <c r="AF256" i="8"/>
  <c r="AO256" i="8" s="1"/>
  <c r="R223" i="8"/>
  <c r="AM223" i="8" s="1"/>
  <c r="AP223" i="8" s="1"/>
  <c r="AS223" i="8" s="1"/>
  <c r="AB277" i="8"/>
  <c r="X278" i="8" s="1"/>
  <c r="T223" i="8"/>
  <c r="AT184" i="8" l="1"/>
  <c r="L184" i="8"/>
  <c r="N184" i="8"/>
  <c r="AG256" i="8"/>
  <c r="S223" i="8"/>
  <c r="U223" i="8"/>
  <c r="Q224" i="8" s="1"/>
  <c r="AI256" i="8"/>
  <c r="AE257" i="8" s="1"/>
  <c r="Y278" i="8"/>
  <c r="AN278" i="8" s="1"/>
  <c r="AR184" i="8" l="1"/>
  <c r="AV184" i="8"/>
  <c r="J185" i="8"/>
  <c r="Z278" i="8"/>
  <c r="AF257" i="8"/>
  <c r="AO257" i="8" s="1"/>
  <c r="R224" i="8"/>
  <c r="AB278" i="8"/>
  <c r="X279" i="8" s="1"/>
  <c r="T224" i="8"/>
  <c r="AT185" i="8" l="1"/>
  <c r="AQ185" i="8"/>
  <c r="K185" i="8"/>
  <c r="AM224" i="8"/>
  <c r="AP224" i="8" s="1"/>
  <c r="AS224" i="8" s="1"/>
  <c r="AG257" i="8"/>
  <c r="S224" i="8"/>
  <c r="U224" i="8"/>
  <c r="Q225" i="8" s="1"/>
  <c r="AI257" i="8"/>
  <c r="AE258" i="8" s="1"/>
  <c r="Y279" i="8"/>
  <c r="AN279" i="8" s="1"/>
  <c r="L185" i="8" l="1"/>
  <c r="N185" i="8"/>
  <c r="Z279" i="8"/>
  <c r="AF258" i="8"/>
  <c r="AO258" i="8" s="1"/>
  <c r="R225" i="8"/>
  <c r="AB279" i="8"/>
  <c r="X280" i="8" s="1"/>
  <c r="T225" i="8"/>
  <c r="J186" i="8" l="1"/>
  <c r="AV185" i="8"/>
  <c r="AR185" i="8"/>
  <c r="AM225" i="8"/>
  <c r="AP225" i="8" s="1"/>
  <c r="AS225" i="8" s="1"/>
  <c r="AG258" i="8"/>
  <c r="S225" i="8"/>
  <c r="U225" i="8"/>
  <c r="Q226" i="8" s="1"/>
  <c r="R226" i="8" s="1"/>
  <c r="AI258" i="8"/>
  <c r="AE259" i="8" s="1"/>
  <c r="Y280" i="8"/>
  <c r="AN280" i="8" s="1"/>
  <c r="AT186" i="8" l="1"/>
  <c r="AQ186" i="8"/>
  <c r="K186" i="8"/>
  <c r="L186" i="8" s="1"/>
  <c r="AM226" i="8"/>
  <c r="AP226" i="8" s="1"/>
  <c r="AS226" i="8" s="1"/>
  <c r="Z280" i="8"/>
  <c r="AF259" i="8"/>
  <c r="AO259" i="8" s="1"/>
  <c r="U226" i="8"/>
  <c r="AB280" i="8"/>
  <c r="X281" i="8" s="1"/>
  <c r="S226" i="8"/>
  <c r="T226" i="8"/>
  <c r="N186" i="8" l="1"/>
  <c r="AG259" i="8"/>
  <c r="AI259" i="8"/>
  <c r="AE260" i="8" s="1"/>
  <c r="Y281" i="8"/>
  <c r="AN281" i="8" s="1"/>
  <c r="Q227" i="8"/>
  <c r="AV186" i="8" l="1"/>
  <c r="J187" i="8"/>
  <c r="AR186" i="8"/>
  <c r="Z281" i="8"/>
  <c r="AF260" i="8"/>
  <c r="AO260" i="8" s="1"/>
  <c r="R227" i="8"/>
  <c r="AB281" i="8"/>
  <c r="X282" i="8" s="1"/>
  <c r="T227" i="8"/>
  <c r="AT187" i="8" l="1"/>
  <c r="AQ187" i="8"/>
  <c r="K187" i="8"/>
  <c r="L187" i="8" s="1"/>
  <c r="AM227" i="8"/>
  <c r="AP227" i="8" s="1"/>
  <c r="AS227" i="8" s="1"/>
  <c r="AG260" i="8"/>
  <c r="S227" i="8"/>
  <c r="U227" i="8"/>
  <c r="Q228" i="8" s="1"/>
  <c r="AI260" i="8"/>
  <c r="AE261" i="8" s="1"/>
  <c r="Y282" i="8"/>
  <c r="AN282" i="8" s="1"/>
  <c r="N187" i="8" l="1"/>
  <c r="AR187" i="8"/>
  <c r="AV187" i="8"/>
  <c r="J188" i="8"/>
  <c r="Z282" i="8"/>
  <c r="AB282" i="8"/>
  <c r="X283" i="8" s="1"/>
  <c r="Y283" i="8" s="1"/>
  <c r="AN283" i="8" s="1"/>
  <c r="AF261" i="8"/>
  <c r="AO261" i="8" s="1"/>
  <c r="R228" i="8"/>
  <c r="T228" i="8"/>
  <c r="AT188" i="8" l="1"/>
  <c r="AQ188" i="8"/>
  <c r="K188" i="8"/>
  <c r="L188" i="8" s="1"/>
  <c r="AM228" i="8"/>
  <c r="AP228" i="8" s="1"/>
  <c r="AS228" i="8" s="1"/>
  <c r="AG261" i="8"/>
  <c r="Z283" i="8"/>
  <c r="S228" i="8"/>
  <c r="U228" i="8"/>
  <c r="Q229" i="8" s="1"/>
  <c r="AI261" i="8"/>
  <c r="AE262" i="8" s="1"/>
  <c r="AB283" i="8"/>
  <c r="X284" i="8" s="1"/>
  <c r="N188" i="8" l="1"/>
  <c r="AV188" i="8" s="1"/>
  <c r="AF262" i="8"/>
  <c r="AO262" i="8" s="1"/>
  <c r="R229" i="8"/>
  <c r="Y284" i="8"/>
  <c r="AN284" i="8" s="1"/>
  <c r="T229" i="8"/>
  <c r="AR188" i="8" l="1"/>
  <c r="J189" i="8"/>
  <c r="AQ189" i="8"/>
  <c r="K189" i="8"/>
  <c r="AM229" i="8"/>
  <c r="AP229" i="8" s="1"/>
  <c r="AS229" i="8" s="1"/>
  <c r="AG262" i="8"/>
  <c r="S229" i="8"/>
  <c r="Z284" i="8"/>
  <c r="U229" i="8"/>
  <c r="Q230" i="8" s="1"/>
  <c r="AI262" i="8"/>
  <c r="AE263" i="8" s="1"/>
  <c r="AB284" i="8"/>
  <c r="X285" i="8" s="1"/>
  <c r="AT189" i="8" l="1"/>
  <c r="L189" i="8"/>
  <c r="N189" i="8"/>
  <c r="AF263" i="8"/>
  <c r="AO263" i="8" s="1"/>
  <c r="R230" i="8"/>
  <c r="AM230" i="8" s="1"/>
  <c r="AP230" i="8" s="1"/>
  <c r="AS230" i="8" s="1"/>
  <c r="Y285" i="8"/>
  <c r="AN285" i="8" s="1"/>
  <c r="T230" i="8"/>
  <c r="J190" i="8" l="1"/>
  <c r="AR189" i="8"/>
  <c r="AV189" i="8"/>
  <c r="AG263" i="8"/>
  <c r="Z285" i="8"/>
  <c r="S230" i="8"/>
  <c r="U230" i="8"/>
  <c r="Q231" i="8" s="1"/>
  <c r="AI263" i="8"/>
  <c r="AE264" i="8" s="1"/>
  <c r="AB285" i="8"/>
  <c r="X286" i="8" s="1"/>
  <c r="AT190" i="8" l="1"/>
  <c r="AQ190" i="8"/>
  <c r="K190" i="8"/>
  <c r="AF264" i="8"/>
  <c r="AO264" i="8" s="1"/>
  <c r="R231" i="8"/>
  <c r="Y286" i="8"/>
  <c r="AN286" i="8" s="1"/>
  <c r="T231" i="8"/>
  <c r="L190" i="8" l="1"/>
  <c r="N190" i="8"/>
  <c r="AM231" i="8"/>
  <c r="AP231" i="8" s="1"/>
  <c r="AS231" i="8" s="1"/>
  <c r="AG264" i="8"/>
  <c r="Z286" i="8"/>
  <c r="S231" i="8"/>
  <c r="U231" i="8"/>
  <c r="Q232" i="8" s="1"/>
  <c r="R232" i="8" s="1"/>
  <c r="AI264" i="8"/>
  <c r="AE265" i="8" s="1"/>
  <c r="AB286" i="8"/>
  <c r="X287" i="8" s="1"/>
  <c r="AR190" i="8" l="1"/>
  <c r="AV190" i="8"/>
  <c r="J191" i="8"/>
  <c r="AM232" i="8"/>
  <c r="AP232" i="8" s="1"/>
  <c r="AS232" i="8" s="1"/>
  <c r="AF265" i="8"/>
  <c r="AO265" i="8" s="1"/>
  <c r="U232" i="8"/>
  <c r="Y287" i="8"/>
  <c r="AN287" i="8" s="1"/>
  <c r="S232" i="8"/>
  <c r="T232" i="8"/>
  <c r="AT191" i="8" l="1"/>
  <c r="AQ191" i="8"/>
  <c r="K191" i="8"/>
  <c r="L191" i="8" s="1"/>
  <c r="AG265" i="8"/>
  <c r="Z287" i="8"/>
  <c r="AI265" i="8"/>
  <c r="AE266" i="8" s="1"/>
  <c r="AB287" i="8"/>
  <c r="X288" i="8" s="1"/>
  <c r="Q233" i="8"/>
  <c r="N191" i="8" l="1"/>
  <c r="AF266" i="8"/>
  <c r="AO266" i="8" s="1"/>
  <c r="R233" i="8"/>
  <c r="AM233" i="8" s="1"/>
  <c r="AP233" i="8" s="1"/>
  <c r="AS233" i="8" s="1"/>
  <c r="Y288" i="8"/>
  <c r="AN288" i="8" s="1"/>
  <c r="T233" i="8"/>
  <c r="AR191" i="8" l="1"/>
  <c r="AV191" i="8"/>
  <c r="J192" i="8"/>
  <c r="AG266" i="8"/>
  <c r="Z288" i="8"/>
  <c r="S233" i="8"/>
  <c r="U233" i="8"/>
  <c r="Q234" i="8" s="1"/>
  <c r="AI266" i="8"/>
  <c r="AE267" i="8" s="1"/>
  <c r="AB288" i="8"/>
  <c r="X289" i="8" s="1"/>
  <c r="AT192" i="8" l="1"/>
  <c r="AQ192" i="8"/>
  <c r="K192" i="8"/>
  <c r="L192" i="8" s="1"/>
  <c r="AF267" i="8"/>
  <c r="AO267" i="8" s="1"/>
  <c r="R234" i="8"/>
  <c r="AM234" i="8" s="1"/>
  <c r="AP234" i="8" s="1"/>
  <c r="AS234" i="8" s="1"/>
  <c r="Y289" i="8"/>
  <c r="AN289" i="8" s="1"/>
  <c r="T234" i="8"/>
  <c r="N192" i="8" l="1"/>
  <c r="AG267" i="8"/>
  <c r="Z289" i="8"/>
  <c r="S234" i="8"/>
  <c r="U234" i="8"/>
  <c r="Q235" i="8" s="1"/>
  <c r="R235" i="8" s="1"/>
  <c r="AM235" i="8" s="1"/>
  <c r="AP235" i="8" s="1"/>
  <c r="AS235" i="8" s="1"/>
  <c r="AI267" i="8"/>
  <c r="AE268" i="8" s="1"/>
  <c r="AB289" i="8"/>
  <c r="X290" i="8" s="1"/>
  <c r="T235" i="8"/>
  <c r="J193" i="8" l="1"/>
  <c r="AR192" i="8"/>
  <c r="AV192" i="8"/>
  <c r="S235" i="8"/>
  <c r="AF268" i="8"/>
  <c r="AO268" i="8" s="1"/>
  <c r="U235" i="8"/>
  <c r="Y290" i="8"/>
  <c r="AN290" i="8" s="1"/>
  <c r="AT193" i="8" l="1"/>
  <c r="AQ193" i="8"/>
  <c r="K193" i="8"/>
  <c r="L193" i="8" s="1"/>
  <c r="AG268" i="8"/>
  <c r="Z290" i="8"/>
  <c r="AI268" i="8"/>
  <c r="AE269" i="8" s="1"/>
  <c r="AB290" i="8"/>
  <c r="X291" i="8" s="1"/>
  <c r="Q236" i="8"/>
  <c r="N193" i="8" l="1"/>
  <c r="AF269" i="8"/>
  <c r="AO269" i="8" s="1"/>
  <c r="R236" i="8"/>
  <c r="AM236" i="8" s="1"/>
  <c r="AP236" i="8" s="1"/>
  <c r="AS236" i="8" s="1"/>
  <c r="Y291" i="8"/>
  <c r="AN291" i="8" s="1"/>
  <c r="T236" i="8"/>
  <c r="AV193" i="8" l="1"/>
  <c r="J194" i="8"/>
  <c r="AR193" i="8"/>
  <c r="AG269" i="8"/>
  <c r="Z291" i="8"/>
  <c r="S236" i="8"/>
  <c r="U236" i="8"/>
  <c r="Q237" i="8" s="1"/>
  <c r="AI269" i="8"/>
  <c r="AE270" i="8" s="1"/>
  <c r="AB291" i="8"/>
  <c r="X292" i="8" s="1"/>
  <c r="AT194" i="8" l="1"/>
  <c r="AQ194" i="8"/>
  <c r="K194" i="8"/>
  <c r="L194" i="8" s="1"/>
  <c r="AF270" i="8"/>
  <c r="AO270" i="8" s="1"/>
  <c r="R237" i="8"/>
  <c r="AM237" i="8" s="1"/>
  <c r="AP237" i="8" s="1"/>
  <c r="AS237" i="8" s="1"/>
  <c r="Y292" i="8"/>
  <c r="AN292" i="8" s="1"/>
  <c r="T237" i="8"/>
  <c r="N194" i="8" l="1"/>
  <c r="AV194" i="8"/>
  <c r="J195" i="8"/>
  <c r="AR194" i="8"/>
  <c r="AG270" i="8"/>
  <c r="S237" i="8"/>
  <c r="Z292" i="8"/>
  <c r="U237" i="8"/>
  <c r="Q238" i="8" s="1"/>
  <c r="AI270" i="8"/>
  <c r="AE271" i="8" s="1"/>
  <c r="AB292" i="8"/>
  <c r="X293" i="8" s="1"/>
  <c r="AT195" i="8" l="1"/>
  <c r="AQ195" i="8"/>
  <c r="K195" i="8"/>
  <c r="L195" i="8" s="1"/>
  <c r="AF271" i="8"/>
  <c r="AO271" i="8" s="1"/>
  <c r="R238" i="8"/>
  <c r="AM238" i="8" s="1"/>
  <c r="AP238" i="8" s="1"/>
  <c r="AS238" i="8" s="1"/>
  <c r="Y293" i="8"/>
  <c r="AN293" i="8" s="1"/>
  <c r="T238" i="8"/>
  <c r="N195" i="8" l="1"/>
  <c r="AG271" i="8"/>
  <c r="S238" i="8"/>
  <c r="Z293" i="8"/>
  <c r="U238" i="8"/>
  <c r="Q239" i="8" s="1"/>
  <c r="AI271" i="8"/>
  <c r="AE272" i="8" s="1"/>
  <c r="AB293" i="8"/>
  <c r="X294" i="8" s="1"/>
  <c r="AR195" i="8" l="1"/>
  <c r="J196" i="8"/>
  <c r="AV195" i="8"/>
  <c r="AF272" i="8"/>
  <c r="AO272" i="8" s="1"/>
  <c r="R239" i="8"/>
  <c r="AM239" i="8" s="1"/>
  <c r="AP239" i="8" s="1"/>
  <c r="AS239" i="8" s="1"/>
  <c r="Y294" i="8"/>
  <c r="AN294" i="8" s="1"/>
  <c r="T239" i="8"/>
  <c r="AT196" i="8" l="1"/>
  <c r="AQ196" i="8"/>
  <c r="K196" i="8"/>
  <c r="L196" i="8" s="1"/>
  <c r="AG272" i="8"/>
  <c r="Z294" i="8"/>
  <c r="S239" i="8"/>
  <c r="U239" i="8"/>
  <c r="Q240" i="8" s="1"/>
  <c r="R240" i="8" s="1"/>
  <c r="AM240" i="8" s="1"/>
  <c r="AP240" i="8" s="1"/>
  <c r="AS240" i="8" s="1"/>
  <c r="AI272" i="8"/>
  <c r="AE273" i="8" s="1"/>
  <c r="AB294" i="8"/>
  <c r="X295" i="8" s="1"/>
  <c r="N196" i="8" l="1"/>
  <c r="J197" i="8" s="1"/>
  <c r="AF273" i="8"/>
  <c r="AO273" i="8" s="1"/>
  <c r="U240" i="8"/>
  <c r="Y295" i="8"/>
  <c r="AN295" i="8" s="1"/>
  <c r="S240" i="8"/>
  <c r="T240" i="8"/>
  <c r="AT197" i="8" l="1"/>
  <c r="AV196" i="8"/>
  <c r="AR196" i="8"/>
  <c r="AQ197" i="8"/>
  <c r="K197" i="8"/>
  <c r="L197" i="8" s="1"/>
  <c r="AG273" i="8"/>
  <c r="Z295" i="8"/>
  <c r="AI273" i="8"/>
  <c r="AE274" i="8" s="1"/>
  <c r="AB295" i="8"/>
  <c r="X296" i="8" s="1"/>
  <c r="Q241" i="8"/>
  <c r="R241" i="8" s="1"/>
  <c r="N197" i="8" l="1"/>
  <c r="J198" i="8"/>
  <c r="AR197" i="8"/>
  <c r="AV197" i="8"/>
  <c r="AM241" i="8"/>
  <c r="AP241" i="8" s="1"/>
  <c r="AS241" i="8" s="1"/>
  <c r="S241" i="8"/>
  <c r="AF274" i="8"/>
  <c r="AO274" i="8" s="1"/>
  <c r="U241" i="8"/>
  <c r="Y296" i="8"/>
  <c r="AN296" i="8" s="1"/>
  <c r="T241" i="8"/>
  <c r="AT198" i="8" l="1"/>
  <c r="AQ198" i="8"/>
  <c r="K198" i="8"/>
  <c r="L198" i="8" s="1"/>
  <c r="AG274" i="8"/>
  <c r="Z296" i="8"/>
  <c r="AI274" i="8"/>
  <c r="AE275" i="8" s="1"/>
  <c r="AB296" i="8"/>
  <c r="X297" i="8" s="1"/>
  <c r="Q242" i="8"/>
  <c r="T242" i="8"/>
  <c r="N198" i="8" l="1"/>
  <c r="AV198" i="8"/>
  <c r="AR198" i="8"/>
  <c r="J199" i="8"/>
  <c r="AF275" i="8"/>
  <c r="AO275" i="8" s="1"/>
  <c r="R242" i="8"/>
  <c r="Y297" i="8"/>
  <c r="AN297" i="8" s="1"/>
  <c r="AT199" i="8" l="1"/>
  <c r="AQ199" i="8"/>
  <c r="K199" i="8"/>
  <c r="L199" i="8" s="1"/>
  <c r="N199" i="8"/>
  <c r="AM242" i="8"/>
  <c r="AP242" i="8" s="1"/>
  <c r="AS242" i="8" s="1"/>
  <c r="AG275" i="8"/>
  <c r="Z297" i="8"/>
  <c r="S242" i="8"/>
  <c r="U242" i="8"/>
  <c r="Q243" i="8" s="1"/>
  <c r="AI275" i="8"/>
  <c r="AE276" i="8" s="1"/>
  <c r="AB297" i="8"/>
  <c r="X298" i="8" s="1"/>
  <c r="J200" i="8" l="1"/>
  <c r="AV199" i="8"/>
  <c r="AR199" i="8"/>
  <c r="AF276" i="8"/>
  <c r="AO276" i="8" s="1"/>
  <c r="R243" i="8"/>
  <c r="Y298" i="8"/>
  <c r="AN298" i="8" s="1"/>
  <c r="T243" i="8"/>
  <c r="AT200" i="8" l="1"/>
  <c r="AQ200" i="8"/>
  <c r="K200" i="8"/>
  <c r="L200" i="8" s="1"/>
  <c r="N200" i="8"/>
  <c r="AM243" i="8"/>
  <c r="AP243" i="8" s="1"/>
  <c r="AS243" i="8" s="1"/>
  <c r="AG276" i="8"/>
  <c r="Z298" i="8"/>
  <c r="U243" i="8"/>
  <c r="Q244" i="8" s="1"/>
  <c r="S243" i="8"/>
  <c r="AB298" i="8"/>
  <c r="X299" i="8" s="1"/>
  <c r="Y299" i="8" s="1"/>
  <c r="AN299" i="8" s="1"/>
  <c r="AI276" i="8"/>
  <c r="AE277" i="8" s="1"/>
  <c r="T244" i="8"/>
  <c r="AV200" i="8" l="1"/>
  <c r="AR200" i="8"/>
  <c r="J201" i="8"/>
  <c r="Z299" i="8"/>
  <c r="AF277" i="8"/>
  <c r="AO277" i="8" s="1"/>
  <c r="R244" i="8"/>
  <c r="AM244" i="8" s="1"/>
  <c r="AP244" i="8" s="1"/>
  <c r="AS244" i="8" s="1"/>
  <c r="AB299" i="8"/>
  <c r="X300" i="8" s="1"/>
  <c r="AT201" i="8" l="1"/>
  <c r="AQ201" i="8"/>
  <c r="K201" i="8"/>
  <c r="L201" i="8" s="1"/>
  <c r="AG277" i="8"/>
  <c r="U244" i="8"/>
  <c r="Q245" i="8" s="1"/>
  <c r="S244" i="8"/>
  <c r="AI277" i="8"/>
  <c r="AE278" i="8" s="1"/>
  <c r="Y300" i="8"/>
  <c r="AN300" i="8" s="1"/>
  <c r="N201" i="8" l="1"/>
  <c r="J202" i="8"/>
  <c r="AV201" i="8"/>
  <c r="AR201" i="8"/>
  <c r="Z300" i="8"/>
  <c r="AF278" i="8"/>
  <c r="AO278" i="8" s="1"/>
  <c r="R245" i="8"/>
  <c r="AM245" i="8" s="1"/>
  <c r="AP245" i="8" s="1"/>
  <c r="AS245" i="8" s="1"/>
  <c r="AB300" i="8"/>
  <c r="X301" i="8" s="1"/>
  <c r="T245" i="8"/>
  <c r="AT202" i="8" l="1"/>
  <c r="AQ202" i="8"/>
  <c r="K202" i="8"/>
  <c r="L202" i="8" s="1"/>
  <c r="AG278" i="8"/>
  <c r="S245" i="8"/>
  <c r="U245" i="8"/>
  <c r="Q246" i="8" s="1"/>
  <c r="AI278" i="8"/>
  <c r="AE279" i="8" s="1"/>
  <c r="Y301" i="8"/>
  <c r="AN301" i="8" s="1"/>
  <c r="N202" i="8" l="1"/>
  <c r="AR202" i="8" s="1"/>
  <c r="Z301" i="8"/>
  <c r="AF279" i="8"/>
  <c r="AO279" i="8" s="1"/>
  <c r="R246" i="8"/>
  <c r="AB301" i="8"/>
  <c r="X302" i="8" s="1"/>
  <c r="T246" i="8"/>
  <c r="J203" i="8" l="1"/>
  <c r="AV202" i="8"/>
  <c r="AQ203" i="8"/>
  <c r="K203" i="8"/>
  <c r="L203" i="8" s="1"/>
  <c r="AM246" i="8"/>
  <c r="AP246" i="8" s="1"/>
  <c r="AS246" i="8" s="1"/>
  <c r="AG279" i="8"/>
  <c r="U246" i="8"/>
  <c r="Q247" i="8" s="1"/>
  <c r="S246" i="8"/>
  <c r="AI279" i="8"/>
  <c r="AE280" i="8" s="1"/>
  <c r="Y302" i="8"/>
  <c r="AN302" i="8" s="1"/>
  <c r="AT203" i="8" l="1"/>
  <c r="N203" i="8"/>
  <c r="AR203" i="8" s="1"/>
  <c r="Z302" i="8"/>
  <c r="AF280" i="8"/>
  <c r="AO280" i="8" s="1"/>
  <c r="R247" i="8"/>
  <c r="AB302" i="8"/>
  <c r="X303" i="8" s="1"/>
  <c r="T247" i="8"/>
  <c r="J204" i="8" l="1"/>
  <c r="AV203" i="8"/>
  <c r="AQ204" i="8"/>
  <c r="K204" i="8"/>
  <c r="N204" i="8" s="1"/>
  <c r="L204" i="8"/>
  <c r="AM247" i="8"/>
  <c r="AP247" i="8" s="1"/>
  <c r="AS247" i="8" s="1"/>
  <c r="AG280" i="8"/>
  <c r="S247" i="8"/>
  <c r="U247" i="8"/>
  <c r="Q248" i="8" s="1"/>
  <c r="R248" i="8" s="1"/>
  <c r="AI280" i="8"/>
  <c r="AE281" i="8" s="1"/>
  <c r="Y303" i="8"/>
  <c r="AN303" i="8" s="1"/>
  <c r="AT204" i="8" l="1"/>
  <c r="AR204" i="8"/>
  <c r="AV204" i="8"/>
  <c r="J205" i="8"/>
  <c r="AM248" i="8"/>
  <c r="AP248" i="8" s="1"/>
  <c r="AS248" i="8" s="1"/>
  <c r="Z303" i="8"/>
  <c r="S248" i="8"/>
  <c r="AF281" i="8"/>
  <c r="AO281" i="8" s="1"/>
  <c r="U248" i="8"/>
  <c r="AB303" i="8"/>
  <c r="X304" i="8" s="1"/>
  <c r="T248" i="8"/>
  <c r="AT205" i="8" l="1"/>
  <c r="AQ205" i="8"/>
  <c r="K205" i="8"/>
  <c r="AG281" i="8"/>
  <c r="AI281" i="8"/>
  <c r="AE282" i="8" s="1"/>
  <c r="Y304" i="8"/>
  <c r="AN304" i="8" s="1"/>
  <c r="Q249" i="8"/>
  <c r="L205" i="8" l="1"/>
  <c r="N205" i="8"/>
  <c r="Z304" i="8"/>
  <c r="AB304" i="8"/>
  <c r="X305" i="8" s="1"/>
  <c r="Y305" i="8" s="1"/>
  <c r="AN305" i="8" s="1"/>
  <c r="AF282" i="8"/>
  <c r="AO282" i="8" s="1"/>
  <c r="R249" i="8"/>
  <c r="T249" i="8"/>
  <c r="AR205" i="8" l="1"/>
  <c r="AV205" i="8"/>
  <c r="J206" i="8"/>
  <c r="AM249" i="8"/>
  <c r="AP249" i="8" s="1"/>
  <c r="AS249" i="8" s="1"/>
  <c r="AG282" i="8"/>
  <c r="Z305" i="8"/>
  <c r="S249" i="8"/>
  <c r="U249" i="8"/>
  <c r="Q250" i="8" s="1"/>
  <c r="R250" i="8" s="1"/>
  <c r="AI282" i="8"/>
  <c r="AE283" i="8" s="1"/>
  <c r="AB305" i="8"/>
  <c r="X306" i="8" s="1"/>
  <c r="AT206" i="8" l="1"/>
  <c r="AQ206" i="8"/>
  <c r="K206" i="8"/>
  <c r="AM250" i="8"/>
  <c r="AP250" i="8" s="1"/>
  <c r="AS250" i="8" s="1"/>
  <c r="S250" i="8"/>
  <c r="AF283" i="8"/>
  <c r="AO283" i="8" s="1"/>
  <c r="U250" i="8"/>
  <c r="Y306" i="8"/>
  <c r="AN306" i="8" s="1"/>
  <c r="T250" i="8"/>
  <c r="L206" i="8" l="1"/>
  <c r="N206" i="8"/>
  <c r="AG283" i="8"/>
  <c r="Z306" i="8"/>
  <c r="AI283" i="8"/>
  <c r="AE284" i="8" s="1"/>
  <c r="AB306" i="8"/>
  <c r="X307" i="8" s="1"/>
  <c r="Q251" i="8"/>
  <c r="R251" i="8" s="1"/>
  <c r="AR206" i="8" l="1"/>
  <c r="AV206" i="8"/>
  <c r="J207" i="8"/>
  <c r="AM251" i="8"/>
  <c r="AP251" i="8" s="1"/>
  <c r="AS251" i="8" s="1"/>
  <c r="S251" i="8"/>
  <c r="AF284" i="8"/>
  <c r="AO284" i="8" s="1"/>
  <c r="U251" i="8"/>
  <c r="Y307" i="8"/>
  <c r="AN307" i="8" s="1"/>
  <c r="T251" i="8"/>
  <c r="AT207" i="8" l="1"/>
  <c r="AQ207" i="8"/>
  <c r="K207" i="8"/>
  <c r="L207" i="8" s="1"/>
  <c r="AG284" i="8"/>
  <c r="Z307" i="8"/>
  <c r="AI284" i="8"/>
  <c r="AE285" i="8" s="1"/>
  <c r="AB307" i="8"/>
  <c r="X308" i="8" s="1"/>
  <c r="Q252" i="8"/>
  <c r="N207" i="8" l="1"/>
  <c r="AR207" i="8"/>
  <c r="AV207" i="8"/>
  <c r="J208" i="8"/>
  <c r="AF285" i="8"/>
  <c r="AO285" i="8" s="1"/>
  <c r="R252" i="8"/>
  <c r="AM252" i="8" s="1"/>
  <c r="AP252" i="8" s="1"/>
  <c r="AS252" i="8" s="1"/>
  <c r="Y308" i="8"/>
  <c r="AN308" i="8" s="1"/>
  <c r="T252" i="8"/>
  <c r="AT208" i="8" l="1"/>
  <c r="AQ208" i="8"/>
  <c r="K208" i="8"/>
  <c r="L208" i="8" s="1"/>
  <c r="AG285" i="8"/>
  <c r="Z308" i="8"/>
  <c r="S252" i="8"/>
  <c r="U252" i="8"/>
  <c r="Q253" i="8" s="1"/>
  <c r="AI285" i="8"/>
  <c r="AE286" i="8" s="1"/>
  <c r="AB308" i="8"/>
  <c r="X309" i="8" s="1"/>
  <c r="N208" i="8" l="1"/>
  <c r="AF286" i="8"/>
  <c r="AO286" i="8" s="1"/>
  <c r="R253" i="8"/>
  <c r="AM253" i="8" s="1"/>
  <c r="AP253" i="8" s="1"/>
  <c r="AS253" i="8" s="1"/>
  <c r="Y309" i="8"/>
  <c r="AN309" i="8" s="1"/>
  <c r="T253" i="8"/>
  <c r="AV208" i="8" l="1"/>
  <c r="J209" i="8"/>
  <c r="AR208" i="8"/>
  <c r="AG286" i="8"/>
  <c r="Z309" i="8"/>
  <c r="S253" i="8"/>
  <c r="U253" i="8"/>
  <c r="Q254" i="8" s="1"/>
  <c r="AI286" i="8"/>
  <c r="AE287" i="8" s="1"/>
  <c r="AB309" i="8"/>
  <c r="X310" i="8" s="1"/>
  <c r="AT209" i="8" l="1"/>
  <c r="AQ209" i="8"/>
  <c r="K209" i="8"/>
  <c r="L209" i="8" s="1"/>
  <c r="AF287" i="8"/>
  <c r="AO287" i="8" s="1"/>
  <c r="R254" i="8"/>
  <c r="AM254" i="8" s="1"/>
  <c r="AP254" i="8" s="1"/>
  <c r="AS254" i="8" s="1"/>
  <c r="Y310" i="8"/>
  <c r="AN310" i="8" s="1"/>
  <c r="T254" i="8"/>
  <c r="N209" i="8" l="1"/>
  <c r="AV209" i="8"/>
  <c r="AR209" i="8"/>
  <c r="J210" i="8"/>
  <c r="AG287" i="8"/>
  <c r="Z310" i="8"/>
  <c r="S254" i="8"/>
  <c r="U254" i="8"/>
  <c r="Q255" i="8" s="1"/>
  <c r="R255" i="8" s="1"/>
  <c r="AM255" i="8" s="1"/>
  <c r="AP255" i="8" s="1"/>
  <c r="AS255" i="8" s="1"/>
  <c r="AI287" i="8"/>
  <c r="AE288" i="8" s="1"/>
  <c r="AB310" i="8"/>
  <c r="X311" i="8" s="1"/>
  <c r="AT210" i="8" l="1"/>
  <c r="AQ210" i="8"/>
  <c r="K210" i="8"/>
  <c r="L210" i="8" s="1"/>
  <c r="S255" i="8"/>
  <c r="AF288" i="8"/>
  <c r="AO288" i="8" s="1"/>
  <c r="U255" i="8"/>
  <c r="Y311" i="8"/>
  <c r="AN311" i="8" s="1"/>
  <c r="T255" i="8"/>
  <c r="N210" i="8" l="1"/>
  <c r="J211" i="8"/>
  <c r="AR210" i="8"/>
  <c r="AV210" i="8"/>
  <c r="AG288" i="8"/>
  <c r="Z311" i="8"/>
  <c r="AI288" i="8"/>
  <c r="AE289" i="8" s="1"/>
  <c r="AB311" i="8"/>
  <c r="X312" i="8" s="1"/>
  <c r="Q256" i="8"/>
  <c r="AT211" i="8" l="1"/>
  <c r="AQ211" i="8"/>
  <c r="K211" i="8"/>
  <c r="L211" i="8" s="1"/>
  <c r="AF289" i="8"/>
  <c r="AO289" i="8" s="1"/>
  <c r="R256" i="8"/>
  <c r="Y312" i="8"/>
  <c r="AN312" i="8" s="1"/>
  <c r="T256" i="8"/>
  <c r="N211" i="8" l="1"/>
  <c r="AR211" i="8"/>
  <c r="AV211" i="8"/>
  <c r="J212" i="8"/>
  <c r="AM256" i="8"/>
  <c r="AP256" i="8" s="1"/>
  <c r="AS256" i="8" s="1"/>
  <c r="AG289" i="8"/>
  <c r="S256" i="8"/>
  <c r="Z312" i="8"/>
  <c r="U256" i="8"/>
  <c r="Q257" i="8" s="1"/>
  <c r="R257" i="8" s="1"/>
  <c r="AI289" i="8"/>
  <c r="AE290" i="8" s="1"/>
  <c r="AB312" i="8"/>
  <c r="X313" i="8" s="1"/>
  <c r="T257" i="8"/>
  <c r="AT212" i="8" l="1"/>
  <c r="AQ212" i="8"/>
  <c r="K212" i="8"/>
  <c r="AM257" i="8"/>
  <c r="AP257" i="8" s="1"/>
  <c r="AS257" i="8" s="1"/>
  <c r="S257" i="8"/>
  <c r="AF290" i="8"/>
  <c r="AO290" i="8" s="1"/>
  <c r="U257" i="8"/>
  <c r="Y313" i="8"/>
  <c r="AN313" i="8" s="1"/>
  <c r="L212" i="8" l="1"/>
  <c r="N212" i="8"/>
  <c r="AG290" i="8"/>
  <c r="Z313" i="8"/>
  <c r="AI290" i="8"/>
  <c r="AE291" i="8" s="1"/>
  <c r="AB313" i="8"/>
  <c r="X314" i="8" s="1"/>
  <c r="Q258" i="8"/>
  <c r="J213" i="8" l="1"/>
  <c r="AR212" i="8"/>
  <c r="AV212" i="8"/>
  <c r="AF291" i="8"/>
  <c r="AO291" i="8" s="1"/>
  <c r="R258" i="8"/>
  <c r="Y314" i="8"/>
  <c r="AN314" i="8" s="1"/>
  <c r="T258" i="8"/>
  <c r="AT213" i="8" l="1"/>
  <c r="AQ213" i="8"/>
  <c r="K213" i="8"/>
  <c r="L213" i="8" s="1"/>
  <c r="N213" i="8"/>
  <c r="AM258" i="8"/>
  <c r="AP258" i="8" s="1"/>
  <c r="AS258" i="8" s="1"/>
  <c r="AG291" i="8"/>
  <c r="Z314" i="8"/>
  <c r="U258" i="8"/>
  <c r="Q259" i="8" s="1"/>
  <c r="AI291" i="8"/>
  <c r="AE292" i="8" s="1"/>
  <c r="S258" i="8"/>
  <c r="AB314" i="8"/>
  <c r="X315" i="8" s="1"/>
  <c r="J214" i="8" l="1"/>
  <c r="AR213" i="8"/>
  <c r="AV213" i="8"/>
  <c r="AF292" i="8"/>
  <c r="AO292" i="8" s="1"/>
  <c r="R259" i="8"/>
  <c r="AM259" i="8" s="1"/>
  <c r="AP259" i="8" s="1"/>
  <c r="AS259" i="8" s="1"/>
  <c r="Y315" i="8"/>
  <c r="AN315" i="8" s="1"/>
  <c r="T259" i="8"/>
  <c r="AT214" i="8" l="1"/>
  <c r="AQ214" i="8"/>
  <c r="K214" i="8"/>
  <c r="L214" i="8" s="1"/>
  <c r="AG292" i="8"/>
  <c r="Z315" i="8"/>
  <c r="S259" i="8"/>
  <c r="U259" i="8"/>
  <c r="Q260" i="8" s="1"/>
  <c r="AI292" i="8"/>
  <c r="AE293" i="8" s="1"/>
  <c r="AB315" i="8"/>
  <c r="X316" i="8" s="1"/>
  <c r="N214" i="8" l="1"/>
  <c r="AR214" i="8"/>
  <c r="AV214" i="8"/>
  <c r="J215" i="8"/>
  <c r="AF293" i="8"/>
  <c r="AO293" i="8" s="1"/>
  <c r="R260" i="8"/>
  <c r="Y316" i="8"/>
  <c r="AN316" i="8" s="1"/>
  <c r="T260" i="8"/>
  <c r="AT215" i="8" l="1"/>
  <c r="AQ215" i="8"/>
  <c r="K215" i="8"/>
  <c r="L215" i="8" s="1"/>
  <c r="AM260" i="8"/>
  <c r="AP260" i="8" s="1"/>
  <c r="AS260" i="8" s="1"/>
  <c r="AG293" i="8"/>
  <c r="Z316" i="8"/>
  <c r="S260" i="8"/>
  <c r="U260" i="8"/>
  <c r="Q261" i="8" s="1"/>
  <c r="AI293" i="8"/>
  <c r="AE294" i="8" s="1"/>
  <c r="AB316" i="8"/>
  <c r="X317" i="8" s="1"/>
  <c r="N215" i="8" l="1"/>
  <c r="J216" i="8"/>
  <c r="AR215" i="8"/>
  <c r="AV215" i="8"/>
  <c r="AF294" i="8"/>
  <c r="AO294" i="8" s="1"/>
  <c r="R261" i="8"/>
  <c r="AM261" i="8" s="1"/>
  <c r="AP261" i="8" s="1"/>
  <c r="AS261" i="8" s="1"/>
  <c r="Y317" i="8"/>
  <c r="AN317" i="8" s="1"/>
  <c r="T261" i="8"/>
  <c r="AT216" i="8" l="1"/>
  <c r="AQ216" i="8"/>
  <c r="K216" i="8"/>
  <c r="L216" i="8" s="1"/>
  <c r="AG294" i="8"/>
  <c r="S261" i="8"/>
  <c r="Z317" i="8"/>
  <c r="U261" i="8"/>
  <c r="Q262" i="8" s="1"/>
  <c r="R262" i="8" s="1"/>
  <c r="AM262" i="8" s="1"/>
  <c r="AP262" i="8" s="1"/>
  <c r="AS262" i="8" s="1"/>
  <c r="AI294" i="8"/>
  <c r="AE295" i="8" s="1"/>
  <c r="AB317" i="8"/>
  <c r="X318" i="8" s="1"/>
  <c r="N216" i="8" l="1"/>
  <c r="J217" i="8"/>
  <c r="AR216" i="8"/>
  <c r="AV216" i="8"/>
  <c r="AF295" i="8"/>
  <c r="AO295" i="8" s="1"/>
  <c r="U262" i="8"/>
  <c r="Y318" i="8"/>
  <c r="AN318" i="8" s="1"/>
  <c r="S262" i="8"/>
  <c r="T262" i="8"/>
  <c r="AT217" i="8" l="1"/>
  <c r="AQ217" i="8"/>
  <c r="K217" i="8"/>
  <c r="L217" i="8" s="1"/>
  <c r="AG295" i="8"/>
  <c r="Z318" i="8"/>
  <c r="AI295" i="8"/>
  <c r="AE296" i="8" s="1"/>
  <c r="AB318" i="8"/>
  <c r="X319" i="8" s="1"/>
  <c r="Q263" i="8"/>
  <c r="N217" i="8" l="1"/>
  <c r="AF296" i="8"/>
  <c r="AO296" i="8" s="1"/>
  <c r="R263" i="8"/>
  <c r="AM263" i="8" s="1"/>
  <c r="AP263" i="8" s="1"/>
  <c r="AS263" i="8" s="1"/>
  <c r="Y319" i="8"/>
  <c r="AN319" i="8" s="1"/>
  <c r="T263" i="8"/>
  <c r="J218" i="8" l="1"/>
  <c r="AR217" i="8"/>
  <c r="AV217" i="8"/>
  <c r="AG296" i="8"/>
  <c r="U263" i="8"/>
  <c r="Q264" i="8" s="1"/>
  <c r="R264" i="8" s="1"/>
  <c r="AM264" i="8" s="1"/>
  <c r="AP264" i="8" s="1"/>
  <c r="AS264" i="8" s="1"/>
  <c r="Z319" i="8"/>
  <c r="S263" i="8"/>
  <c r="AI296" i="8"/>
  <c r="AE297" i="8" s="1"/>
  <c r="AB319" i="8"/>
  <c r="X320" i="8" s="1"/>
  <c r="T264" i="8"/>
  <c r="AT218" i="8" l="1"/>
  <c r="AQ218" i="8"/>
  <c r="K218" i="8"/>
  <c r="L218" i="8" s="1"/>
  <c r="S264" i="8"/>
  <c r="AF297" i="8"/>
  <c r="AO297" i="8" s="1"/>
  <c r="U264" i="8"/>
  <c r="Y320" i="8"/>
  <c r="AN320" i="8" s="1"/>
  <c r="N218" i="8" l="1"/>
  <c r="AG297" i="8"/>
  <c r="Z320" i="8"/>
  <c r="AB320" i="8"/>
  <c r="X321" i="8" s="1"/>
  <c r="Y321" i="8" s="1"/>
  <c r="AN321" i="8" s="1"/>
  <c r="AI297" i="8"/>
  <c r="AE298" i="8" s="1"/>
  <c r="Q265" i="8"/>
  <c r="J219" i="8" l="1"/>
  <c r="AR218" i="8"/>
  <c r="AV218" i="8"/>
  <c r="Z321" i="8"/>
  <c r="AF298" i="8"/>
  <c r="AO298" i="8" s="1"/>
  <c r="R265" i="8"/>
  <c r="AM265" i="8" s="1"/>
  <c r="AP265" i="8" s="1"/>
  <c r="AS265" i="8" s="1"/>
  <c r="AB321" i="8"/>
  <c r="X322" i="8" s="1"/>
  <c r="T265" i="8"/>
  <c r="AT219" i="8" l="1"/>
  <c r="AQ219" i="8"/>
  <c r="K219" i="8"/>
  <c r="L219" i="8" s="1"/>
  <c r="AG298" i="8"/>
  <c r="S265" i="8"/>
  <c r="U265" i="8"/>
  <c r="Q266" i="8" s="1"/>
  <c r="AI298" i="8"/>
  <c r="AE299" i="8" s="1"/>
  <c r="Y322" i="8"/>
  <c r="AN322" i="8" s="1"/>
  <c r="N219" i="8" l="1"/>
  <c r="Z322" i="8"/>
  <c r="AB322" i="8"/>
  <c r="X323" i="8" s="1"/>
  <c r="Y323" i="8" s="1"/>
  <c r="AN323" i="8" s="1"/>
  <c r="AF299" i="8"/>
  <c r="AO299" i="8" s="1"/>
  <c r="R266" i="8"/>
  <c r="AM266" i="8" s="1"/>
  <c r="AP266" i="8" s="1"/>
  <c r="AS266" i="8" s="1"/>
  <c r="T266" i="8"/>
  <c r="J220" i="8" l="1"/>
  <c r="AR219" i="8"/>
  <c r="AV219" i="8"/>
  <c r="AG299" i="8"/>
  <c r="U266" i="8"/>
  <c r="Q267" i="8" s="1"/>
  <c r="Z323" i="8"/>
  <c r="S266" i="8"/>
  <c r="AB323" i="8"/>
  <c r="X324" i="8" s="1"/>
  <c r="Y324" i="8" s="1"/>
  <c r="AN324" i="8" s="1"/>
  <c r="AI299" i="8"/>
  <c r="AE300" i="8" s="1"/>
  <c r="AT220" i="8" l="1"/>
  <c r="AQ220" i="8"/>
  <c r="K220" i="8"/>
  <c r="L220" i="8" s="1"/>
  <c r="Z324" i="8"/>
  <c r="AF300" i="8"/>
  <c r="AO300" i="8" s="1"/>
  <c r="R267" i="8"/>
  <c r="AB324" i="8"/>
  <c r="X325" i="8" s="1"/>
  <c r="T267" i="8"/>
  <c r="N220" i="8" l="1"/>
  <c r="AR220" i="8"/>
  <c r="AV220" i="8"/>
  <c r="J221" i="8"/>
  <c r="AM267" i="8"/>
  <c r="AP267" i="8" s="1"/>
  <c r="AS267" i="8" s="1"/>
  <c r="AG300" i="8"/>
  <c r="S267" i="8"/>
  <c r="U267" i="8"/>
  <c r="Q268" i="8" s="1"/>
  <c r="AI300" i="8"/>
  <c r="AE301" i="8" s="1"/>
  <c r="Y325" i="8"/>
  <c r="AN325" i="8" s="1"/>
  <c r="AT221" i="8" l="1"/>
  <c r="AQ221" i="8"/>
  <c r="K221" i="8"/>
  <c r="L221" i="8" s="1"/>
  <c r="Z325" i="8"/>
  <c r="AF301" i="8"/>
  <c r="AO301" i="8" s="1"/>
  <c r="R268" i="8"/>
  <c r="AM268" i="8" s="1"/>
  <c r="AP268" i="8" s="1"/>
  <c r="AS268" i="8" s="1"/>
  <c r="AB325" i="8"/>
  <c r="X326" i="8" s="1"/>
  <c r="T268" i="8"/>
  <c r="N221" i="8" l="1"/>
  <c r="AG301" i="8"/>
  <c r="S268" i="8"/>
  <c r="U268" i="8"/>
  <c r="Q269" i="8" s="1"/>
  <c r="AI301" i="8"/>
  <c r="AE302" i="8" s="1"/>
  <c r="Y326" i="8"/>
  <c r="AN326" i="8" s="1"/>
  <c r="J222" i="8" l="1"/>
  <c r="AR221" i="8"/>
  <c r="AV221" i="8"/>
  <c r="Z326" i="8"/>
  <c r="AF302" i="8"/>
  <c r="AO302" i="8" s="1"/>
  <c r="R269" i="8"/>
  <c r="AM269" i="8" s="1"/>
  <c r="AP269" i="8" s="1"/>
  <c r="AS269" i="8" s="1"/>
  <c r="AB326" i="8"/>
  <c r="X327" i="8" s="1"/>
  <c r="T269" i="8"/>
  <c r="AT222" i="8" l="1"/>
  <c r="AQ222" i="8"/>
  <c r="K222" i="8"/>
  <c r="L222" i="8" s="1"/>
  <c r="AG302" i="8"/>
  <c r="U269" i="8"/>
  <c r="Q270" i="8" s="1"/>
  <c r="S269" i="8"/>
  <c r="AI302" i="8"/>
  <c r="AE303" i="8" s="1"/>
  <c r="Y327" i="8"/>
  <c r="AN327" i="8" s="1"/>
  <c r="N222" i="8" l="1"/>
  <c r="Z327" i="8"/>
  <c r="AF303" i="8"/>
  <c r="AO303" i="8" s="1"/>
  <c r="R270" i="8"/>
  <c r="AM270" i="8" s="1"/>
  <c r="AP270" i="8" s="1"/>
  <c r="AS270" i="8" s="1"/>
  <c r="AB327" i="8"/>
  <c r="X328" i="8" s="1"/>
  <c r="T270" i="8"/>
  <c r="J223" i="8" l="1"/>
  <c r="AR222" i="8"/>
  <c r="AV222" i="8"/>
  <c r="AG303" i="8"/>
  <c r="S270" i="8"/>
  <c r="U270" i="8"/>
  <c r="Q271" i="8" s="1"/>
  <c r="AI303" i="8"/>
  <c r="AE304" i="8" s="1"/>
  <c r="Y328" i="8"/>
  <c r="AN328" i="8" s="1"/>
  <c r="AT223" i="8" l="1"/>
  <c r="AQ223" i="8"/>
  <c r="K223" i="8"/>
  <c r="L223" i="8" s="1"/>
  <c r="Z328" i="8"/>
  <c r="AB328" i="8"/>
  <c r="X329" i="8" s="1"/>
  <c r="Y329" i="8" s="1"/>
  <c r="AN329" i="8" s="1"/>
  <c r="AF304" i="8"/>
  <c r="AO304" i="8" s="1"/>
  <c r="R271" i="8"/>
  <c r="T271" i="8"/>
  <c r="N223" i="8" l="1"/>
  <c r="AM271" i="8"/>
  <c r="AP271" i="8" s="1"/>
  <c r="AS271" i="8" s="1"/>
  <c r="AG304" i="8"/>
  <c r="Z329" i="8"/>
  <c r="S271" i="8"/>
  <c r="U271" i="8"/>
  <c r="Q272" i="8" s="1"/>
  <c r="AB329" i="8"/>
  <c r="X330" i="8" s="1"/>
  <c r="Y330" i="8" s="1"/>
  <c r="AN330" i="8" s="1"/>
  <c r="AI304" i="8"/>
  <c r="AE305" i="8" s="1"/>
  <c r="J224" i="8" l="1"/>
  <c r="AR223" i="8"/>
  <c r="AV223" i="8"/>
  <c r="Z330" i="8"/>
  <c r="AF305" i="8"/>
  <c r="AO305" i="8" s="1"/>
  <c r="R272" i="8"/>
  <c r="AB330" i="8"/>
  <c r="X331" i="8" s="1"/>
  <c r="T272" i="8"/>
  <c r="AT224" i="8" l="1"/>
  <c r="AQ224" i="8"/>
  <c r="K224" i="8"/>
  <c r="L224" i="8" s="1"/>
  <c r="AM272" i="8"/>
  <c r="AP272" i="8" s="1"/>
  <c r="AS272" i="8" s="1"/>
  <c r="AG305" i="8"/>
  <c r="U272" i="8"/>
  <c r="Q273" i="8" s="1"/>
  <c r="S272" i="8"/>
  <c r="AI305" i="8"/>
  <c r="AE306" i="8" s="1"/>
  <c r="Y331" i="8"/>
  <c r="AN331" i="8" s="1"/>
  <c r="N224" i="8" l="1"/>
  <c r="Z331" i="8"/>
  <c r="AF306" i="8"/>
  <c r="AO306" i="8" s="1"/>
  <c r="R273" i="8"/>
  <c r="AB331" i="8"/>
  <c r="X332" i="8" s="1"/>
  <c r="T273" i="8"/>
  <c r="J225" i="8" l="1"/>
  <c r="AR224" i="8"/>
  <c r="AV224" i="8"/>
  <c r="AM273" i="8"/>
  <c r="AP273" i="8" s="1"/>
  <c r="AS273" i="8" s="1"/>
  <c r="AG306" i="8"/>
  <c r="S273" i="8"/>
  <c r="U273" i="8"/>
  <c r="Q274" i="8" s="1"/>
  <c r="R274" i="8" s="1"/>
  <c r="AI306" i="8"/>
  <c r="AE307" i="8" s="1"/>
  <c r="Y332" i="8"/>
  <c r="AN332" i="8" s="1"/>
  <c r="T274" i="8"/>
  <c r="AT225" i="8" l="1"/>
  <c r="AQ225" i="8"/>
  <c r="K225" i="8"/>
  <c r="L225" i="8" s="1"/>
  <c r="AM274" i="8"/>
  <c r="AP274" i="8" s="1"/>
  <c r="AS274" i="8" s="1"/>
  <c r="Z332" i="8"/>
  <c r="S274" i="8"/>
  <c r="AB332" i="8"/>
  <c r="X333" i="8" s="1"/>
  <c r="Y333" i="8" s="1"/>
  <c r="AN333" i="8" s="1"/>
  <c r="AF307" i="8"/>
  <c r="AO307" i="8" s="1"/>
  <c r="U274" i="8"/>
  <c r="N225" i="8" l="1"/>
  <c r="J226" i="8"/>
  <c r="AV225" i="8"/>
  <c r="AR225" i="8"/>
  <c r="AG307" i="8"/>
  <c r="Z333" i="8"/>
  <c r="AI307" i="8"/>
  <c r="AE308" i="8" s="1"/>
  <c r="AB333" i="8"/>
  <c r="X334" i="8" s="1"/>
  <c r="Q275" i="8"/>
  <c r="AT226" i="8" l="1"/>
  <c r="AQ226" i="8"/>
  <c r="K226" i="8"/>
  <c r="L226" i="8" s="1"/>
  <c r="AF308" i="8"/>
  <c r="AO308" i="8" s="1"/>
  <c r="R275" i="8"/>
  <c r="AM275" i="8" s="1"/>
  <c r="AP275" i="8" s="1"/>
  <c r="AS275" i="8" s="1"/>
  <c r="Y334" i="8"/>
  <c r="AN334" i="8" s="1"/>
  <c r="T275" i="8"/>
  <c r="N226" i="8" l="1"/>
  <c r="AG308" i="8"/>
  <c r="Z334" i="8"/>
  <c r="S275" i="8"/>
  <c r="U275" i="8"/>
  <c r="Q276" i="8" s="1"/>
  <c r="AI308" i="8"/>
  <c r="AE309" i="8" s="1"/>
  <c r="AB334" i="8"/>
  <c r="X335" i="8" s="1"/>
  <c r="AR226" i="8" l="1"/>
  <c r="AV226" i="8"/>
  <c r="J227" i="8"/>
  <c r="AF309" i="8"/>
  <c r="AO309" i="8" s="1"/>
  <c r="R276" i="8"/>
  <c r="Y335" i="8"/>
  <c r="AN335" i="8" s="1"/>
  <c r="T276" i="8"/>
  <c r="AT227" i="8" l="1"/>
  <c r="AQ227" i="8"/>
  <c r="K227" i="8"/>
  <c r="L227" i="8" s="1"/>
  <c r="N227" i="8"/>
  <c r="AM276" i="8"/>
  <c r="AP276" i="8" s="1"/>
  <c r="AS276" i="8" s="1"/>
  <c r="AG309" i="8"/>
  <c r="Z335" i="8"/>
  <c r="S276" i="8"/>
  <c r="AI309" i="8"/>
  <c r="AE310" i="8" s="1"/>
  <c r="U276" i="8"/>
  <c r="Q277" i="8" s="1"/>
  <c r="AB335" i="8"/>
  <c r="X336" i="8" s="1"/>
  <c r="AT228" i="8" l="1"/>
  <c r="J228" i="8"/>
  <c r="AR227" i="8"/>
  <c r="AV227" i="8"/>
  <c r="AF310" i="8"/>
  <c r="AO310" i="8" s="1"/>
  <c r="R277" i="8"/>
  <c r="AM277" i="8" s="1"/>
  <c r="AP277" i="8" s="1"/>
  <c r="AS277" i="8" s="1"/>
  <c r="Y336" i="8"/>
  <c r="AN336" i="8" s="1"/>
  <c r="T277" i="8"/>
  <c r="AQ228" i="8" l="1"/>
  <c r="K228" i="8"/>
  <c r="L228" i="8" s="1"/>
  <c r="AG310" i="8"/>
  <c r="Z336" i="8"/>
  <c r="S277" i="8"/>
  <c r="AI310" i="8"/>
  <c r="AE311" i="8" s="1"/>
  <c r="U277" i="8"/>
  <c r="Q278" i="8" s="1"/>
  <c r="AB336" i="8"/>
  <c r="X337" i="8" s="1"/>
  <c r="T278" i="8"/>
  <c r="N228" i="8" l="1"/>
  <c r="AF311" i="8"/>
  <c r="AO311" i="8" s="1"/>
  <c r="R278" i="8"/>
  <c r="Y337" i="8"/>
  <c r="AN337" i="8" s="1"/>
  <c r="AR228" i="8" l="1"/>
  <c r="AV228" i="8"/>
  <c r="J229" i="8"/>
  <c r="AM278" i="8"/>
  <c r="AP278" i="8" s="1"/>
  <c r="AS278" i="8" s="1"/>
  <c r="AG311" i="8"/>
  <c r="Z337" i="8"/>
  <c r="S278" i="8"/>
  <c r="AI311" i="8"/>
  <c r="AE312" i="8" s="1"/>
  <c r="U278" i="8"/>
  <c r="Q279" i="8" s="1"/>
  <c r="R279" i="8" s="1"/>
  <c r="AB337" i="8"/>
  <c r="X338" i="8" s="1"/>
  <c r="AT229" i="8" l="1"/>
  <c r="AQ229" i="8"/>
  <c r="K229" i="8"/>
  <c r="L229" i="8" s="1"/>
  <c r="AM279" i="8"/>
  <c r="AP279" i="8" s="1"/>
  <c r="AS279" i="8" s="1"/>
  <c r="AF312" i="8"/>
  <c r="AO312" i="8" s="1"/>
  <c r="U279" i="8"/>
  <c r="Y338" i="8"/>
  <c r="AN338" i="8" s="1"/>
  <c r="S279" i="8"/>
  <c r="T279" i="8"/>
  <c r="N229" i="8" l="1"/>
  <c r="AR229" i="8"/>
  <c r="AV229" i="8"/>
  <c r="J230" i="8"/>
  <c r="AG312" i="8"/>
  <c r="Z338" i="8"/>
  <c r="AI312" i="8"/>
  <c r="AE313" i="8" s="1"/>
  <c r="AB338" i="8"/>
  <c r="X339" i="8" s="1"/>
  <c r="Q280" i="8"/>
  <c r="R280" i="8" s="1"/>
  <c r="AM280" i="8" s="1"/>
  <c r="AP280" i="8" s="1"/>
  <c r="AS280" i="8" s="1"/>
  <c r="AT230" i="8" l="1"/>
  <c r="AQ230" i="8"/>
  <c r="K230" i="8"/>
  <c r="L230" i="8" s="1"/>
  <c r="S280" i="8"/>
  <c r="AF313" i="8"/>
  <c r="AO313" i="8" s="1"/>
  <c r="U280" i="8"/>
  <c r="Y339" i="8"/>
  <c r="AN339" i="8" s="1"/>
  <c r="T280" i="8"/>
  <c r="N230" i="8" l="1"/>
  <c r="AG313" i="8"/>
  <c r="Z339" i="8"/>
  <c r="AB339" i="8"/>
  <c r="X340" i="8" s="1"/>
  <c r="Y340" i="8" s="1"/>
  <c r="AN340" i="8" s="1"/>
  <c r="AI313" i="8"/>
  <c r="AE314" i="8" s="1"/>
  <c r="Q281" i="8"/>
  <c r="R281" i="8" s="1"/>
  <c r="J231" i="8" l="1"/>
  <c r="AR230" i="8"/>
  <c r="AV230" i="8"/>
  <c r="AM281" i="8"/>
  <c r="AP281" i="8" s="1"/>
  <c r="AS281" i="8" s="1"/>
  <c r="Z340" i="8"/>
  <c r="S281" i="8"/>
  <c r="AF314" i="8"/>
  <c r="AO314" i="8" s="1"/>
  <c r="U281" i="8"/>
  <c r="AB340" i="8"/>
  <c r="X341" i="8" s="1"/>
  <c r="T281" i="8"/>
  <c r="AT231" i="8" l="1"/>
  <c r="AQ231" i="8"/>
  <c r="K231" i="8"/>
  <c r="L231" i="8" s="1"/>
  <c r="N231" i="8"/>
  <c r="AG314" i="8"/>
  <c r="AI314" i="8"/>
  <c r="AE315" i="8" s="1"/>
  <c r="Y341" i="8"/>
  <c r="AN341" i="8" s="1"/>
  <c r="Q282" i="8"/>
  <c r="R282" i="8" s="1"/>
  <c r="J232" i="8" l="1"/>
  <c r="AR231" i="8"/>
  <c r="AV231" i="8"/>
  <c r="AM282" i="8"/>
  <c r="AP282" i="8" s="1"/>
  <c r="AS282" i="8" s="1"/>
  <c r="Z341" i="8"/>
  <c r="AF315" i="8"/>
  <c r="AO315" i="8" s="1"/>
  <c r="U282" i="8"/>
  <c r="AB341" i="8"/>
  <c r="X342" i="8" s="1"/>
  <c r="S282" i="8"/>
  <c r="T282" i="8"/>
  <c r="AT232" i="8" l="1"/>
  <c r="AQ232" i="8"/>
  <c r="K232" i="8"/>
  <c r="L232" i="8" s="1"/>
  <c r="AG315" i="8"/>
  <c r="AI315" i="8"/>
  <c r="AE316" i="8" s="1"/>
  <c r="Y342" i="8"/>
  <c r="AN342" i="8" s="1"/>
  <c r="Q283" i="8"/>
  <c r="N232" i="8" l="1"/>
  <c r="J233" i="8"/>
  <c r="AR232" i="8"/>
  <c r="AV232" i="8"/>
  <c r="Z342" i="8"/>
  <c r="AF316" i="8"/>
  <c r="AO316" i="8" s="1"/>
  <c r="R283" i="8"/>
  <c r="AB342" i="8"/>
  <c r="X343" i="8" s="1"/>
  <c r="T283" i="8"/>
  <c r="AT233" i="8" l="1"/>
  <c r="AQ233" i="8"/>
  <c r="K233" i="8"/>
  <c r="L233" i="8" s="1"/>
  <c r="AM283" i="8"/>
  <c r="AP283" i="8" s="1"/>
  <c r="AS283" i="8" s="1"/>
  <c r="AG316" i="8"/>
  <c r="S283" i="8"/>
  <c r="U283" i="8"/>
  <c r="Q284" i="8" s="1"/>
  <c r="AI316" i="8"/>
  <c r="AE317" i="8" s="1"/>
  <c r="Y343" i="8"/>
  <c r="AN343" i="8" s="1"/>
  <c r="N233" i="8" l="1"/>
  <c r="AV233" i="8" s="1"/>
  <c r="J234" i="8"/>
  <c r="AR233" i="8"/>
  <c r="Z343" i="8"/>
  <c r="AF317" i="8"/>
  <c r="AO317" i="8" s="1"/>
  <c r="R284" i="8"/>
  <c r="AM284" i="8" s="1"/>
  <c r="AP284" i="8" s="1"/>
  <c r="AS284" i="8" s="1"/>
  <c r="AB343" i="8"/>
  <c r="X344" i="8" s="1"/>
  <c r="T284" i="8"/>
  <c r="AT234" i="8" l="1"/>
  <c r="AQ234" i="8"/>
  <c r="K234" i="8"/>
  <c r="L234" i="8" s="1"/>
  <c r="N234" i="8"/>
  <c r="AG317" i="8"/>
  <c r="U284" i="8"/>
  <c r="Q285" i="8" s="1"/>
  <c r="S284" i="8"/>
  <c r="AI317" i="8"/>
  <c r="AE318" i="8" s="1"/>
  <c r="Y344" i="8"/>
  <c r="AN344" i="8" s="1"/>
  <c r="J235" i="8" l="1"/>
  <c r="AR234" i="8"/>
  <c r="AV234" i="8"/>
  <c r="Z344" i="8"/>
  <c r="AF318" i="8"/>
  <c r="AO318" i="8" s="1"/>
  <c r="R285" i="8"/>
  <c r="AB344" i="8"/>
  <c r="X345" i="8" s="1"/>
  <c r="T285" i="8"/>
  <c r="AT235" i="8" l="1"/>
  <c r="AQ235" i="8"/>
  <c r="K235" i="8"/>
  <c r="L235" i="8" s="1"/>
  <c r="AM285" i="8"/>
  <c r="AP285" i="8" s="1"/>
  <c r="AS285" i="8" s="1"/>
  <c r="AG318" i="8"/>
  <c r="S285" i="8"/>
  <c r="U285" i="8"/>
  <c r="Q286" i="8" s="1"/>
  <c r="AI318" i="8"/>
  <c r="AE319" i="8" s="1"/>
  <c r="Y345" i="8"/>
  <c r="AN345" i="8" s="1"/>
  <c r="N235" i="8" l="1"/>
  <c r="Z345" i="8"/>
  <c r="AB345" i="8"/>
  <c r="X346" i="8" s="1"/>
  <c r="Y346" i="8" s="1"/>
  <c r="AN346" i="8" s="1"/>
  <c r="AF319" i="8"/>
  <c r="AO319" i="8" s="1"/>
  <c r="R286" i="8"/>
  <c r="T286" i="8"/>
  <c r="J236" i="8" l="1"/>
  <c r="AR235" i="8"/>
  <c r="AV235" i="8"/>
  <c r="AM286" i="8"/>
  <c r="AP286" i="8" s="1"/>
  <c r="AS286" i="8" s="1"/>
  <c r="AG319" i="8"/>
  <c r="Z346" i="8"/>
  <c r="S286" i="8"/>
  <c r="U286" i="8"/>
  <c r="Q287" i="8" s="1"/>
  <c r="AI319" i="8"/>
  <c r="AE320" i="8" s="1"/>
  <c r="AB346" i="8"/>
  <c r="X347" i="8" s="1"/>
  <c r="T287" i="8"/>
  <c r="AT236" i="8" l="1"/>
  <c r="AQ236" i="8"/>
  <c r="K236" i="8"/>
  <c r="L236" i="8" s="1"/>
  <c r="AF320" i="8"/>
  <c r="AO320" i="8" s="1"/>
  <c r="R287" i="8"/>
  <c r="AM287" i="8" s="1"/>
  <c r="AP287" i="8" s="1"/>
  <c r="AS287" i="8" s="1"/>
  <c r="Y347" i="8"/>
  <c r="AN347" i="8" s="1"/>
  <c r="N236" i="8" l="1"/>
  <c r="AG320" i="8"/>
  <c r="Z347" i="8"/>
  <c r="U287" i="8"/>
  <c r="Q288" i="8" s="1"/>
  <c r="S287" i="8"/>
  <c r="AI320" i="8"/>
  <c r="AE321" i="8" s="1"/>
  <c r="AB347" i="8"/>
  <c r="X348" i="8" s="1"/>
  <c r="J237" i="8" l="1"/>
  <c r="AV236" i="8"/>
  <c r="AR236" i="8"/>
  <c r="AF321" i="8"/>
  <c r="AO321" i="8" s="1"/>
  <c r="R288" i="8"/>
  <c r="AM288" i="8" s="1"/>
  <c r="AP288" i="8" s="1"/>
  <c r="AS288" i="8" s="1"/>
  <c r="Y348" i="8"/>
  <c r="AN348" i="8" s="1"/>
  <c r="T288" i="8"/>
  <c r="AT237" i="8" l="1"/>
  <c r="AQ237" i="8"/>
  <c r="K237" i="8"/>
  <c r="L237" i="8" s="1"/>
  <c r="AG321" i="8"/>
  <c r="Z348" i="8"/>
  <c r="S288" i="8"/>
  <c r="U288" i="8"/>
  <c r="Q289" i="8" s="1"/>
  <c r="AI321" i="8"/>
  <c r="AE322" i="8" s="1"/>
  <c r="AB348" i="8"/>
  <c r="X349" i="8" s="1"/>
  <c r="T289" i="8"/>
  <c r="N237" i="8" l="1"/>
  <c r="J238" i="8" s="1"/>
  <c r="AR237" i="8"/>
  <c r="AV237" i="8"/>
  <c r="AF322" i="8"/>
  <c r="AO322" i="8" s="1"/>
  <c r="R289" i="8"/>
  <c r="Y349" i="8"/>
  <c r="AN349" i="8" s="1"/>
  <c r="AT238" i="8" l="1"/>
  <c r="AQ238" i="8"/>
  <c r="K238" i="8"/>
  <c r="L238" i="8" s="1"/>
  <c r="AM289" i="8"/>
  <c r="AP289" i="8" s="1"/>
  <c r="AS289" i="8" s="1"/>
  <c r="AG322" i="8"/>
  <c r="Z349" i="8"/>
  <c r="S289" i="8"/>
  <c r="U289" i="8"/>
  <c r="Q290" i="8" s="1"/>
  <c r="AI322" i="8"/>
  <c r="AE323" i="8" s="1"/>
  <c r="AB349" i="8"/>
  <c r="X350" i="8" s="1"/>
  <c r="N238" i="8" l="1"/>
  <c r="AF323" i="8"/>
  <c r="AO323" i="8" s="1"/>
  <c r="R290" i="8"/>
  <c r="AM290" i="8" s="1"/>
  <c r="AP290" i="8" s="1"/>
  <c r="AS290" i="8" s="1"/>
  <c r="Y350" i="8"/>
  <c r="AN350" i="8" s="1"/>
  <c r="T290" i="8"/>
  <c r="J239" i="8" l="1"/>
  <c r="AV238" i="8"/>
  <c r="AR238" i="8"/>
  <c r="AG323" i="8"/>
  <c r="Z350" i="8"/>
  <c r="S290" i="8"/>
  <c r="U290" i="8"/>
  <c r="Q291" i="8" s="1"/>
  <c r="AB350" i="8"/>
  <c r="X351" i="8" s="1"/>
  <c r="Y351" i="8" s="1"/>
  <c r="AN351" i="8" s="1"/>
  <c r="AI323" i="8"/>
  <c r="AE324" i="8" s="1"/>
  <c r="AT239" i="8" l="1"/>
  <c r="AQ239" i="8"/>
  <c r="K239" i="8"/>
  <c r="L239" i="8" s="1"/>
  <c r="Z351" i="8"/>
  <c r="AF324" i="8"/>
  <c r="AO324" i="8" s="1"/>
  <c r="R291" i="8"/>
  <c r="AM291" i="8" s="1"/>
  <c r="AP291" i="8" s="1"/>
  <c r="AS291" i="8" s="1"/>
  <c r="AB351" i="8"/>
  <c r="X352" i="8" s="1"/>
  <c r="T291" i="8"/>
  <c r="N239" i="8" l="1"/>
  <c r="J240" i="8"/>
  <c r="AV239" i="8"/>
  <c r="AR239" i="8"/>
  <c r="AG324" i="8"/>
  <c r="U291" i="8"/>
  <c r="Q292" i="8" s="1"/>
  <c r="S291" i="8"/>
  <c r="AI324" i="8"/>
  <c r="AE325" i="8" s="1"/>
  <c r="Y352" i="8"/>
  <c r="AN352" i="8" s="1"/>
  <c r="AT240" i="8" l="1"/>
  <c r="AQ240" i="8"/>
  <c r="K240" i="8"/>
  <c r="L240" i="8" s="1"/>
  <c r="Z352" i="8"/>
  <c r="AF325" i="8"/>
  <c r="AO325" i="8" s="1"/>
  <c r="R292" i="8"/>
  <c r="AB352" i="8"/>
  <c r="X353" i="8" s="1"/>
  <c r="T292" i="8"/>
  <c r="N240" i="8" l="1"/>
  <c r="AM292" i="8"/>
  <c r="AP292" i="8" s="1"/>
  <c r="AS292" i="8" s="1"/>
  <c r="AG325" i="8"/>
  <c r="S292" i="8"/>
  <c r="U292" i="8"/>
  <c r="Q293" i="8" s="1"/>
  <c r="AI325" i="8"/>
  <c r="AE326" i="8" s="1"/>
  <c r="Y353" i="8"/>
  <c r="AN353" i="8" s="1"/>
  <c r="J241" i="8" l="1"/>
  <c r="AV240" i="8"/>
  <c r="AR240" i="8"/>
  <c r="Z353" i="8"/>
  <c r="AB353" i="8"/>
  <c r="X354" i="8" s="1"/>
  <c r="Y354" i="8" s="1"/>
  <c r="AN354" i="8" s="1"/>
  <c r="AF326" i="8"/>
  <c r="AO326" i="8" s="1"/>
  <c r="R293" i="8"/>
  <c r="AM293" i="8" s="1"/>
  <c r="AP293" i="8" s="1"/>
  <c r="AS293" i="8" s="1"/>
  <c r="T293" i="8"/>
  <c r="AT241" i="8" l="1"/>
  <c r="AQ241" i="8"/>
  <c r="K241" i="8"/>
  <c r="L241" i="8" s="1"/>
  <c r="AG326" i="8"/>
  <c r="Z354" i="8"/>
  <c r="U293" i="8"/>
  <c r="Q294" i="8" s="1"/>
  <c r="S293" i="8"/>
  <c r="AI326" i="8"/>
  <c r="AE327" i="8" s="1"/>
  <c r="AB354" i="8"/>
  <c r="X355" i="8" s="1"/>
  <c r="N241" i="8" l="1"/>
  <c r="AF327" i="8"/>
  <c r="AO327" i="8" s="1"/>
  <c r="R294" i="8"/>
  <c r="Y355" i="8"/>
  <c r="AN355" i="8" s="1"/>
  <c r="T294" i="8"/>
  <c r="AR241" i="8" l="1"/>
  <c r="J242" i="8"/>
  <c r="AV241" i="8"/>
  <c r="AM294" i="8"/>
  <c r="AP294" i="8" s="1"/>
  <c r="AS294" i="8" s="1"/>
  <c r="AG327" i="8"/>
  <c r="Z355" i="8"/>
  <c r="U294" i="8"/>
  <c r="Q295" i="8" s="1"/>
  <c r="AI327" i="8"/>
  <c r="AE328" i="8" s="1"/>
  <c r="S294" i="8"/>
  <c r="AB355" i="8"/>
  <c r="X356" i="8" s="1"/>
  <c r="AT242" i="8" l="1"/>
  <c r="AQ242" i="8"/>
  <c r="K242" i="8"/>
  <c r="L242" i="8" s="1"/>
  <c r="AF328" i="8"/>
  <c r="AO328" i="8" s="1"/>
  <c r="R295" i="8"/>
  <c r="Y356" i="8"/>
  <c r="AN356" i="8" s="1"/>
  <c r="T295" i="8"/>
  <c r="N242" i="8" l="1"/>
  <c r="AR242" i="8"/>
  <c r="AV242" i="8"/>
  <c r="J243" i="8"/>
  <c r="AM295" i="8"/>
  <c r="AP295" i="8" s="1"/>
  <c r="AS295" i="8" s="1"/>
  <c r="AG328" i="8"/>
  <c r="Z356" i="8"/>
  <c r="S295" i="8"/>
  <c r="U295" i="8"/>
  <c r="Q296" i="8" s="1"/>
  <c r="AI328" i="8"/>
  <c r="AE329" i="8" s="1"/>
  <c r="AB356" i="8"/>
  <c r="X357" i="8" s="1"/>
  <c r="AT243" i="8" l="1"/>
  <c r="AQ243" i="8"/>
  <c r="K243" i="8"/>
  <c r="L243" i="8" s="1"/>
  <c r="AF329" i="8"/>
  <c r="AO329" i="8" s="1"/>
  <c r="R296" i="8"/>
  <c r="Y357" i="8"/>
  <c r="AN357" i="8" s="1"/>
  <c r="T296" i="8"/>
  <c r="N243" i="8" l="1"/>
  <c r="AM296" i="8"/>
  <c r="AP296" i="8" s="1"/>
  <c r="AS296" i="8" s="1"/>
  <c r="AG329" i="8"/>
  <c r="Z357" i="8"/>
  <c r="S296" i="8"/>
  <c r="U296" i="8"/>
  <c r="Q297" i="8" s="1"/>
  <c r="AI329" i="8"/>
  <c r="AE330" i="8" s="1"/>
  <c r="AB357" i="8"/>
  <c r="X358" i="8" s="1"/>
  <c r="T297" i="8"/>
  <c r="AR243" i="8" l="1"/>
  <c r="J244" i="8"/>
  <c r="AV243" i="8"/>
  <c r="AF330" i="8"/>
  <c r="AO330" i="8" s="1"/>
  <c r="R297" i="8"/>
  <c r="Y358" i="8"/>
  <c r="AN358" i="8" s="1"/>
  <c r="AT244" i="8" l="1"/>
  <c r="AQ244" i="8"/>
  <c r="K244" i="8"/>
  <c r="L244" i="8" s="1"/>
  <c r="AM297" i="8"/>
  <c r="AP297" i="8" s="1"/>
  <c r="AS297" i="8" s="1"/>
  <c r="AG330" i="8"/>
  <c r="Z358" i="8"/>
  <c r="S297" i="8"/>
  <c r="U297" i="8"/>
  <c r="Q298" i="8" s="1"/>
  <c r="R298" i="8" s="1"/>
  <c r="AI330" i="8"/>
  <c r="AE331" i="8" s="1"/>
  <c r="AB358" i="8"/>
  <c r="X359" i="8" s="1"/>
  <c r="N244" i="8" l="1"/>
  <c r="AV244" i="8"/>
  <c r="AR244" i="8"/>
  <c r="J245" i="8"/>
  <c r="AM298" i="8"/>
  <c r="AP298" i="8" s="1"/>
  <c r="AS298" i="8" s="1"/>
  <c r="AF331" i="8"/>
  <c r="AO331" i="8" s="1"/>
  <c r="U298" i="8"/>
  <c r="Y359" i="8"/>
  <c r="AN359" i="8" s="1"/>
  <c r="S298" i="8"/>
  <c r="T298" i="8"/>
  <c r="AT245" i="8" l="1"/>
  <c r="AQ245" i="8"/>
  <c r="K245" i="8"/>
  <c r="L245" i="8" s="1"/>
  <c r="AG331" i="8"/>
  <c r="Z359" i="8"/>
  <c r="AI331" i="8"/>
  <c r="AE332" i="8" s="1"/>
  <c r="AB359" i="8"/>
  <c r="X360" i="8" s="1"/>
  <c r="Q299" i="8"/>
  <c r="T299" i="8"/>
  <c r="N245" i="8" l="1"/>
  <c r="AF332" i="8"/>
  <c r="AO332" i="8" s="1"/>
  <c r="R299" i="8"/>
  <c r="Y360" i="8"/>
  <c r="AN360" i="8" s="1"/>
  <c r="AR245" i="8" l="1"/>
  <c r="AV245" i="8"/>
  <c r="J246" i="8"/>
  <c r="AM299" i="8"/>
  <c r="AP299" i="8" s="1"/>
  <c r="AS299" i="8" s="1"/>
  <c r="AG332" i="8"/>
  <c r="Z360" i="8"/>
  <c r="S299" i="8"/>
  <c r="U299" i="8"/>
  <c r="Q300" i="8" s="1"/>
  <c r="AB360" i="8"/>
  <c r="X361" i="8" s="1"/>
  <c r="Y361" i="8" s="1"/>
  <c r="AN361" i="8" s="1"/>
  <c r="AI332" i="8"/>
  <c r="AE333" i="8" s="1"/>
  <c r="AT246" i="8" l="1"/>
  <c r="AQ246" i="8"/>
  <c r="K246" i="8"/>
  <c r="L246" i="8" s="1"/>
  <c r="Z361" i="8"/>
  <c r="AF333" i="8"/>
  <c r="AO333" i="8" s="1"/>
  <c r="R300" i="8"/>
  <c r="AM300" i="8" s="1"/>
  <c r="AP300" i="8" s="1"/>
  <c r="AS300" i="8" s="1"/>
  <c r="AB361" i="8"/>
  <c r="X362" i="8" s="1"/>
  <c r="T300" i="8"/>
  <c r="N246" i="8" l="1"/>
  <c r="AG333" i="8"/>
  <c r="S300" i="8"/>
  <c r="U300" i="8"/>
  <c r="Q301" i="8" s="1"/>
  <c r="AI333" i="8"/>
  <c r="AE334" i="8" s="1"/>
  <c r="Y362" i="8"/>
  <c r="AN362" i="8" s="1"/>
  <c r="J247" i="8" l="1"/>
  <c r="AV246" i="8"/>
  <c r="AR246" i="8"/>
  <c r="Z362" i="8"/>
  <c r="AF334" i="8"/>
  <c r="AO334" i="8" s="1"/>
  <c r="R301" i="8"/>
  <c r="AM301" i="8" s="1"/>
  <c r="AP301" i="8" s="1"/>
  <c r="AS301" i="8" s="1"/>
  <c r="AB362" i="8"/>
  <c r="X363" i="8" s="1"/>
  <c r="T301" i="8"/>
  <c r="AT247" i="8" l="1"/>
  <c r="AQ247" i="8"/>
  <c r="K247" i="8"/>
  <c r="L247" i="8" s="1"/>
  <c r="AG334" i="8"/>
  <c r="S301" i="8"/>
  <c r="U301" i="8"/>
  <c r="Q302" i="8" s="1"/>
  <c r="AI334" i="8"/>
  <c r="AE335" i="8" s="1"/>
  <c r="Y363" i="8"/>
  <c r="AN363" i="8" s="1"/>
  <c r="N247" i="8" l="1"/>
  <c r="AV247" i="8"/>
  <c r="AR247" i="8"/>
  <c r="J248" i="8"/>
  <c r="Z363" i="8"/>
  <c r="AF335" i="8"/>
  <c r="AO335" i="8" s="1"/>
  <c r="R302" i="8"/>
  <c r="AB363" i="8"/>
  <c r="X364" i="8" s="1"/>
  <c r="T302" i="8"/>
  <c r="AT248" i="8" l="1"/>
  <c r="AQ248" i="8"/>
  <c r="K248" i="8"/>
  <c r="L248" i="8" s="1"/>
  <c r="N248" i="8"/>
  <c r="AM302" i="8"/>
  <c r="AP302" i="8" s="1"/>
  <c r="AS302" i="8" s="1"/>
  <c r="AG335" i="8"/>
  <c r="U302" i="8"/>
  <c r="Q303" i="8" s="1"/>
  <c r="R303" i="8" s="1"/>
  <c r="S302" i="8"/>
  <c r="AI335" i="8"/>
  <c r="AE336" i="8" s="1"/>
  <c r="Y364" i="8"/>
  <c r="AN364" i="8" s="1"/>
  <c r="T303" i="8"/>
  <c r="AR248" i="8" l="1"/>
  <c r="J249" i="8"/>
  <c r="AV248" i="8"/>
  <c r="AM303" i="8"/>
  <c r="AP303" i="8" s="1"/>
  <c r="AS303" i="8" s="1"/>
  <c r="Z364" i="8"/>
  <c r="S303" i="8"/>
  <c r="AF336" i="8"/>
  <c r="AO336" i="8" s="1"/>
  <c r="U303" i="8"/>
  <c r="AB364" i="8"/>
  <c r="X365" i="8" s="1"/>
  <c r="AT249" i="8" l="1"/>
  <c r="AQ249" i="8"/>
  <c r="K249" i="8"/>
  <c r="L249" i="8" s="1"/>
  <c r="N249" i="8"/>
  <c r="AG336" i="8"/>
  <c r="AI336" i="8"/>
  <c r="AE337" i="8" s="1"/>
  <c r="Y365" i="8"/>
  <c r="AN365" i="8" s="1"/>
  <c r="Q304" i="8"/>
  <c r="J250" i="8" l="1"/>
  <c r="AR249" i="8"/>
  <c r="AV249" i="8"/>
  <c r="Z365" i="8"/>
  <c r="AF337" i="8"/>
  <c r="AO337" i="8" s="1"/>
  <c r="R304" i="8"/>
  <c r="AB365" i="8"/>
  <c r="X366" i="8" s="1"/>
  <c r="T304" i="8"/>
  <c r="AT250" i="8" l="1"/>
  <c r="AQ250" i="8"/>
  <c r="K250" i="8"/>
  <c r="L250" i="8" s="1"/>
  <c r="AM304" i="8"/>
  <c r="AP304" i="8" s="1"/>
  <c r="AS304" i="8" s="1"/>
  <c r="AG337" i="8"/>
  <c r="S304" i="8"/>
  <c r="U304" i="8"/>
  <c r="AI337" i="8"/>
  <c r="AE338" i="8" s="1"/>
  <c r="Y366" i="8"/>
  <c r="AN366" i="8" s="1"/>
  <c r="N250" i="8" l="1"/>
  <c r="AV250" i="8"/>
  <c r="J251" i="8"/>
  <c r="AR250" i="8"/>
  <c r="Z366" i="8"/>
  <c r="AF338" i="8"/>
  <c r="AO338" i="8" s="1"/>
  <c r="AB366" i="8"/>
  <c r="X367" i="8" s="1"/>
  <c r="Q305" i="8"/>
  <c r="AT251" i="8" l="1"/>
  <c r="AQ251" i="8"/>
  <c r="K251" i="8"/>
  <c r="L251" i="8" s="1"/>
  <c r="AG338" i="8"/>
  <c r="AI338" i="8"/>
  <c r="AE339" i="8" s="1"/>
  <c r="R305" i="8"/>
  <c r="AM305" i="8" s="1"/>
  <c r="AP305" i="8" s="1"/>
  <c r="AS305" i="8" s="1"/>
  <c r="Y367" i="8"/>
  <c r="AN367" i="8" s="1"/>
  <c r="T305" i="8"/>
  <c r="N251" i="8" l="1"/>
  <c r="AR251" i="8"/>
  <c r="AV251" i="8"/>
  <c r="J252" i="8"/>
  <c r="S305" i="8"/>
  <c r="Z367" i="8"/>
  <c r="U305" i="8"/>
  <c r="Q306" i="8" s="1"/>
  <c r="AF339" i="8"/>
  <c r="AO339" i="8" s="1"/>
  <c r="AB367" i="8"/>
  <c r="AT252" i="8" l="1"/>
  <c r="AQ252" i="8"/>
  <c r="K252" i="8"/>
  <c r="L252" i="8" s="1"/>
  <c r="AG339" i="8"/>
  <c r="AI339" i="8"/>
  <c r="AE340" i="8" s="1"/>
  <c r="R306" i="8"/>
  <c r="AM306" i="8" s="1"/>
  <c r="AP306" i="8" s="1"/>
  <c r="AS306" i="8" s="1"/>
  <c r="T306" i="8"/>
  <c r="N252" i="8" l="1"/>
  <c r="AR252" i="8"/>
  <c r="AV252" i="8"/>
  <c r="J253" i="8"/>
  <c r="S306" i="8"/>
  <c r="U306" i="8"/>
  <c r="Q307" i="8" s="1"/>
  <c r="AF340" i="8"/>
  <c r="AO340" i="8" s="1"/>
  <c r="AT253" i="8" l="1"/>
  <c r="AQ253" i="8"/>
  <c r="K253" i="8"/>
  <c r="L253" i="8" s="1"/>
  <c r="AG340" i="8"/>
  <c r="AI340" i="8"/>
  <c r="AE341" i="8" s="1"/>
  <c r="R307" i="8"/>
  <c r="AM307" i="8" s="1"/>
  <c r="AP307" i="8" s="1"/>
  <c r="AS307" i="8" s="1"/>
  <c r="T307" i="8"/>
  <c r="N253" i="8" l="1"/>
  <c r="J254" i="8"/>
  <c r="AR253" i="8"/>
  <c r="AV253" i="8"/>
  <c r="S307" i="8"/>
  <c r="U307" i="8"/>
  <c r="Q308" i="8" s="1"/>
  <c r="AF341" i="8"/>
  <c r="AO341" i="8" s="1"/>
  <c r="AT254" i="8" l="1"/>
  <c r="AQ254" i="8"/>
  <c r="K254" i="8"/>
  <c r="L254" i="8" s="1"/>
  <c r="AG341" i="8"/>
  <c r="AI341" i="8"/>
  <c r="AE342" i="8" s="1"/>
  <c r="R308" i="8"/>
  <c r="T308" i="8"/>
  <c r="N254" i="8" l="1"/>
  <c r="J255" i="8" s="1"/>
  <c r="AV254" i="8"/>
  <c r="AM308" i="8"/>
  <c r="AP308" i="8" s="1"/>
  <c r="AS308" i="8" s="1"/>
  <c r="U308" i="8"/>
  <c r="Q309" i="8" s="1"/>
  <c r="S308" i="8"/>
  <c r="AF342" i="8"/>
  <c r="AO342" i="8" s="1"/>
  <c r="AT255" i="8" l="1"/>
  <c r="AR254" i="8"/>
  <c r="AQ255" i="8"/>
  <c r="K255" i="8"/>
  <c r="L255" i="8" s="1"/>
  <c r="AG342" i="8"/>
  <c r="AI342" i="8"/>
  <c r="AE343" i="8" s="1"/>
  <c r="R309" i="8"/>
  <c r="AM309" i="8" s="1"/>
  <c r="AP309" i="8" s="1"/>
  <c r="AS309" i="8" s="1"/>
  <c r="T309" i="8"/>
  <c r="N255" i="8" l="1"/>
  <c r="S309" i="8"/>
  <c r="U309" i="8"/>
  <c r="Q310" i="8" s="1"/>
  <c r="R310" i="8" s="1"/>
  <c r="AF343" i="8"/>
  <c r="AO343" i="8" s="1"/>
  <c r="T310" i="8"/>
  <c r="J256" i="8" l="1"/>
  <c r="AR255" i="8"/>
  <c r="AV255" i="8"/>
  <c r="AM310" i="8"/>
  <c r="AP310" i="8" s="1"/>
  <c r="AS310" i="8" s="1"/>
  <c r="AG343" i="8"/>
  <c r="S310" i="8"/>
  <c r="AI343" i="8"/>
  <c r="AE344" i="8" s="1"/>
  <c r="U310" i="8"/>
  <c r="AT256" i="8" l="1"/>
  <c r="AQ256" i="8"/>
  <c r="K256" i="8"/>
  <c r="L256" i="8" s="1"/>
  <c r="AF344" i="8"/>
  <c r="AO344" i="8" s="1"/>
  <c r="Q311" i="8"/>
  <c r="R311" i="8" s="1"/>
  <c r="N256" i="8" l="1"/>
  <c r="AV256" i="8"/>
  <c r="J257" i="8"/>
  <c r="AR256" i="8"/>
  <c r="AM311" i="8"/>
  <c r="AP311" i="8" s="1"/>
  <c r="AS311" i="8" s="1"/>
  <c r="AG344" i="8"/>
  <c r="AI344" i="8"/>
  <c r="AE345" i="8" s="1"/>
  <c r="U311" i="8"/>
  <c r="S311" i="8"/>
  <c r="T311" i="8"/>
  <c r="AT257" i="8" l="1"/>
  <c r="AQ257" i="8"/>
  <c r="K257" i="8"/>
  <c r="L257" i="8" s="1"/>
  <c r="AF345" i="8"/>
  <c r="AO345" i="8" s="1"/>
  <c r="Q312" i="8"/>
  <c r="N257" i="8" l="1"/>
  <c r="AG345" i="8"/>
  <c r="AI345" i="8"/>
  <c r="AE346" i="8" s="1"/>
  <c r="R312" i="8"/>
  <c r="AM312" i="8" s="1"/>
  <c r="AP312" i="8" s="1"/>
  <c r="AS312" i="8" s="1"/>
  <c r="T312" i="8"/>
  <c r="AR257" i="8" l="1"/>
  <c r="AV257" i="8"/>
  <c r="J258" i="8"/>
  <c r="S312" i="8"/>
  <c r="U312" i="8"/>
  <c r="Q313" i="8" s="1"/>
  <c r="AF346" i="8"/>
  <c r="AO346" i="8" s="1"/>
  <c r="AT258" i="8" l="1"/>
  <c r="AQ258" i="8"/>
  <c r="K258" i="8"/>
  <c r="L258" i="8" s="1"/>
  <c r="AG346" i="8"/>
  <c r="AI346" i="8"/>
  <c r="AE347" i="8" s="1"/>
  <c r="R313" i="8"/>
  <c r="AM313" i="8" s="1"/>
  <c r="AP313" i="8" s="1"/>
  <c r="AS313" i="8" s="1"/>
  <c r="T313" i="8"/>
  <c r="N258" i="8" l="1"/>
  <c r="J259" i="8"/>
  <c r="AV258" i="8"/>
  <c r="AR258" i="8"/>
  <c r="S313" i="8"/>
  <c r="U313" i="8"/>
  <c r="Q314" i="8" s="1"/>
  <c r="AF347" i="8"/>
  <c r="AO347" i="8" s="1"/>
  <c r="T314" i="8"/>
  <c r="AT259" i="8" l="1"/>
  <c r="AQ259" i="8"/>
  <c r="K259" i="8"/>
  <c r="L259" i="8" s="1"/>
  <c r="AG347" i="8"/>
  <c r="AI347" i="8"/>
  <c r="AE348" i="8" s="1"/>
  <c r="R314" i="8"/>
  <c r="N259" i="8" l="1"/>
  <c r="J260" i="8"/>
  <c r="AV259" i="8"/>
  <c r="AR259" i="8"/>
  <c r="AM314" i="8"/>
  <c r="AP314" i="8" s="1"/>
  <c r="AS314" i="8" s="1"/>
  <c r="S314" i="8"/>
  <c r="U314" i="8"/>
  <c r="Q315" i="8" s="1"/>
  <c r="AF348" i="8"/>
  <c r="AO348" i="8" s="1"/>
  <c r="AT260" i="8" l="1"/>
  <c r="AQ260" i="8"/>
  <c r="K260" i="8"/>
  <c r="L260" i="8" s="1"/>
  <c r="N260" i="8"/>
  <c r="AG348" i="8"/>
  <c r="AI348" i="8"/>
  <c r="AE349" i="8" s="1"/>
  <c r="R315" i="8"/>
  <c r="AM315" i="8" s="1"/>
  <c r="AP315" i="8" s="1"/>
  <c r="AS315" i="8" s="1"/>
  <c r="T315" i="8"/>
  <c r="AR260" i="8" l="1"/>
  <c r="AV260" i="8"/>
  <c r="J261" i="8"/>
  <c r="S315" i="8"/>
  <c r="U315" i="8"/>
  <c r="Q316" i="8" s="1"/>
  <c r="R316" i="8" s="1"/>
  <c r="AM316" i="8" s="1"/>
  <c r="AP316" i="8" s="1"/>
  <c r="AS316" i="8" s="1"/>
  <c r="AF349" i="8"/>
  <c r="AO349" i="8" s="1"/>
  <c r="T316" i="8"/>
  <c r="AT261" i="8" l="1"/>
  <c r="AQ261" i="8"/>
  <c r="K261" i="8"/>
  <c r="L261" i="8" s="1"/>
  <c r="AG349" i="8"/>
  <c r="S316" i="8"/>
  <c r="AI349" i="8"/>
  <c r="AE350" i="8" s="1"/>
  <c r="U316" i="8"/>
  <c r="N261" i="8" l="1"/>
  <c r="AF350" i="8"/>
  <c r="AO350" i="8" s="1"/>
  <c r="Q317" i="8"/>
  <c r="AV261" i="8" l="1"/>
  <c r="AR261" i="8"/>
  <c r="J262" i="8"/>
  <c r="AG350" i="8"/>
  <c r="AI350" i="8"/>
  <c r="AE351" i="8" s="1"/>
  <c r="R317" i="8"/>
  <c r="T317" i="8"/>
  <c r="AT262" i="8" l="1"/>
  <c r="AQ262" i="8"/>
  <c r="K262" i="8"/>
  <c r="L262" i="8" s="1"/>
  <c r="AM317" i="8"/>
  <c r="AP317" i="8" s="1"/>
  <c r="AS317" i="8" s="1"/>
  <c r="U317" i="8"/>
  <c r="Q318" i="8" s="1"/>
  <c r="S317" i="8"/>
  <c r="AF351" i="8"/>
  <c r="AO351" i="8" s="1"/>
  <c r="N262" i="8" l="1"/>
  <c r="AG351" i="8"/>
  <c r="AI351" i="8"/>
  <c r="AE352" i="8" s="1"/>
  <c r="R318" i="8"/>
  <c r="AM318" i="8" s="1"/>
  <c r="AP318" i="8" s="1"/>
  <c r="AS318" i="8" s="1"/>
  <c r="T318" i="8"/>
  <c r="AR262" i="8" l="1"/>
  <c r="AV262" i="8"/>
  <c r="J263" i="8"/>
  <c r="S318" i="8"/>
  <c r="U318" i="8"/>
  <c r="Q319" i="8" s="1"/>
  <c r="AF352" i="8"/>
  <c r="AO352" i="8" s="1"/>
  <c r="AT263" i="8" l="1"/>
  <c r="AQ263" i="8"/>
  <c r="K263" i="8"/>
  <c r="L263" i="8" s="1"/>
  <c r="AG352" i="8"/>
  <c r="AI352" i="8"/>
  <c r="AE353" i="8" s="1"/>
  <c r="R319" i="8"/>
  <c r="AM319" i="8" s="1"/>
  <c r="AP319" i="8" s="1"/>
  <c r="AS319" i="8" s="1"/>
  <c r="T319" i="8"/>
  <c r="N263" i="8" l="1"/>
  <c r="S319" i="8"/>
  <c r="U319" i="8"/>
  <c r="Q320" i="8" s="1"/>
  <c r="AF353" i="8"/>
  <c r="AO353" i="8" s="1"/>
  <c r="T320" i="8"/>
  <c r="J264" i="8" l="1"/>
  <c r="AR263" i="8"/>
  <c r="AV263" i="8"/>
  <c r="AG353" i="8"/>
  <c r="AI353" i="8"/>
  <c r="AE354" i="8" s="1"/>
  <c r="R320" i="8"/>
  <c r="AT264" i="8" l="1"/>
  <c r="AQ264" i="8"/>
  <c r="K264" i="8"/>
  <c r="L264" i="8" s="1"/>
  <c r="AM320" i="8"/>
  <c r="AP320" i="8" s="1"/>
  <c r="AS320" i="8" s="1"/>
  <c r="S320" i="8"/>
  <c r="U320" i="8"/>
  <c r="Q321" i="8" s="1"/>
  <c r="AF354" i="8"/>
  <c r="AO354" i="8" s="1"/>
  <c r="N264" i="8" l="1"/>
  <c r="AR264" i="8"/>
  <c r="AV264" i="8"/>
  <c r="J265" i="8"/>
  <c r="AG354" i="8"/>
  <c r="AI354" i="8"/>
  <c r="AE355" i="8" s="1"/>
  <c r="R321" i="8"/>
  <c r="AM321" i="8" s="1"/>
  <c r="AP321" i="8" s="1"/>
  <c r="AS321" i="8" s="1"/>
  <c r="T321" i="8"/>
  <c r="AT265" i="8" l="1"/>
  <c r="AQ265" i="8"/>
  <c r="K265" i="8"/>
  <c r="L265" i="8" s="1"/>
  <c r="S321" i="8"/>
  <c r="U321" i="8"/>
  <c r="Q322" i="8" s="1"/>
  <c r="AF355" i="8"/>
  <c r="AO355" i="8" s="1"/>
  <c r="N265" i="8" l="1"/>
  <c r="AR265" i="8"/>
  <c r="J266" i="8"/>
  <c r="AV265" i="8"/>
  <c r="AG355" i="8"/>
  <c r="AI355" i="8"/>
  <c r="AE356" i="8" s="1"/>
  <c r="R322" i="8"/>
  <c r="AM322" i="8" s="1"/>
  <c r="AP322" i="8" s="1"/>
  <c r="AS322" i="8" s="1"/>
  <c r="T322" i="8"/>
  <c r="AT266" i="8" l="1"/>
  <c r="AQ266" i="8"/>
  <c r="K266" i="8"/>
  <c r="L266" i="8" s="1"/>
  <c r="N266" i="8"/>
  <c r="S322" i="8"/>
  <c r="U322" i="8"/>
  <c r="Q323" i="8" s="1"/>
  <c r="R323" i="8" s="1"/>
  <c r="AM323" i="8" s="1"/>
  <c r="AP323" i="8" s="1"/>
  <c r="AS323" i="8" s="1"/>
  <c r="AF356" i="8"/>
  <c r="AO356" i="8" s="1"/>
  <c r="J267" i="8" l="1"/>
  <c r="AR266" i="8"/>
  <c r="AV266" i="8"/>
  <c r="AG356" i="8"/>
  <c r="AI356" i="8"/>
  <c r="AE357" i="8" s="1"/>
  <c r="U323" i="8"/>
  <c r="S323" i="8"/>
  <c r="T323" i="8"/>
  <c r="AT267" i="8" l="1"/>
  <c r="AQ267" i="8"/>
  <c r="K267" i="8"/>
  <c r="L267" i="8" s="1"/>
  <c r="AF357" i="8"/>
  <c r="AO357" i="8" s="1"/>
  <c r="N267" i="8" l="1"/>
  <c r="AG357" i="8"/>
  <c r="AI357" i="8"/>
  <c r="AE358" i="8" s="1"/>
  <c r="Q324" i="8"/>
  <c r="R324" i="8" s="1"/>
  <c r="J268" i="8" l="1"/>
  <c r="AR267" i="8"/>
  <c r="AV267" i="8"/>
  <c r="AM324" i="8"/>
  <c r="AP324" i="8" s="1"/>
  <c r="AS324" i="8" s="1"/>
  <c r="AF358" i="8"/>
  <c r="AO358" i="8" s="1"/>
  <c r="U324" i="8"/>
  <c r="S324" i="8"/>
  <c r="T324" i="8"/>
  <c r="AT268" i="8" l="1"/>
  <c r="AQ268" i="8"/>
  <c r="K268" i="8"/>
  <c r="L268" i="8" s="1"/>
  <c r="AG358" i="8"/>
  <c r="AI358" i="8"/>
  <c r="AE359" i="8" s="1"/>
  <c r="Q325" i="8"/>
  <c r="N268" i="8" l="1"/>
  <c r="AF359" i="8"/>
  <c r="AO359" i="8" s="1"/>
  <c r="R325" i="8"/>
  <c r="T325" i="8"/>
  <c r="J269" i="8" l="1"/>
  <c r="AV268" i="8"/>
  <c r="AR268" i="8"/>
  <c r="AM325" i="8"/>
  <c r="AP325" i="8" s="1"/>
  <c r="AS325" i="8" s="1"/>
  <c r="AG359" i="8"/>
  <c r="S325" i="8"/>
  <c r="U325" i="8"/>
  <c r="Q326" i="8" s="1"/>
  <c r="R326" i="8" s="1"/>
  <c r="AI359" i="8"/>
  <c r="AE360" i="8" s="1"/>
  <c r="AT269" i="8" l="1"/>
  <c r="AQ269" i="8"/>
  <c r="K269" i="8"/>
  <c r="L269" i="8" s="1"/>
  <c r="AM326" i="8"/>
  <c r="AP326" i="8" s="1"/>
  <c r="AS326" i="8" s="1"/>
  <c r="S326" i="8"/>
  <c r="AF360" i="8"/>
  <c r="AO360" i="8" s="1"/>
  <c r="U326" i="8"/>
  <c r="T326" i="8"/>
  <c r="N269" i="8" l="1"/>
  <c r="AG360" i="8"/>
  <c r="AI360" i="8"/>
  <c r="AE361" i="8" s="1"/>
  <c r="Q327" i="8"/>
  <c r="R327" i="8" s="1"/>
  <c r="AR269" i="8" l="1"/>
  <c r="J270" i="8"/>
  <c r="AV269" i="8"/>
  <c r="AM327" i="8"/>
  <c r="AP327" i="8" s="1"/>
  <c r="AS327" i="8" s="1"/>
  <c r="S327" i="8"/>
  <c r="AF361" i="8"/>
  <c r="AO361" i="8" s="1"/>
  <c r="U327" i="8"/>
  <c r="T327" i="8"/>
  <c r="AT270" i="8" l="1"/>
  <c r="AQ270" i="8"/>
  <c r="K270" i="8"/>
  <c r="L270" i="8" s="1"/>
  <c r="AG361" i="8"/>
  <c r="AI361" i="8"/>
  <c r="AE362" i="8" s="1"/>
  <c r="Q328" i="8"/>
  <c r="R328" i="8" s="1"/>
  <c r="N270" i="8" l="1"/>
  <c r="AM328" i="8"/>
  <c r="AP328" i="8" s="1"/>
  <c r="AS328" i="8" s="1"/>
  <c r="AF362" i="8"/>
  <c r="AO362" i="8" s="1"/>
  <c r="U328" i="8"/>
  <c r="S328" i="8"/>
  <c r="T328" i="8"/>
  <c r="AR270" i="8" l="1"/>
  <c r="AV270" i="8"/>
  <c r="J271" i="8"/>
  <c r="AG362" i="8"/>
  <c r="AI362" i="8"/>
  <c r="AE363" i="8" s="1"/>
  <c r="AT271" i="8" l="1"/>
  <c r="AQ271" i="8"/>
  <c r="K271" i="8"/>
  <c r="L271" i="8" s="1"/>
  <c r="AF363" i="8"/>
  <c r="AO363" i="8" s="1"/>
  <c r="Q329" i="8"/>
  <c r="N271" i="8" l="1"/>
  <c r="AG363" i="8"/>
  <c r="AI363" i="8"/>
  <c r="AE364" i="8" s="1"/>
  <c r="R329" i="8"/>
  <c r="T329" i="8"/>
  <c r="J272" i="8" l="1"/>
  <c r="AR271" i="8"/>
  <c r="AV271" i="8"/>
  <c r="AM329" i="8"/>
  <c r="AP329" i="8" s="1"/>
  <c r="AS329" i="8" s="1"/>
  <c r="S329" i="8"/>
  <c r="U329" i="8"/>
  <c r="Q330" i="8" s="1"/>
  <c r="AF364" i="8"/>
  <c r="AO364" i="8" s="1"/>
  <c r="AT272" i="8" l="1"/>
  <c r="AQ272" i="8"/>
  <c r="K272" i="8"/>
  <c r="L272" i="8" s="1"/>
  <c r="AG364" i="8"/>
  <c r="AI364" i="8"/>
  <c r="AE365" i="8" s="1"/>
  <c r="R330" i="8"/>
  <c r="T330" i="8"/>
  <c r="N272" i="8" l="1"/>
  <c r="J273" i="8"/>
  <c r="AR272" i="8"/>
  <c r="AV272" i="8"/>
  <c r="AM330" i="8"/>
  <c r="AP330" i="8" s="1"/>
  <c r="AS330" i="8" s="1"/>
  <c r="S330" i="8"/>
  <c r="U330" i="8"/>
  <c r="Q331" i="8" s="1"/>
  <c r="R331" i="8" s="1"/>
  <c r="AF365" i="8"/>
  <c r="AO365" i="8" s="1"/>
  <c r="T331" i="8"/>
  <c r="AT273" i="8" l="1"/>
  <c r="AQ273" i="8"/>
  <c r="K273" i="8"/>
  <c r="L273" i="8" s="1"/>
  <c r="AM331" i="8"/>
  <c r="AP331" i="8" s="1"/>
  <c r="AS331" i="8" s="1"/>
  <c r="AG365" i="8"/>
  <c r="S331" i="8"/>
  <c r="AI365" i="8"/>
  <c r="AE366" i="8" s="1"/>
  <c r="U331" i="8"/>
  <c r="N273" i="8" l="1"/>
  <c r="AR273" i="8"/>
  <c r="J274" i="8"/>
  <c r="AV273" i="8"/>
  <c r="AF366" i="8"/>
  <c r="AO366" i="8" s="1"/>
  <c r="Q332" i="8"/>
  <c r="R332" i="8" s="1"/>
  <c r="AT274" i="8" l="1"/>
  <c r="AQ274" i="8"/>
  <c r="K274" i="8"/>
  <c r="L274" i="8" s="1"/>
  <c r="AM332" i="8"/>
  <c r="AP332" i="8" s="1"/>
  <c r="AS332" i="8" s="1"/>
  <c r="AG366" i="8"/>
  <c r="AI366" i="8"/>
  <c r="AE367" i="8" s="1"/>
  <c r="U332" i="8"/>
  <c r="S332" i="8"/>
  <c r="T332" i="8"/>
  <c r="N274" i="8" l="1"/>
  <c r="AV274" i="8"/>
  <c r="AR274" i="8"/>
  <c r="J275" i="8"/>
  <c r="AF367" i="8"/>
  <c r="AO367" i="8" s="1"/>
  <c r="Q333" i="8"/>
  <c r="R333" i="8" s="1"/>
  <c r="AT275" i="8" l="1"/>
  <c r="AQ275" i="8"/>
  <c r="K275" i="8"/>
  <c r="L275" i="8" s="1"/>
  <c r="AM333" i="8"/>
  <c r="AP333" i="8" s="1"/>
  <c r="AS333" i="8" s="1"/>
  <c r="AG367" i="8"/>
  <c r="S333" i="8"/>
  <c r="AI367" i="8"/>
  <c r="U333" i="8"/>
  <c r="T333" i="8"/>
  <c r="N275" i="8" l="1"/>
  <c r="J276" i="8" s="1"/>
  <c r="Q334" i="8"/>
  <c r="AT276" i="8" l="1"/>
  <c r="AV275" i="8"/>
  <c r="AR275" i="8"/>
  <c r="AQ276" i="8"/>
  <c r="K276" i="8"/>
  <c r="L276" i="8" s="1"/>
  <c r="N276" i="8"/>
  <c r="R334" i="8"/>
  <c r="T334" i="8"/>
  <c r="J277" i="8" l="1"/>
  <c r="AR276" i="8"/>
  <c r="AV276" i="8"/>
  <c r="AM334" i="8"/>
  <c r="AP334" i="8" s="1"/>
  <c r="AS334" i="8" s="1"/>
  <c r="S334" i="8"/>
  <c r="U334" i="8"/>
  <c r="Q335" i="8" s="1"/>
  <c r="AT277" i="8" l="1"/>
  <c r="AQ277" i="8"/>
  <c r="K277" i="8"/>
  <c r="L277" i="8" s="1"/>
  <c r="R335" i="8"/>
  <c r="AM335" i="8" s="1"/>
  <c r="AP335" i="8" s="1"/>
  <c r="AS335" i="8" s="1"/>
  <c r="T335" i="8"/>
  <c r="N277" i="8" l="1"/>
  <c r="U335" i="8"/>
  <c r="S335" i="8"/>
  <c r="J278" i="8" l="1"/>
  <c r="AR277" i="8"/>
  <c r="AV277" i="8"/>
  <c r="Q336" i="8"/>
  <c r="AT278" i="8" l="1"/>
  <c r="AQ278" i="8"/>
  <c r="K278" i="8"/>
  <c r="L278" i="8" s="1"/>
  <c r="R336" i="8"/>
  <c r="AM336" i="8" s="1"/>
  <c r="AP336" i="8" s="1"/>
  <c r="AS336" i="8" s="1"/>
  <c r="T336" i="8"/>
  <c r="N278" i="8" l="1"/>
  <c r="S336" i="8"/>
  <c r="U336" i="8"/>
  <c r="J279" i="8" l="1"/>
  <c r="AR278" i="8"/>
  <c r="AV278" i="8"/>
  <c r="Q337" i="8"/>
  <c r="AT279" i="8" l="1"/>
  <c r="AQ279" i="8"/>
  <c r="K279" i="8"/>
  <c r="L279" i="8" s="1"/>
  <c r="R337" i="8"/>
  <c r="T337" i="8"/>
  <c r="N279" i="8" l="1"/>
  <c r="J280" i="8"/>
  <c r="AR279" i="8"/>
  <c r="AV279" i="8"/>
  <c r="AM337" i="8"/>
  <c r="AP337" i="8" s="1"/>
  <c r="AS337" i="8" s="1"/>
  <c r="S337" i="8"/>
  <c r="U337" i="8"/>
  <c r="Q338" i="8" s="1"/>
  <c r="AT280" i="8" l="1"/>
  <c r="K280" i="8"/>
  <c r="AQ280" i="8"/>
  <c r="L280" i="8"/>
  <c r="N280" i="8"/>
  <c r="R338" i="8"/>
  <c r="T338" i="8"/>
  <c r="AR280" i="8" l="1"/>
  <c r="J281" i="8"/>
  <c r="AV280" i="8"/>
  <c r="AM338" i="8"/>
  <c r="AP338" i="8" s="1"/>
  <c r="AS338" i="8" s="1"/>
  <c r="S338" i="8"/>
  <c r="U338" i="8"/>
  <c r="Q339" i="8" s="1"/>
  <c r="R339" i="8" s="1"/>
  <c r="AT281" i="8" l="1"/>
  <c r="AQ281" i="8"/>
  <c r="K281" i="8"/>
  <c r="L281" i="8" s="1"/>
  <c r="N281" i="8"/>
  <c r="AM339" i="8"/>
  <c r="AP339" i="8" s="1"/>
  <c r="AS339" i="8" s="1"/>
  <c r="U339" i="8"/>
  <c r="S339" i="8"/>
  <c r="T339" i="8"/>
  <c r="AV281" i="8" l="1"/>
  <c r="J282" i="8"/>
  <c r="AR281" i="8"/>
  <c r="Q340" i="8"/>
  <c r="R340" i="8" s="1"/>
  <c r="T340" i="8"/>
  <c r="AT282" i="8" l="1"/>
  <c r="K282" i="8"/>
  <c r="L282" i="8" s="1"/>
  <c r="AQ282" i="8"/>
  <c r="AM340" i="8"/>
  <c r="AP340" i="8" s="1"/>
  <c r="AS340" i="8" s="1"/>
  <c r="S340" i="8"/>
  <c r="U340" i="8"/>
  <c r="N282" i="8" l="1"/>
  <c r="Q341" i="8"/>
  <c r="AR282" i="8" l="1"/>
  <c r="AV282" i="8"/>
  <c r="J283" i="8"/>
  <c r="R341" i="8"/>
  <c r="T341" i="8"/>
  <c r="AT283" i="8" l="1"/>
  <c r="K283" i="8"/>
  <c r="L283" i="8" s="1"/>
  <c r="AQ283" i="8"/>
  <c r="AM341" i="8"/>
  <c r="AP341" i="8" s="1"/>
  <c r="AS341" i="8" s="1"/>
  <c r="S341" i="8"/>
  <c r="U341" i="8"/>
  <c r="Q342" i="8" s="1"/>
  <c r="N283" i="8" l="1"/>
  <c r="AR283" i="8"/>
  <c r="AV283" i="8"/>
  <c r="J284" i="8"/>
  <c r="R342" i="8"/>
  <c r="T342" i="8"/>
  <c r="AT284" i="8" l="1"/>
  <c r="AQ284" i="8"/>
  <c r="K284" i="8"/>
  <c r="L284" i="8" s="1"/>
  <c r="AM342" i="8"/>
  <c r="AP342" i="8" s="1"/>
  <c r="AS342" i="8" s="1"/>
  <c r="S342" i="8"/>
  <c r="U342" i="8"/>
  <c r="Q343" i="8" s="1"/>
  <c r="R343" i="8" s="1"/>
  <c r="N284" i="8" l="1"/>
  <c r="AM343" i="8"/>
  <c r="AP343" i="8" s="1"/>
  <c r="AS343" i="8" s="1"/>
  <c r="S343" i="8"/>
  <c r="U343" i="8"/>
  <c r="T343" i="8"/>
  <c r="AR284" i="8" l="1"/>
  <c r="AV284" i="8"/>
  <c r="J285" i="8"/>
  <c r="Q344" i="8"/>
  <c r="AT285" i="8" l="1"/>
  <c r="AQ285" i="8"/>
  <c r="K285" i="8"/>
  <c r="L285" i="8" s="1"/>
  <c r="R344" i="8"/>
  <c r="T344" i="8"/>
  <c r="N285" i="8" l="1"/>
  <c r="AM344" i="8"/>
  <c r="AP344" i="8" s="1"/>
  <c r="AS344" i="8" s="1"/>
  <c r="S344" i="8"/>
  <c r="U344" i="8"/>
  <c r="Q345" i="8" s="1"/>
  <c r="AV285" i="8" l="1"/>
  <c r="AR285" i="8"/>
  <c r="J286" i="8"/>
  <c r="R345" i="8"/>
  <c r="AM345" i="8" s="1"/>
  <c r="AP345" i="8" s="1"/>
  <c r="AS345" i="8" s="1"/>
  <c r="T345" i="8"/>
  <c r="AT286" i="8" l="1"/>
  <c r="AQ286" i="8"/>
  <c r="K286" i="8"/>
  <c r="L286" i="8" s="1"/>
  <c r="U345" i="8"/>
  <c r="S345" i="8"/>
  <c r="Q346" i="8"/>
  <c r="R346" i="8" s="1"/>
  <c r="AM346" i="8" s="1"/>
  <c r="AP346" i="8" s="1"/>
  <c r="AS346" i="8" s="1"/>
  <c r="N286" i="8" l="1"/>
  <c r="S346" i="8"/>
  <c r="U346" i="8"/>
  <c r="T346" i="8"/>
  <c r="AV286" i="8" l="1"/>
  <c r="J287" i="8"/>
  <c r="AR286" i="8"/>
  <c r="Q347" i="8"/>
  <c r="AT287" i="8" l="1"/>
  <c r="AQ287" i="8"/>
  <c r="K287" i="8"/>
  <c r="L287" i="8" s="1"/>
  <c r="R347" i="8"/>
  <c r="AM347" i="8" s="1"/>
  <c r="AP347" i="8" s="1"/>
  <c r="AS347" i="8" s="1"/>
  <c r="T347" i="8"/>
  <c r="N287" i="8" l="1"/>
  <c r="U347" i="8"/>
  <c r="S347" i="8"/>
  <c r="Q348" i="8"/>
  <c r="R348" i="8" s="1"/>
  <c r="AM348" i="8" s="1"/>
  <c r="AP348" i="8" s="1"/>
  <c r="AS348" i="8" s="1"/>
  <c r="AR287" i="8" l="1"/>
  <c r="AV287" i="8"/>
  <c r="J288" i="8"/>
  <c r="U348" i="8"/>
  <c r="S348" i="8"/>
  <c r="T348" i="8"/>
  <c r="AT288" i="8" l="1"/>
  <c r="AQ288" i="8"/>
  <c r="K288" i="8"/>
  <c r="L288" i="8" s="1"/>
  <c r="N288" i="8"/>
  <c r="Q349" i="8"/>
  <c r="R349" i="8" s="1"/>
  <c r="T349" i="8"/>
  <c r="AV288" i="8" l="1"/>
  <c r="AR288" i="8"/>
  <c r="J289" i="8"/>
  <c r="AM349" i="8"/>
  <c r="AP349" i="8" s="1"/>
  <c r="AS349" i="8" s="1"/>
  <c r="S349" i="8"/>
  <c r="U349" i="8"/>
  <c r="AT289" i="8" l="1"/>
  <c r="AQ289" i="8"/>
  <c r="K289" i="8"/>
  <c r="L289" i="8" s="1"/>
  <c r="Q350" i="8"/>
  <c r="R350" i="8" s="1"/>
  <c r="N289" i="8" l="1"/>
  <c r="AM350" i="8"/>
  <c r="AP350" i="8" s="1"/>
  <c r="AS350" i="8" s="1"/>
  <c r="U350" i="8"/>
  <c r="S350" i="8"/>
  <c r="T350" i="8"/>
  <c r="AV289" i="8" l="1"/>
  <c r="J290" i="8"/>
  <c r="AR289" i="8"/>
  <c r="Q351" i="8"/>
  <c r="R351" i="8" s="1"/>
  <c r="T351" i="8"/>
  <c r="AT290" i="8" l="1"/>
  <c r="AQ290" i="8"/>
  <c r="K290" i="8"/>
  <c r="L290" i="8" s="1"/>
  <c r="AM351" i="8"/>
  <c r="AP351" i="8" s="1"/>
  <c r="AS351" i="8" s="1"/>
  <c r="S351" i="8"/>
  <c r="U351" i="8"/>
  <c r="N290" i="8" l="1"/>
  <c r="Q352" i="8"/>
  <c r="AR290" i="8" l="1"/>
  <c r="AV290" i="8"/>
  <c r="J291" i="8"/>
  <c r="R352" i="8"/>
  <c r="T352" i="8"/>
  <c r="AT291" i="8" l="1"/>
  <c r="AQ291" i="8"/>
  <c r="K291" i="8"/>
  <c r="L291" i="8" s="1"/>
  <c r="N291" i="8"/>
  <c r="AM352" i="8"/>
  <c r="AP352" i="8" s="1"/>
  <c r="AS352" i="8" s="1"/>
  <c r="S352" i="8"/>
  <c r="U352" i="8"/>
  <c r="Q353" i="8" s="1"/>
  <c r="R353" i="8" s="1"/>
  <c r="AV291" i="8" l="1"/>
  <c r="J292" i="8"/>
  <c r="AR291" i="8"/>
  <c r="AM353" i="8"/>
  <c r="AP353" i="8" s="1"/>
  <c r="AS353" i="8" s="1"/>
  <c r="S353" i="8"/>
  <c r="U353" i="8"/>
  <c r="T353" i="8"/>
  <c r="AT292" i="8" l="1"/>
  <c r="AQ292" i="8"/>
  <c r="K292" i="8"/>
  <c r="L292" i="8" s="1"/>
  <c r="Q354" i="8"/>
  <c r="N292" i="8" l="1"/>
  <c r="J293" i="8"/>
  <c r="AR292" i="8"/>
  <c r="AV292" i="8"/>
  <c r="R354" i="8"/>
  <c r="T354" i="8"/>
  <c r="AT293" i="8" l="1"/>
  <c r="AQ293" i="8"/>
  <c r="K293" i="8"/>
  <c r="L293" i="8" s="1"/>
  <c r="AM354" i="8"/>
  <c r="AP354" i="8" s="1"/>
  <c r="AS354" i="8" s="1"/>
  <c r="S354" i="8"/>
  <c r="U354" i="8"/>
  <c r="Q355" i="8" s="1"/>
  <c r="T355" i="8"/>
  <c r="N293" i="8" l="1"/>
  <c r="AR293" i="8" s="1"/>
  <c r="R355" i="8"/>
  <c r="AM355" i="8" s="1"/>
  <c r="AP355" i="8" s="1"/>
  <c r="AS355" i="8" s="1"/>
  <c r="J294" i="8" l="1"/>
  <c r="AV293" i="8"/>
  <c r="AQ294" i="8"/>
  <c r="K294" i="8"/>
  <c r="L294" i="8" s="1"/>
  <c r="U355" i="8"/>
  <c r="S355" i="8"/>
  <c r="Q356" i="8"/>
  <c r="AT294" i="8" l="1"/>
  <c r="N294" i="8"/>
  <c r="R356" i="8"/>
  <c r="T356" i="8"/>
  <c r="AR294" i="8" l="1"/>
  <c r="AV294" i="8"/>
  <c r="J295" i="8"/>
  <c r="AM356" i="8"/>
  <c r="AP356" i="8" s="1"/>
  <c r="AS356" i="8" s="1"/>
  <c r="S356" i="8"/>
  <c r="U356" i="8"/>
  <c r="Q357" i="8" s="1"/>
  <c r="R357" i="8" s="1"/>
  <c r="AT295" i="8" l="1"/>
  <c r="AQ295" i="8"/>
  <c r="K295" i="8"/>
  <c r="L295" i="8" s="1"/>
  <c r="AM357" i="8"/>
  <c r="AP357" i="8" s="1"/>
  <c r="AS357" i="8" s="1"/>
  <c r="S357" i="8"/>
  <c r="U357" i="8"/>
  <c r="T357" i="8"/>
  <c r="N295" i="8" l="1"/>
  <c r="Q358" i="8"/>
  <c r="T358" i="8"/>
  <c r="AV295" i="8" l="1"/>
  <c r="J296" i="8"/>
  <c r="AR295" i="8"/>
  <c r="R358" i="8"/>
  <c r="AM358" i="8" s="1"/>
  <c r="AP358" i="8" s="1"/>
  <c r="AS358" i="8" s="1"/>
  <c r="AT296" i="8" l="1"/>
  <c r="AQ296" i="8"/>
  <c r="K296" i="8"/>
  <c r="L296" i="8" s="1"/>
  <c r="U358" i="8"/>
  <c r="Q359" i="8" s="1"/>
  <c r="S358" i="8"/>
  <c r="N296" i="8" l="1"/>
  <c r="R359" i="8"/>
  <c r="AM359" i="8" s="1"/>
  <c r="AP359" i="8" s="1"/>
  <c r="AS359" i="8" s="1"/>
  <c r="T359" i="8"/>
  <c r="AR296" i="8" l="1"/>
  <c r="AV296" i="8"/>
  <c r="J297" i="8"/>
  <c r="S359" i="8"/>
  <c r="U359" i="8"/>
  <c r="Q360" i="8" s="1"/>
  <c r="T360" i="8"/>
  <c r="AT297" i="8" l="1"/>
  <c r="AQ297" i="8"/>
  <c r="K297" i="8"/>
  <c r="L297" i="8" s="1"/>
  <c r="R360" i="8"/>
  <c r="AM360" i="8" s="1"/>
  <c r="AP360" i="8" s="1"/>
  <c r="AS360" i="8" s="1"/>
  <c r="N297" i="8" l="1"/>
  <c r="U360" i="8"/>
  <c r="Q361" i="8" s="1"/>
  <c r="R361" i="8" s="1"/>
  <c r="AM361" i="8" s="1"/>
  <c r="AP361" i="8" s="1"/>
  <c r="AS361" i="8" s="1"/>
  <c r="S360" i="8"/>
  <c r="AV297" i="8" l="1"/>
  <c r="AR297" i="8"/>
  <c r="J298" i="8"/>
  <c r="U361" i="8"/>
  <c r="S361" i="8"/>
  <c r="T361" i="8"/>
  <c r="AT298" i="8" l="1"/>
  <c r="AQ298" i="8"/>
  <c r="K298" i="8"/>
  <c r="L298" i="8" s="1"/>
  <c r="Q362" i="8"/>
  <c r="T362" i="8"/>
  <c r="N298" i="8" l="1"/>
  <c r="R362" i="8"/>
  <c r="J299" i="8" l="1"/>
  <c r="AV298" i="8"/>
  <c r="AR298" i="8"/>
  <c r="AM362" i="8"/>
  <c r="AP362" i="8" s="1"/>
  <c r="AS362" i="8" s="1"/>
  <c r="S362" i="8"/>
  <c r="U362" i="8"/>
  <c r="Q363" i="8" s="1"/>
  <c r="AT299" i="8" l="1"/>
  <c r="AQ299" i="8"/>
  <c r="K299" i="8"/>
  <c r="L299" i="8" s="1"/>
  <c r="R363" i="8"/>
  <c r="AM363" i="8" s="1"/>
  <c r="AP363" i="8" s="1"/>
  <c r="AS363" i="8" s="1"/>
  <c r="T363" i="8"/>
  <c r="N299" i="8" l="1"/>
  <c r="S363" i="8"/>
  <c r="U363" i="8"/>
  <c r="Q364" i="8" s="1"/>
  <c r="R364" i="8" s="1"/>
  <c r="AM364" i="8" s="1"/>
  <c r="AP364" i="8" s="1"/>
  <c r="AS364" i="8" s="1"/>
  <c r="J300" i="8" l="1"/>
  <c r="AR299" i="8"/>
  <c r="AV299" i="8"/>
  <c r="S364" i="8"/>
  <c r="U364" i="8"/>
  <c r="T364" i="8"/>
  <c r="AT300" i="8" l="1"/>
  <c r="AQ300" i="8"/>
  <c r="K300" i="8"/>
  <c r="L300" i="8" s="1"/>
  <c r="Q365" i="8"/>
  <c r="N300" i="8" l="1"/>
  <c r="R365" i="8"/>
  <c r="AM365" i="8" s="1"/>
  <c r="AP365" i="8" s="1"/>
  <c r="AS365" i="8" s="1"/>
  <c r="T365" i="8"/>
  <c r="AR300" i="8" l="1"/>
  <c r="AV300" i="8"/>
  <c r="J301" i="8"/>
  <c r="S365" i="8"/>
  <c r="U365" i="8"/>
  <c r="Q366" i="8" s="1"/>
  <c r="R366" i="8" s="1"/>
  <c r="AM366" i="8" s="1"/>
  <c r="AP366" i="8" s="1"/>
  <c r="AS366" i="8" s="1"/>
  <c r="AT301" i="8" l="1"/>
  <c r="AQ301" i="8"/>
  <c r="K301" i="8"/>
  <c r="L301" i="8" s="1"/>
  <c r="S366" i="8"/>
  <c r="U366" i="8"/>
  <c r="T366" i="8"/>
  <c r="N301" i="8" l="1"/>
  <c r="J302" i="8"/>
  <c r="AR301" i="8"/>
  <c r="AV301" i="8"/>
  <c r="Q367" i="8"/>
  <c r="AT302" i="8" l="1"/>
  <c r="AQ302" i="8"/>
  <c r="K302" i="8"/>
  <c r="L302" i="8" s="1"/>
  <c r="R367" i="8"/>
  <c r="T367" i="8"/>
  <c r="N302" i="8" l="1"/>
  <c r="AM367" i="8"/>
  <c r="AP367" i="8" s="1"/>
  <c r="AS367" i="8" s="1"/>
  <c r="S367" i="8"/>
  <c r="U367" i="8"/>
  <c r="AV302" i="8" l="1"/>
  <c r="AR302" i="8"/>
  <c r="J303" i="8"/>
  <c r="AT303" i="8" l="1"/>
  <c r="AQ303" i="8"/>
  <c r="K303" i="8"/>
  <c r="L303" i="8" s="1"/>
  <c r="N303" i="8" l="1"/>
  <c r="AR303" i="8" l="1"/>
  <c r="AV303" i="8"/>
  <c r="J304" i="8"/>
  <c r="AT304" i="8" l="1"/>
  <c r="AQ304" i="8"/>
  <c r="K304" i="8"/>
  <c r="L304" i="8" s="1"/>
  <c r="N304" i="8" l="1"/>
  <c r="AV304" i="8" l="1"/>
  <c r="J305" i="8"/>
  <c r="AR304" i="8"/>
  <c r="AT305" i="8" l="1"/>
  <c r="AQ305" i="8"/>
  <c r="K305" i="8"/>
  <c r="L305" i="8" s="1"/>
  <c r="N305" i="8" l="1"/>
  <c r="AV305" i="8" l="1"/>
  <c r="AR305" i="8"/>
  <c r="J306" i="8"/>
  <c r="AT306" i="8" l="1"/>
  <c r="AQ306" i="8"/>
  <c r="K306" i="8"/>
  <c r="L306" i="8" s="1"/>
  <c r="N306" i="8" l="1"/>
  <c r="AV306" i="8" l="1"/>
  <c r="J307" i="8"/>
  <c r="AR306" i="8"/>
  <c r="AT307" i="8" l="1"/>
  <c r="AQ307" i="8"/>
  <c r="K307" i="8"/>
  <c r="L307" i="8" s="1"/>
  <c r="N307" i="8" l="1"/>
  <c r="AR307" i="8" l="1"/>
  <c r="AV307" i="8"/>
  <c r="J308" i="8"/>
  <c r="AT308" i="8" l="1"/>
  <c r="AQ308" i="8"/>
  <c r="K308" i="8"/>
  <c r="L308" i="8" s="1"/>
  <c r="N308" i="8" l="1"/>
  <c r="AR308" i="8" l="1"/>
  <c r="AV308" i="8"/>
  <c r="J309" i="8"/>
  <c r="AT309" i="8" l="1"/>
  <c r="AQ309" i="8"/>
  <c r="K309" i="8"/>
  <c r="L309" i="8" s="1"/>
  <c r="N309" i="8" l="1"/>
  <c r="AR309" i="8" l="1"/>
  <c r="AV309" i="8"/>
  <c r="J310" i="8"/>
  <c r="AT310" i="8" l="1"/>
  <c r="AQ310" i="8"/>
  <c r="K310" i="8"/>
  <c r="L310" i="8" s="1"/>
  <c r="N310" i="8" l="1"/>
  <c r="AV310" i="8" l="1"/>
  <c r="J311" i="8"/>
  <c r="AR310" i="8"/>
  <c r="AT311" i="8" l="1"/>
  <c r="AQ311" i="8"/>
  <c r="K311" i="8"/>
  <c r="L311" i="8" s="1"/>
  <c r="N311" i="8" l="1"/>
  <c r="AV311" i="8"/>
  <c r="J312" i="8"/>
  <c r="AR311" i="8"/>
  <c r="AT312" i="8" l="1"/>
  <c r="AQ312" i="8"/>
  <c r="K312" i="8"/>
  <c r="L312" i="8" s="1"/>
  <c r="N312" i="8" l="1"/>
  <c r="AR312" i="8" l="1"/>
  <c r="AV312" i="8"/>
  <c r="J313" i="8"/>
  <c r="AT313" i="8" l="1"/>
  <c r="AQ313" i="8"/>
  <c r="K313" i="8"/>
  <c r="L313" i="8" s="1"/>
  <c r="N313" i="8" l="1"/>
  <c r="AV313" i="8" l="1"/>
  <c r="AR313" i="8"/>
  <c r="J314" i="8"/>
  <c r="AT314" i="8" l="1"/>
  <c r="AQ314" i="8"/>
  <c r="K314" i="8"/>
  <c r="L314" i="8" s="1"/>
  <c r="N314" i="8" l="1"/>
  <c r="J315" i="8" l="1"/>
  <c r="AV314" i="8"/>
  <c r="AR314" i="8"/>
  <c r="AT315" i="8" l="1"/>
  <c r="AQ315" i="8"/>
  <c r="K315" i="8"/>
  <c r="L315" i="8" s="1"/>
  <c r="N315" i="8" l="1"/>
  <c r="AR315" i="8"/>
  <c r="AV315" i="8"/>
  <c r="J316" i="8"/>
  <c r="AT316" i="8" l="1"/>
  <c r="AQ316" i="8"/>
  <c r="K316" i="8"/>
  <c r="L316" i="8" s="1"/>
  <c r="N316" i="8" l="1"/>
  <c r="AR316" i="8"/>
  <c r="AV316" i="8"/>
  <c r="J317" i="8"/>
  <c r="AT317" i="8" l="1"/>
  <c r="AQ317" i="8"/>
  <c r="K317" i="8"/>
  <c r="L317" i="8" s="1"/>
  <c r="N317" i="8" l="1"/>
  <c r="AV317" i="8"/>
  <c r="J318" i="8"/>
  <c r="AR317" i="8"/>
  <c r="AT318" i="8" l="1"/>
  <c r="AQ318" i="8"/>
  <c r="K318" i="8"/>
  <c r="L318" i="8" s="1"/>
  <c r="N318" i="8" l="1"/>
  <c r="AR318" i="8" l="1"/>
  <c r="AV318" i="8"/>
  <c r="J319" i="8"/>
  <c r="AT319" i="8" l="1"/>
  <c r="AQ319" i="8"/>
  <c r="K319" i="8"/>
  <c r="L319" i="8" s="1"/>
  <c r="N319" i="8" l="1"/>
  <c r="J320" i="8" l="1"/>
  <c r="AR319" i="8"/>
  <c r="AV319" i="8"/>
  <c r="AT320" i="8" l="1"/>
  <c r="AQ320" i="8"/>
  <c r="K320" i="8"/>
  <c r="L320" i="8" s="1"/>
  <c r="N320" i="8" l="1"/>
  <c r="J321" i="8" l="1"/>
  <c r="AR320" i="8"/>
  <c r="AV320" i="8"/>
  <c r="AT321" i="8" l="1"/>
  <c r="AQ321" i="8"/>
  <c r="K321" i="8"/>
  <c r="L321" i="8" s="1"/>
  <c r="N321" i="8" l="1"/>
  <c r="J322" i="8" l="1"/>
  <c r="AR321" i="8"/>
  <c r="AV321" i="8"/>
  <c r="AT322" i="8" l="1"/>
  <c r="AQ322" i="8"/>
  <c r="K322" i="8"/>
  <c r="L322" i="8" s="1"/>
  <c r="N322" i="8"/>
  <c r="AR322" i="8" l="1"/>
  <c r="AV322" i="8"/>
  <c r="J323" i="8"/>
  <c r="AT323" i="8" l="1"/>
  <c r="AQ323" i="8"/>
  <c r="K323" i="8"/>
  <c r="L323" i="8" s="1"/>
  <c r="N323" i="8" l="1"/>
  <c r="J324" i="8" l="1"/>
  <c r="AR323" i="8"/>
  <c r="AV323" i="8"/>
  <c r="AT324" i="8" l="1"/>
  <c r="AQ324" i="8"/>
  <c r="K324" i="8"/>
  <c r="L324" i="8" s="1"/>
  <c r="N324" i="8" l="1"/>
  <c r="J325" i="8" l="1"/>
  <c r="AR324" i="8"/>
  <c r="AV324" i="8"/>
  <c r="AT325" i="8" l="1"/>
  <c r="AQ325" i="8"/>
  <c r="K325" i="8"/>
  <c r="L325" i="8" s="1"/>
  <c r="N325" i="8" l="1"/>
  <c r="J326" i="8" l="1"/>
  <c r="AR325" i="8"/>
  <c r="AV325" i="8"/>
  <c r="AT326" i="8" l="1"/>
  <c r="AQ326" i="8"/>
  <c r="K326" i="8"/>
  <c r="L326" i="8" s="1"/>
  <c r="N326" i="8"/>
  <c r="AR326" i="8" l="1"/>
  <c r="AV326" i="8"/>
  <c r="J327" i="8"/>
  <c r="AT327" i="8" l="1"/>
  <c r="AQ327" i="8"/>
  <c r="K327" i="8"/>
  <c r="L327" i="8" s="1"/>
  <c r="N327" i="8"/>
  <c r="J328" i="8" l="1"/>
  <c r="AR327" i="8"/>
  <c r="AV327" i="8"/>
  <c r="AT328" i="8" l="1"/>
  <c r="AQ328" i="8"/>
  <c r="K328" i="8"/>
  <c r="L328" i="8" s="1"/>
  <c r="N328" i="8" l="1"/>
  <c r="AV328" i="8" l="1"/>
  <c r="J329" i="8"/>
  <c r="AR328" i="8"/>
  <c r="AT329" i="8" l="1"/>
  <c r="AQ329" i="8"/>
  <c r="K329" i="8"/>
  <c r="L329" i="8" s="1"/>
  <c r="N329" i="8" l="1"/>
  <c r="AR329" i="8" l="1"/>
  <c r="AV329" i="8"/>
  <c r="J330" i="8"/>
  <c r="AT330" i="8" l="1"/>
  <c r="AQ330" i="8"/>
  <c r="K330" i="8"/>
  <c r="L330" i="8" s="1"/>
  <c r="N330" i="8" l="1"/>
  <c r="J331" i="8"/>
  <c r="AR330" i="8"/>
  <c r="AV330" i="8"/>
  <c r="AT331" i="8" l="1"/>
  <c r="AQ331" i="8"/>
  <c r="K331" i="8"/>
  <c r="L331" i="8" s="1"/>
  <c r="N331" i="8" l="1"/>
  <c r="AV331" i="8" l="1"/>
  <c r="J332" i="8"/>
  <c r="AR331" i="8"/>
  <c r="AT332" i="8" l="1"/>
  <c r="AQ332" i="8"/>
  <c r="K332" i="8"/>
  <c r="L332" i="8" s="1"/>
  <c r="N332" i="8" l="1"/>
  <c r="J333" i="8" l="1"/>
  <c r="AR332" i="8"/>
  <c r="AV332" i="8"/>
  <c r="AT333" i="8" l="1"/>
  <c r="AQ333" i="8"/>
  <c r="K333" i="8"/>
  <c r="L333" i="8" s="1"/>
  <c r="N333" i="8" l="1"/>
  <c r="J334" i="8" l="1"/>
  <c r="AR333" i="8"/>
  <c r="AV333" i="8"/>
  <c r="AT334" i="8" l="1"/>
  <c r="AQ334" i="8"/>
  <c r="K334" i="8"/>
  <c r="L334" i="8" s="1"/>
  <c r="N334" i="8" l="1"/>
  <c r="AR334" i="8" l="1"/>
  <c r="AV334" i="8"/>
  <c r="J335" i="8"/>
  <c r="AT335" i="8" l="1"/>
  <c r="AQ335" i="8"/>
  <c r="K335" i="8"/>
  <c r="L335" i="8" s="1"/>
  <c r="N335" i="8" l="1"/>
  <c r="AV335" i="8"/>
  <c r="AR335" i="8"/>
  <c r="J336" i="8"/>
  <c r="AT336" i="8" l="1"/>
  <c r="AQ336" i="8"/>
  <c r="K336" i="8"/>
  <c r="L336" i="8" s="1"/>
  <c r="N336" i="8" l="1"/>
  <c r="J337" i="8" l="1"/>
  <c r="AR336" i="8"/>
  <c r="AV336" i="8"/>
  <c r="AT337" i="8" l="1"/>
  <c r="AQ337" i="8"/>
  <c r="K337" i="8"/>
  <c r="L337" i="8" s="1"/>
  <c r="N337" i="8" l="1"/>
  <c r="AR337" i="8"/>
  <c r="AV337" i="8"/>
  <c r="J338" i="8"/>
  <c r="AT338" i="8" l="1"/>
  <c r="AQ338" i="8"/>
  <c r="K338" i="8"/>
  <c r="L338" i="8" s="1"/>
  <c r="N338" i="8" l="1"/>
  <c r="AR338" i="8"/>
  <c r="AV338" i="8"/>
  <c r="J339" i="8"/>
  <c r="AT339" i="8" l="1"/>
  <c r="AQ339" i="8"/>
  <c r="K339" i="8"/>
  <c r="L339" i="8" s="1"/>
  <c r="N339" i="8" l="1"/>
  <c r="J340" i="8"/>
  <c r="AR339" i="8"/>
  <c r="AV339" i="8"/>
  <c r="AT340" i="8" l="1"/>
  <c r="AQ340" i="8"/>
  <c r="K340" i="8"/>
  <c r="L340" i="8" s="1"/>
  <c r="N340" i="8" l="1"/>
  <c r="AR340" i="8"/>
  <c r="AV340" i="8"/>
  <c r="J341" i="8"/>
  <c r="AT341" i="8" l="1"/>
  <c r="AQ341" i="8"/>
  <c r="K341" i="8"/>
  <c r="L341" i="8" s="1"/>
  <c r="N341" i="8" l="1"/>
  <c r="AV341" i="8"/>
  <c r="J342" i="8"/>
  <c r="AR341" i="8"/>
  <c r="AT342" i="8" l="1"/>
  <c r="AQ342" i="8"/>
  <c r="K342" i="8"/>
  <c r="L342" i="8" s="1"/>
  <c r="N342" i="8" l="1"/>
  <c r="AV342" i="8" l="1"/>
  <c r="AR342" i="8"/>
  <c r="J343" i="8"/>
  <c r="AT343" i="8" l="1"/>
  <c r="AQ343" i="8"/>
  <c r="K343" i="8"/>
  <c r="L343" i="8" s="1"/>
  <c r="N343" i="8" l="1"/>
  <c r="AV343" i="8" l="1"/>
  <c r="J344" i="8"/>
  <c r="AR343" i="8"/>
  <c r="AT344" i="8" l="1"/>
  <c r="AQ344" i="8"/>
  <c r="K344" i="8"/>
  <c r="L344" i="8" s="1"/>
  <c r="N344" i="8" l="1"/>
  <c r="AR344" i="8" l="1"/>
  <c r="AV344" i="8"/>
  <c r="J345" i="8"/>
  <c r="AT345" i="8" l="1"/>
  <c r="AQ345" i="8"/>
  <c r="K345" i="8"/>
  <c r="L345" i="8" s="1"/>
  <c r="N345" i="8" l="1"/>
  <c r="AV345" i="8" l="1"/>
  <c r="J346" i="8"/>
  <c r="AR345" i="8"/>
  <c r="AT346" i="8" l="1"/>
  <c r="AQ346" i="8"/>
  <c r="K346" i="8"/>
  <c r="L346" i="8" s="1"/>
  <c r="N346" i="8" l="1"/>
  <c r="J347" i="8"/>
  <c r="AR346" i="8"/>
  <c r="AV346" i="8"/>
  <c r="AT347" i="8" l="1"/>
  <c r="AQ347" i="8"/>
  <c r="K347" i="8"/>
  <c r="L347" i="8" s="1"/>
  <c r="N347" i="8" l="1"/>
  <c r="J348" i="8" l="1"/>
  <c r="AR347" i="8"/>
  <c r="AV347" i="8"/>
  <c r="AT348" i="8" l="1"/>
  <c r="AQ348" i="8"/>
  <c r="K348" i="8"/>
  <c r="L348" i="8" s="1"/>
  <c r="N348" i="8"/>
  <c r="J349" i="8" l="1"/>
  <c r="AR348" i="8"/>
  <c r="AV348" i="8"/>
  <c r="AT349" i="8" l="1"/>
  <c r="AQ349" i="8"/>
  <c r="K349" i="8"/>
  <c r="L349" i="8" s="1"/>
  <c r="N349" i="8" l="1"/>
  <c r="AV349" i="8"/>
  <c r="J350" i="8"/>
  <c r="AR349" i="8"/>
  <c r="AT350" i="8" l="1"/>
  <c r="AQ350" i="8"/>
  <c r="K350" i="8"/>
  <c r="L350" i="8" s="1"/>
  <c r="N350" i="8" l="1"/>
  <c r="J351" i="8" l="1"/>
  <c r="AR350" i="8"/>
  <c r="AV350" i="8"/>
  <c r="AT351" i="8" l="1"/>
  <c r="AQ351" i="8"/>
  <c r="K351" i="8"/>
  <c r="L351" i="8" s="1"/>
  <c r="N351" i="8" l="1"/>
  <c r="J352" i="8"/>
  <c r="AR351" i="8"/>
  <c r="AV351" i="8"/>
  <c r="AT352" i="8" l="1"/>
  <c r="AQ352" i="8"/>
  <c r="K352" i="8"/>
  <c r="L352" i="8" s="1"/>
  <c r="N352" i="8" l="1"/>
  <c r="J353" i="8"/>
  <c r="AR352" i="8"/>
  <c r="AV352" i="8"/>
  <c r="AT353" i="8" l="1"/>
  <c r="AQ353" i="8"/>
  <c r="K353" i="8"/>
  <c r="L353" i="8" s="1"/>
  <c r="N353" i="8" l="1"/>
  <c r="AR353" i="8" l="1"/>
  <c r="J354" i="8"/>
  <c r="AV353" i="8"/>
  <c r="AT354" i="8" l="1"/>
  <c r="AQ354" i="8"/>
  <c r="K354" i="8"/>
  <c r="L354" i="8" s="1"/>
  <c r="N354" i="8" l="1"/>
  <c r="AR354" i="8" l="1"/>
  <c r="AV354" i="8"/>
  <c r="J355" i="8"/>
  <c r="AT355" i="8" l="1"/>
  <c r="AQ355" i="8"/>
  <c r="K355" i="8"/>
  <c r="L355" i="8" s="1"/>
  <c r="N355" i="8" l="1"/>
  <c r="AV355" i="8" l="1"/>
  <c r="AR355" i="8"/>
  <c r="J356" i="8"/>
  <c r="AT356" i="8" l="1"/>
  <c r="AQ356" i="8"/>
  <c r="K356" i="8"/>
  <c r="L356" i="8" s="1"/>
  <c r="N356" i="8" l="1"/>
  <c r="J357" i="8" l="1"/>
  <c r="AR356" i="8"/>
  <c r="AV356" i="8"/>
  <c r="AT357" i="8" l="1"/>
  <c r="AQ357" i="8"/>
  <c r="K357" i="8"/>
  <c r="L357" i="8" s="1"/>
  <c r="N357" i="8" l="1"/>
  <c r="AV357" i="8" l="1"/>
  <c r="J358" i="8"/>
  <c r="AR357" i="8"/>
  <c r="AT358" i="8" l="1"/>
  <c r="AQ358" i="8"/>
  <c r="K358" i="8"/>
  <c r="L358" i="8" s="1"/>
  <c r="N358" i="8" l="1"/>
  <c r="AV358" i="8"/>
  <c r="J359" i="8"/>
  <c r="AR358" i="8"/>
  <c r="AT359" i="8" l="1"/>
  <c r="AQ359" i="8"/>
  <c r="K359" i="8"/>
  <c r="L359" i="8" s="1"/>
  <c r="N359" i="8" l="1"/>
  <c r="AR359" i="8" l="1"/>
  <c r="J360" i="8"/>
  <c r="AV359" i="8"/>
  <c r="AT360" i="8" l="1"/>
  <c r="AQ360" i="8"/>
  <c r="K360" i="8"/>
  <c r="L360" i="8" s="1"/>
  <c r="N360" i="8" l="1"/>
  <c r="AR360" i="8"/>
  <c r="AV360" i="8"/>
  <c r="J361" i="8"/>
  <c r="AT361" i="8" l="1"/>
  <c r="AQ361" i="8"/>
  <c r="K361" i="8"/>
  <c r="L361" i="8" s="1"/>
  <c r="N361" i="8" l="1"/>
  <c r="AR361" i="8"/>
  <c r="AV361" i="8"/>
  <c r="J362" i="8"/>
  <c r="AT362" i="8" l="1"/>
  <c r="AQ362" i="8"/>
  <c r="K362" i="8"/>
  <c r="L362" i="8" s="1"/>
  <c r="N362" i="8" l="1"/>
  <c r="J363" i="8" s="1"/>
  <c r="AT363" i="8" l="1"/>
  <c r="AV362" i="8"/>
  <c r="AR362" i="8"/>
  <c r="AQ363" i="8"/>
  <c r="K363" i="8"/>
  <c r="L363" i="8" s="1"/>
  <c r="N363" i="8" l="1"/>
  <c r="J364" i="8"/>
  <c r="AR363" i="8"/>
  <c r="AV363" i="8"/>
  <c r="AT364" i="8" l="1"/>
  <c r="AQ364" i="8"/>
  <c r="K364" i="8"/>
  <c r="L364" i="8" s="1"/>
  <c r="N364" i="8" l="1"/>
  <c r="AR364" i="8" l="1"/>
  <c r="AV364" i="8"/>
  <c r="J365" i="8"/>
  <c r="AT365" i="8" l="1"/>
  <c r="AQ365" i="8"/>
  <c r="K365" i="8"/>
  <c r="L365" i="8" s="1"/>
  <c r="N365" i="8" l="1"/>
  <c r="AR365" i="8" s="1"/>
  <c r="J366" i="8" l="1"/>
  <c r="AV365" i="8"/>
  <c r="AQ366" i="8"/>
  <c r="K366" i="8"/>
  <c r="L366" i="8" s="1"/>
  <c r="AT366" i="8" l="1"/>
  <c r="N366" i="8"/>
  <c r="AR366" i="8" l="1"/>
  <c r="AV366" i="8"/>
  <c r="J367" i="8"/>
  <c r="AT367" i="8" l="1"/>
  <c r="AQ367" i="8"/>
  <c r="K367" i="8"/>
  <c r="L367" i="8" s="1"/>
  <c r="N367" i="8" l="1"/>
  <c r="AR367" i="8"/>
  <c r="AV367" i="8"/>
</calcChain>
</file>

<file path=xl/comments1.xml><?xml version="1.0" encoding="utf-8"?>
<comments xmlns="http://schemas.openxmlformats.org/spreadsheetml/2006/main">
  <authors>
    <author>Jeffrey Hernandez</author>
  </authors>
  <commentList>
    <comment ref="C19" authorId="0">
      <text>
        <r>
          <rPr>
            <b/>
            <sz val="9"/>
            <color indexed="81"/>
            <rFont val="Tahoma"/>
            <family val="2"/>
          </rPr>
          <t>Jeffrey Hernandez:</t>
        </r>
        <r>
          <rPr>
            <sz val="9"/>
            <color indexed="81"/>
            <rFont val="Tahoma"/>
            <family val="2"/>
          </rPr>
          <t xml:space="preserve">
Use principal payments only, include PPOR, INV, Magiting</t>
        </r>
      </text>
    </comment>
  </commentList>
</comments>
</file>

<file path=xl/comments2.xml><?xml version="1.0" encoding="utf-8"?>
<comments xmlns="http://schemas.openxmlformats.org/spreadsheetml/2006/main">
  <authors>
    <author>Jeffrey Hernandez</author>
  </authors>
  <commentList>
    <comment ref="E6" authorId="0">
      <text>
        <r>
          <rPr>
            <b/>
            <sz val="9"/>
            <color indexed="81"/>
            <rFont val="Tahoma"/>
            <family val="2"/>
          </rPr>
          <t>Jeffrey Hernandez:</t>
        </r>
        <r>
          <rPr>
            <sz val="9"/>
            <color indexed="81"/>
            <rFont val="Tahoma"/>
            <family val="2"/>
          </rPr>
          <t xml:space="preserve">
Property+Stamp Duty+Conveyancing+Other costs</t>
        </r>
      </text>
    </comment>
    <comment ref="E7" authorId="0">
      <text>
        <r>
          <rPr>
            <b/>
            <sz val="9"/>
            <color indexed="81"/>
            <rFont val="Tahoma"/>
            <family val="2"/>
          </rPr>
          <t>Jeffrey Hernandez:</t>
        </r>
        <r>
          <rPr>
            <sz val="9"/>
            <color indexed="81"/>
            <rFont val="Tahoma"/>
            <family val="2"/>
          </rPr>
          <t xml:space="preserve">
Property+Stamp Duty+Conveyancing+Other costs</t>
        </r>
      </text>
    </comment>
    <comment ref="E8" authorId="0">
      <text>
        <r>
          <rPr>
            <b/>
            <sz val="9"/>
            <color indexed="81"/>
            <rFont val="Tahoma"/>
            <family val="2"/>
          </rPr>
          <t>Jeffrey Hernandez:</t>
        </r>
        <r>
          <rPr>
            <sz val="9"/>
            <color indexed="81"/>
            <rFont val="Tahoma"/>
            <family val="2"/>
          </rPr>
          <t xml:space="preserve">
Property+Stamp Duty+Conveyancing+Other costs</t>
        </r>
      </text>
    </comment>
    <comment ref="E9" authorId="0">
      <text>
        <r>
          <rPr>
            <b/>
            <sz val="9"/>
            <color indexed="81"/>
            <rFont val="Tahoma"/>
            <family val="2"/>
          </rPr>
          <t>Jeffrey Hernandez:</t>
        </r>
        <r>
          <rPr>
            <sz val="9"/>
            <color indexed="81"/>
            <rFont val="Tahoma"/>
            <family val="2"/>
          </rPr>
          <t xml:space="preserve">
Property+Stamp Duty+Conveyancing+Other costs</t>
        </r>
      </text>
    </comment>
  </commentList>
</comments>
</file>

<file path=xl/comments3.xml><?xml version="1.0" encoding="utf-8"?>
<comments xmlns="http://schemas.openxmlformats.org/spreadsheetml/2006/main">
  <authors>
    <author>Jeffrey Hernandez</author>
  </authors>
  <commentList>
    <comment ref="E2" authorId="0">
      <text>
        <r>
          <rPr>
            <b/>
            <sz val="9"/>
            <color indexed="81"/>
            <rFont val="Tahoma"/>
            <charset val="1"/>
          </rPr>
          <t>Jeffrey Hernandez:</t>
        </r>
        <r>
          <rPr>
            <sz val="9"/>
            <color indexed="81"/>
            <rFont val="Tahoma"/>
            <charset val="1"/>
          </rPr>
          <t xml:space="preserve">
Used as input to Repayments</t>
        </r>
      </text>
    </comment>
    <comment ref="H2" authorId="0">
      <text>
        <r>
          <rPr>
            <b/>
            <sz val="9"/>
            <color indexed="81"/>
            <rFont val="Tahoma"/>
            <charset val="1"/>
          </rPr>
          <t>Jeffrey Hernandez:</t>
        </r>
        <r>
          <rPr>
            <sz val="9"/>
            <color indexed="81"/>
            <rFont val="Tahoma"/>
            <charset val="1"/>
          </rPr>
          <t xml:space="preserve">
Used as input to Repayments</t>
        </r>
      </text>
    </comment>
  </commentList>
</comments>
</file>

<file path=xl/comments4.xml><?xml version="1.0" encoding="utf-8"?>
<comments xmlns="http://schemas.openxmlformats.org/spreadsheetml/2006/main">
  <authors>
    <author>Jeffrey Hernandez</author>
  </authors>
  <commentList>
    <comment ref="K2" authorId="0">
      <text>
        <r>
          <rPr>
            <b/>
            <sz val="9"/>
            <color indexed="81"/>
            <rFont val="Tahoma"/>
            <family val="2"/>
          </rPr>
          <t>Jeffrey Hernandez:</t>
        </r>
        <r>
          <rPr>
            <sz val="9"/>
            <color indexed="81"/>
            <rFont val="Tahoma"/>
            <family val="2"/>
          </rPr>
          <t xml:space="preserve">
$30K not included, as it is offset account with zero interest</t>
        </r>
      </text>
    </comment>
    <comment ref="R2" authorId="0">
      <text>
        <r>
          <rPr>
            <b/>
            <sz val="9"/>
            <color indexed="81"/>
            <rFont val="Tahoma"/>
            <family val="2"/>
          </rPr>
          <t>Jeffrey Hernandez:</t>
        </r>
        <r>
          <rPr>
            <sz val="9"/>
            <color indexed="81"/>
            <rFont val="Tahoma"/>
            <family val="2"/>
          </rPr>
          <t xml:space="preserve">
$30K not included, as it is offset account with zero interest</t>
        </r>
      </text>
    </comment>
    <comment ref="Y2" authorId="0">
      <text>
        <r>
          <rPr>
            <b/>
            <sz val="9"/>
            <color indexed="81"/>
            <rFont val="Tahoma"/>
            <family val="2"/>
          </rPr>
          <t>Jeffrey Hernandez:</t>
        </r>
        <r>
          <rPr>
            <sz val="9"/>
            <color indexed="81"/>
            <rFont val="Tahoma"/>
            <family val="2"/>
          </rPr>
          <t xml:space="preserve">
$30K not included, as it is offset account with zero interest</t>
        </r>
      </text>
    </comment>
    <comment ref="AF2" authorId="0">
      <text>
        <r>
          <rPr>
            <b/>
            <sz val="9"/>
            <color indexed="81"/>
            <rFont val="Tahoma"/>
            <family val="2"/>
          </rPr>
          <t>Jeffrey Hernandez:</t>
        </r>
        <r>
          <rPr>
            <sz val="9"/>
            <color indexed="81"/>
            <rFont val="Tahoma"/>
            <family val="2"/>
          </rPr>
          <t xml:space="preserve">
$30K not included, as it is offset account with zero interest</t>
        </r>
      </text>
    </comment>
    <comment ref="K4" authorId="0">
      <text>
        <r>
          <rPr>
            <b/>
            <sz val="9"/>
            <color indexed="81"/>
            <rFont val="Tahoma"/>
            <family val="2"/>
          </rPr>
          <t>Jeffrey Hernandez:</t>
        </r>
        <r>
          <rPr>
            <sz val="9"/>
            <color indexed="81"/>
            <rFont val="Tahoma"/>
            <family val="2"/>
          </rPr>
          <t xml:space="preserve">
30 year loan in months</t>
        </r>
      </text>
    </comment>
    <comment ref="R4" authorId="0">
      <text>
        <r>
          <rPr>
            <b/>
            <sz val="9"/>
            <color indexed="81"/>
            <rFont val="Tahoma"/>
            <family val="2"/>
          </rPr>
          <t>Jeffrey Hernandez:</t>
        </r>
        <r>
          <rPr>
            <sz val="9"/>
            <color indexed="81"/>
            <rFont val="Tahoma"/>
            <family val="2"/>
          </rPr>
          <t xml:space="preserve">
30 year loan in months</t>
        </r>
      </text>
    </comment>
    <comment ref="Y4" authorId="0">
      <text>
        <r>
          <rPr>
            <b/>
            <sz val="9"/>
            <color indexed="81"/>
            <rFont val="Tahoma"/>
            <family val="2"/>
          </rPr>
          <t>Jeffrey Hernandez:</t>
        </r>
        <r>
          <rPr>
            <sz val="9"/>
            <color indexed="81"/>
            <rFont val="Tahoma"/>
            <family val="2"/>
          </rPr>
          <t xml:space="preserve">
30 year loan in months</t>
        </r>
      </text>
    </comment>
    <comment ref="AF4" authorId="0">
      <text>
        <r>
          <rPr>
            <b/>
            <sz val="9"/>
            <color indexed="81"/>
            <rFont val="Tahoma"/>
            <family val="2"/>
          </rPr>
          <t>Jeffrey Hernandez:</t>
        </r>
        <r>
          <rPr>
            <sz val="9"/>
            <color indexed="81"/>
            <rFont val="Tahoma"/>
            <family val="2"/>
          </rPr>
          <t xml:space="preserve">
30 year loan in months</t>
        </r>
      </text>
    </comment>
    <comment ref="Q8" authorId="0">
      <text>
        <r>
          <rPr>
            <b/>
            <sz val="9"/>
            <color indexed="81"/>
            <rFont val="Tahoma"/>
            <family val="2"/>
          </rPr>
          <t>Jeffrey Hernandez:</t>
        </r>
        <r>
          <rPr>
            <sz val="9"/>
            <color indexed="81"/>
            <rFont val="Tahoma"/>
            <family val="2"/>
          </rPr>
          <t xml:space="preserve">
If PI, get starting balance from previous period ending balance (which would be net of repayments)
If IO, starting balance will not change, as excess repayments will go into offset balance of previous period</t>
        </r>
      </text>
    </comment>
    <comment ref="T8" authorId="0">
      <text>
        <r>
          <rPr>
            <b/>
            <sz val="9"/>
            <color indexed="81"/>
            <rFont val="Tahoma"/>
            <family val="2"/>
          </rPr>
          <t>Jeffrey Hernandez:</t>
        </r>
        <r>
          <rPr>
            <sz val="9"/>
            <color indexed="81"/>
            <rFont val="Tahoma"/>
            <family val="2"/>
          </rPr>
          <t xml:space="preserve">
Running balance</t>
        </r>
      </text>
    </comment>
    <comment ref="U8" authorId="0">
      <text>
        <r>
          <rPr>
            <b/>
            <sz val="9"/>
            <color indexed="81"/>
            <rFont val="Tahoma"/>
            <family val="2"/>
          </rPr>
          <t>Jeffrey Hernandez:</t>
        </r>
        <r>
          <rPr>
            <sz val="9"/>
            <color indexed="81"/>
            <rFont val="Tahoma"/>
            <family val="2"/>
          </rPr>
          <t xml:space="preserve">
Balance at end of month to be used as basis for interest calculation e.g., 
if PI, deduct monthly repayment from starting balance.  
If IO, deduct monthly repayment and offset balance from ending balance (note that separate formula in starting balance where it will not change if loan type is IO)</t>
        </r>
      </text>
    </comment>
    <comment ref="AP8" authorId="0">
      <text>
        <r>
          <rPr>
            <b/>
            <sz val="10"/>
            <color indexed="81"/>
            <rFont val="Arial"/>
            <family val="2"/>
          </rPr>
          <t>Financial Year taxes running total ; use the value in June for the financial year
Wentworthville + Black Diamond only; Shane is in trust
Used only for tax refund calculations at nominal rate</t>
        </r>
        <r>
          <rPr>
            <sz val="10"/>
            <color indexed="81"/>
            <rFont val="Arial"/>
            <family val="2"/>
          </rPr>
          <t xml:space="preserve">
</t>
        </r>
      </text>
    </comment>
    <comment ref="AR8" authorId="0">
      <text>
        <r>
          <rPr>
            <b/>
            <sz val="10"/>
            <color indexed="81"/>
            <rFont val="Arial"/>
            <family val="2"/>
          </rPr>
          <t xml:space="preserve">Rooty Hill + 308 + BD
</t>
        </r>
      </text>
    </comment>
    <comment ref="AV8" authorId="0">
      <text>
        <r>
          <rPr>
            <b/>
            <sz val="9"/>
            <color indexed="81"/>
            <rFont val="Tahoma"/>
            <family val="2"/>
          </rPr>
          <t>Rooty Hill + 308 + BD + Shane</t>
        </r>
      </text>
    </comment>
    <comment ref="AX13" authorId="0">
      <text>
        <r>
          <rPr>
            <b/>
            <sz val="9"/>
            <color indexed="81"/>
            <rFont val="Tahoma"/>
            <charset val="1"/>
          </rPr>
          <t>Jeffrey Hernandez:</t>
        </r>
        <r>
          <rPr>
            <sz val="9"/>
            <color indexed="81"/>
            <rFont val="Tahoma"/>
            <charset val="1"/>
          </rPr>
          <t xml:space="preserve">
Total owed:  PPOR, 308, Black Diamond, Shane</t>
        </r>
      </text>
    </comment>
    <comment ref="AX19" authorId="0">
      <text>
        <r>
          <rPr>
            <b/>
            <sz val="9"/>
            <color indexed="81"/>
            <rFont val="Tahoma"/>
            <charset val="1"/>
          </rPr>
          <t>Jeffrey Hernandez:</t>
        </r>
        <r>
          <rPr>
            <sz val="9"/>
            <color indexed="81"/>
            <rFont val="Tahoma"/>
            <charset val="1"/>
          </rPr>
          <t xml:space="preserve">
Total repayments  PPOR, 308, Black Diamond, Shane</t>
        </r>
      </text>
    </comment>
    <comment ref="AX26" authorId="0">
      <text>
        <r>
          <rPr>
            <b/>
            <sz val="9"/>
            <color indexed="81"/>
            <rFont val="Tahoma"/>
            <charset val="1"/>
          </rPr>
          <t>Jeffrey Hernandez:</t>
        </r>
        <r>
          <rPr>
            <sz val="9"/>
            <color indexed="81"/>
            <rFont val="Tahoma"/>
            <charset val="1"/>
          </rPr>
          <t xml:space="preserve">
Refundable interest only, as this is used for cashflow calculation:  PPOR, 308, Black Diamond</t>
        </r>
      </text>
    </comment>
  </commentList>
</comments>
</file>

<file path=xl/sharedStrings.xml><?xml version="1.0" encoding="utf-8"?>
<sst xmlns="http://schemas.openxmlformats.org/spreadsheetml/2006/main" count="2089" uniqueCount="233">
  <si>
    <t>Growth</t>
  </si>
  <si>
    <t>Type</t>
  </si>
  <si>
    <t>60 yrs</t>
  </si>
  <si>
    <t>Description</t>
  </si>
  <si>
    <t>Shares</t>
  </si>
  <si>
    <t>SMSF</t>
  </si>
  <si>
    <t>Property</t>
  </si>
  <si>
    <t>Super</t>
  </si>
  <si>
    <t>Bank Account</t>
  </si>
  <si>
    <t>Jeff Offset WW xx9474</t>
  </si>
  <si>
    <t>Jeffrey Hernandez, Cristina Hernandez</t>
  </si>
  <si>
    <t>RH Offset xx5182</t>
  </si>
  <si>
    <t>RH Offset xx5190</t>
  </si>
  <si>
    <t>Tin - Cash xx5865</t>
  </si>
  <si>
    <t>Tin - Rent and Salary xx1575</t>
  </si>
  <si>
    <t>Cristina Hernandez, Jeffrey Hernandez</t>
  </si>
  <si>
    <t>WW Offset xx6867</t>
  </si>
  <si>
    <t>BD Offset xx1893</t>
  </si>
  <si>
    <t>Magiting Investments Pty Ltd</t>
  </si>
  <si>
    <t>Magiting Inv Trustee xx2243</t>
  </si>
  <si>
    <t>Wentworthville</t>
  </si>
  <si>
    <t>Value Growth</t>
  </si>
  <si>
    <t>Owner</t>
  </si>
  <si>
    <t>Name</t>
  </si>
  <si>
    <t>PAYG</t>
  </si>
  <si>
    <t>Jeff - STVR 2025</t>
  </si>
  <si>
    <t>Self Employed Income</t>
  </si>
  <si>
    <t>F1 Tax - Company Income</t>
  </si>
  <si>
    <t>Rental Income</t>
  </si>
  <si>
    <t>Owing</t>
  </si>
  <si>
    <t>Limit</t>
  </si>
  <si>
    <t>4/10 Abraham Street, Rooty Hill, New South Wales, 2766</t>
  </si>
  <si>
    <t>4/304 Great Western Highway Way, Wentworthville, New South Wales, 2145</t>
  </si>
  <si>
    <t>403/335 Anketell Street, Greenway, Australian Capital Territory, 2900</t>
  </si>
  <si>
    <t>8 Shane Street, Colyton, New South Wales, 2760</t>
  </si>
  <si>
    <t>Black Diamond</t>
  </si>
  <si>
    <t>Shane St (Main)</t>
  </si>
  <si>
    <t>Shane St (Granny)</t>
  </si>
  <si>
    <t>Interest Rate</t>
  </si>
  <si>
    <t>Monthly Repayment</t>
  </si>
  <si>
    <t>Property Loan</t>
  </si>
  <si>
    <t>RH Fixed Loan xx5182</t>
  </si>
  <si>
    <t>RH Loan x5190</t>
  </si>
  <si>
    <t>WW RH xx4508 Top-up</t>
  </si>
  <si>
    <t>BD RH xx1893 Top-up</t>
  </si>
  <si>
    <t>WW RH xx6867 Top-up</t>
  </si>
  <si>
    <t>SH RH xx9773 Top-up</t>
  </si>
  <si>
    <t>BD xx4741</t>
  </si>
  <si>
    <t>WW xx9474</t>
  </si>
  <si>
    <t>SH xx4901</t>
  </si>
  <si>
    <t>Lease</t>
  </si>
  <si>
    <t>SG Fleet</t>
  </si>
  <si>
    <t>Credit Card or Store Card</t>
  </si>
  <si>
    <t>CBA Ultimate Awards</t>
  </si>
  <si>
    <t>WBC Shares (Tradeable)</t>
  </si>
  <si>
    <t>CBA Shares (ESS)</t>
  </si>
  <si>
    <t>CBA Shares (Renounceable Rights Allotment)</t>
  </si>
  <si>
    <t>Managed Fund</t>
  </si>
  <si>
    <t>Futurity / ASG Education Bond Fund xx3689</t>
  </si>
  <si>
    <t>Mercer</t>
  </si>
  <si>
    <t>ART</t>
  </si>
  <si>
    <t>Food Expenses</t>
  </si>
  <si>
    <t>Cigarettes &amp; alcohol</t>
  </si>
  <si>
    <t>Discretionary Expenses</t>
  </si>
  <si>
    <t>Entertainment</t>
  </si>
  <si>
    <t>Domestic holidays</t>
  </si>
  <si>
    <t>Clothing, shoes &amp; accessories</t>
  </si>
  <si>
    <t>Hairdressing &amp; grooming</t>
  </si>
  <si>
    <t>Phone, Internet &amp; pay TV</t>
  </si>
  <si>
    <t>Media streaming &amp; subscription services</t>
  </si>
  <si>
    <t>Gifts &amp; celebrations</t>
  </si>
  <si>
    <t>Other discretionary expenses</t>
  </si>
  <si>
    <t>Pets</t>
  </si>
  <si>
    <t>Children and Education Expenses</t>
  </si>
  <si>
    <t>Public education costs</t>
  </si>
  <si>
    <t>Private education costs</t>
  </si>
  <si>
    <t>Tertiary &amp; vocational education</t>
  </si>
  <si>
    <t>Childcare</t>
  </si>
  <si>
    <t>Gym fees, sport, other health &amp; wellness</t>
  </si>
  <si>
    <t>Private health insurance</t>
  </si>
  <si>
    <t>Life, trauma, income insurance</t>
  </si>
  <si>
    <t>Transport Expenses</t>
  </si>
  <si>
    <t>Recreational vehicle running costs</t>
  </si>
  <si>
    <t>Essential vehicle running cost</t>
  </si>
  <si>
    <t>Public transport, taxis &amp; ride share, commuting airfares</t>
  </si>
  <si>
    <t>Essential vehicle insurance</t>
  </si>
  <si>
    <t>Property Expenses</t>
  </si>
  <si>
    <t>Primary residence running costs</t>
  </si>
  <si>
    <t>Secondary residence running costs</t>
  </si>
  <si>
    <t>Investment property running costs</t>
  </si>
  <si>
    <t>Other Commitments</t>
  </si>
  <si>
    <t>Child or spousal maintenance</t>
  </si>
  <si>
    <t>Current rent expense</t>
  </si>
  <si>
    <t>Ongoing board expense</t>
  </si>
  <si>
    <t>Amount</t>
  </si>
  <si>
    <t>Frequency</t>
  </si>
  <si>
    <t>Monthly Total</t>
  </si>
  <si>
    <t>Food &amp; Supermarket</t>
  </si>
  <si>
    <t>Weekly</t>
  </si>
  <si>
    <t>Coffees, lunches &amp; takeaways</t>
  </si>
  <si>
    <t>Monthly</t>
  </si>
  <si>
    <t>Annually</t>
  </si>
  <si>
    <t>Health and Wellness Expenses</t>
  </si>
  <si>
    <t>Doctor, Dentist, Pharmacy, glasses</t>
  </si>
  <si>
    <t>Primary residence body corp.</t>
  </si>
  <si>
    <t>Quarterly</t>
  </si>
  <si>
    <t>Secondary residence body corp.</t>
  </si>
  <si>
    <t>Total Monthly</t>
  </si>
  <si>
    <t>Inflation Rate</t>
  </si>
  <si>
    <t>Non-zero (CPI or inflation rate) show of money in TODAY'S dollars.  Set to zero if future values do not want to account for inflation</t>
  </si>
  <si>
    <t>Principal</t>
  </si>
  <si>
    <t>Interest rate</t>
  </si>
  <si>
    <t>Loan Term</t>
  </si>
  <si>
    <t>Compound Periods per Year</t>
  </si>
  <si>
    <t>Payment #</t>
  </si>
  <si>
    <t>Financial Year</t>
  </si>
  <si>
    <t>Payment Date</t>
  </si>
  <si>
    <t># of Days</t>
  </si>
  <si>
    <t>Loan Type</t>
  </si>
  <si>
    <t>Starting Balance</t>
  </si>
  <si>
    <t>Monthly Interest</t>
  </si>
  <si>
    <t>Monthly Principal</t>
  </si>
  <si>
    <t>Ending Balance</t>
  </si>
  <si>
    <t>PI</t>
  </si>
  <si>
    <t>PPOR</t>
  </si>
  <si>
    <t>Shane St</t>
  </si>
  <si>
    <t>Annual compounding periods</t>
  </si>
  <si>
    <t>Offset</t>
  </si>
  <si>
    <t>Current Value</t>
  </si>
  <si>
    <t>Acquire Value</t>
  </si>
  <si>
    <t>All 308 loans, including top-ups on RH</t>
  </si>
  <si>
    <t>Start Payment</t>
  </si>
  <si>
    <t>Month</t>
  </si>
  <si>
    <t>Total Owing</t>
  </si>
  <si>
    <t>Calendar Month</t>
  </si>
  <si>
    <t>Column Labels</t>
  </si>
  <si>
    <t>Expenses</t>
  </si>
  <si>
    <t>Liabilities</t>
  </si>
  <si>
    <t>Net Wealth</t>
  </si>
  <si>
    <t>Total Repayments</t>
  </si>
  <si>
    <t>Repayments</t>
  </si>
  <si>
    <t>Net Cashflow</t>
  </si>
  <si>
    <t>%  Own</t>
  </si>
  <si>
    <t>Tin</t>
  </si>
  <si>
    <t>Magiting</t>
  </si>
  <si>
    <t>Jeff</t>
  </si>
  <si>
    <t>Gravitax - Company Income</t>
  </si>
  <si>
    <t>Hernandez Accountants</t>
  </si>
  <si>
    <t>Rental Interest Expense</t>
  </si>
  <si>
    <t>Rental Running Costs</t>
  </si>
  <si>
    <t>Annual</t>
  </si>
  <si>
    <t>308 Interest</t>
  </si>
  <si>
    <t>BD Interest</t>
  </si>
  <si>
    <t>Sum of 308 Interest</t>
  </si>
  <si>
    <t>Sum of BD Interest</t>
  </si>
  <si>
    <t>Shane Interest</t>
  </si>
  <si>
    <t>Sum of Shane Interest</t>
  </si>
  <si>
    <t>Sum of 2026</t>
  </si>
  <si>
    <t>Sum of 2027</t>
  </si>
  <si>
    <t>Sum of 2028</t>
  </si>
  <si>
    <t>Sum of 2029</t>
  </si>
  <si>
    <t>Sum of 2030</t>
  </si>
  <si>
    <t>Sum of 2031</t>
  </si>
  <si>
    <t>Sum of 2032</t>
  </si>
  <si>
    <t>Sum of 2033</t>
  </si>
  <si>
    <t>Sum of 2034</t>
  </si>
  <si>
    <t>Sum of 2035</t>
  </si>
  <si>
    <t>Sum of 2036</t>
  </si>
  <si>
    <t>Sum of 2037</t>
  </si>
  <si>
    <t>Sum of 2038</t>
  </si>
  <si>
    <t>Sum of 2042</t>
  </si>
  <si>
    <t>Sum of 2039</t>
  </si>
  <si>
    <t>Sum of 2040</t>
  </si>
  <si>
    <t>Sum of 2041</t>
  </si>
  <si>
    <t>Sum of 2043</t>
  </si>
  <si>
    <t>Sum of 2044</t>
  </si>
  <si>
    <t>Sum of 2045</t>
  </si>
  <si>
    <t>Sum of 2046</t>
  </si>
  <si>
    <t>Sum of 2047</t>
  </si>
  <si>
    <t>Sum of 2048</t>
  </si>
  <si>
    <t>Sum of 2049</t>
  </si>
  <si>
    <t>Sum of 2050</t>
  </si>
  <si>
    <t>Sum of 2051</t>
  </si>
  <si>
    <t>Sum of 2052</t>
  </si>
  <si>
    <t>Sum of 2053</t>
  </si>
  <si>
    <t>Sum of 2054</t>
  </si>
  <si>
    <t>Sum of 2055</t>
  </si>
  <si>
    <t>Jeff Tax</t>
  </si>
  <si>
    <t>Tin Tax</t>
  </si>
  <si>
    <t>Joint</t>
  </si>
  <si>
    <t>Personal Repayments</t>
  </si>
  <si>
    <t>Personal Owing</t>
  </si>
  <si>
    <t>Total Interest</t>
  </si>
  <si>
    <t>Interest</t>
  </si>
  <si>
    <t>Personal Interest</t>
  </si>
  <si>
    <t>Sum of Personal Interest</t>
  </si>
  <si>
    <t>Sum of Total Owing</t>
  </si>
  <si>
    <t>Sum of Total Repayments</t>
  </si>
  <si>
    <t>Jeff Net Tax Rate</t>
  </si>
  <si>
    <t>Tin Net Tax Rate</t>
  </si>
  <si>
    <t>Eg: Property, Cars, Investments, SMSF, Superannuation, Cash in Bank, Shares</t>
  </si>
  <si>
    <t>Purchase Price</t>
  </si>
  <si>
    <t>Owned By</t>
  </si>
  <si>
    <t>Acquisition Date</t>
  </si>
  <si>
    <t>Notes</t>
  </si>
  <si>
    <t>Futurity /  ASG Education Bond Fund</t>
  </si>
  <si>
    <t>CBA Shares (Tradeable)</t>
  </si>
  <si>
    <t>Jeffrey Hernandez</t>
  </si>
  <si>
    <t>Jeff - Cash xx1534</t>
  </si>
  <si>
    <t>Cristina Hernandez</t>
  </si>
  <si>
    <t>ING - Savings and Repayments</t>
  </si>
  <si>
    <t>CBA Shares (In Plan)</t>
  </si>
  <si>
    <t>Jeff - Australian Retirement Trust</t>
  </si>
  <si>
    <t>Jeff - Mercer Super</t>
  </si>
  <si>
    <t>WW Offset xx4508</t>
  </si>
  <si>
    <t>Futurity /  ASG Education Bond Fund xx3689</t>
  </si>
  <si>
    <t>Douglas</t>
  </si>
  <si>
    <t>Total Principal</t>
  </si>
  <si>
    <t>Sum of Total Principal</t>
  </si>
  <si>
    <t>Principal Repayments</t>
  </si>
  <si>
    <t>SG Fleet Lease</t>
  </si>
  <si>
    <t>Carnival</t>
  </si>
  <si>
    <t>Snapshot as of June 30, 2026</t>
  </si>
  <si>
    <t>Adjust repayments sheet so that each liability has its own start date (for use in next property purchase scenario)</t>
  </si>
  <si>
    <t>Simplify calculation for personal and non-personal interest/principal/repayment calculations</t>
  </si>
  <si>
    <t>How do you handle scenarios - separate worksheet or add to income?  Or add to forecast (since it's planning anyway)?</t>
  </si>
  <si>
    <t>Scenarios</t>
  </si>
  <si>
    <t>Jarvih Uni</t>
  </si>
  <si>
    <t>Jeci Uni</t>
  </si>
  <si>
    <t>Aiah Uni</t>
  </si>
  <si>
    <t>Jeran Uni</t>
  </si>
  <si>
    <t>Japan Trip</t>
  </si>
  <si>
    <t>Fiji Cruise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</si>
</sst>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8" formatCode="&quot;$&quot;#,##0.00;[Red]\-&quot;$&quot;#,##0.00"/>
    <numFmt numFmtId="43" formatCode="_-* #,##0.00_-;\-* #,##0.00_-;_-* &quot;-&quot;??_-;_-@_-"/>
    <numFmt numFmtId="164" formatCode="_-* #,##0_-;\-* #,##0_-;_-* &quot;-&quot;??_-;_-@_-"/>
    <numFmt numFmtId="165" formatCode="0.0%"/>
    <numFmt numFmtId="166" formatCode="[$-C09]dd\-mmm\-yy;@"/>
  </numFmts>
  <fonts count="28">
    <font>
      <sz val="11"/>
      <color theme="1"/>
      <name val="Calibri"/>
      <family val="2"/>
      <scheme val="minor"/>
    </font>
    <font>
      <sz val="11"/>
      <color theme="1"/>
      <name val="Calibri"/>
      <family val="2"/>
      <scheme val="minor"/>
    </font>
    <font>
      <sz val="11"/>
      <color theme="0"/>
      <name val="Calibri"/>
      <family val="2"/>
      <scheme val="minor"/>
    </font>
    <font>
      <b/>
      <sz val="11"/>
      <color rgb="FF23282C"/>
      <name val="Calibri"/>
      <family val="2"/>
      <scheme val="minor"/>
    </font>
    <font>
      <sz val="11"/>
      <color rgb="FF23282C"/>
      <name val="Calibri"/>
      <family val="2"/>
      <scheme val="minor"/>
    </font>
    <font>
      <sz val="11"/>
      <color rgb="FF000000"/>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theme="0"/>
      <name val="Calibri"/>
      <family val="2"/>
      <scheme val="minor"/>
    </font>
    <font>
      <b/>
      <i/>
      <sz val="11"/>
      <color theme="1"/>
      <name val="Calibri"/>
      <family val="2"/>
      <scheme val="minor"/>
    </font>
    <font>
      <sz val="11"/>
      <name val="Calibri"/>
      <family val="2"/>
      <scheme val="minor"/>
    </font>
    <font>
      <b/>
      <sz val="9"/>
      <color indexed="81"/>
      <name val="Tahoma"/>
      <family val="2"/>
    </font>
    <font>
      <sz val="9"/>
      <color indexed="81"/>
      <name val="Tahoma"/>
      <family val="2"/>
    </font>
    <font>
      <b/>
      <sz val="11"/>
      <color rgb="FF006100"/>
      <name val="Calibri"/>
      <family val="2"/>
      <scheme val="minor"/>
    </font>
    <font>
      <sz val="10"/>
      <color indexed="81"/>
      <name val="Arial"/>
      <family val="2"/>
    </font>
    <font>
      <b/>
      <sz val="10"/>
      <color indexed="81"/>
      <name val="Arial"/>
      <family val="2"/>
    </font>
    <font>
      <b/>
      <sz val="11"/>
      <color rgb="FFFA7D00"/>
      <name val="Calibri"/>
      <family val="2"/>
      <scheme val="minor"/>
    </font>
    <font>
      <b/>
      <i/>
      <sz val="11"/>
      <color rgb="FF006100"/>
      <name val="Calibri"/>
      <family val="2"/>
      <scheme val="minor"/>
    </font>
    <font>
      <b/>
      <i/>
      <sz val="11"/>
      <name val="Calibri"/>
      <family val="2"/>
      <scheme val="minor"/>
    </font>
    <font>
      <b/>
      <i/>
      <sz val="11"/>
      <color rgb="FF9C0006"/>
      <name val="Calibri"/>
      <family val="2"/>
      <scheme val="minor"/>
    </font>
    <font>
      <sz val="9"/>
      <color indexed="81"/>
      <name val="Tahoma"/>
      <charset val="1"/>
    </font>
    <font>
      <b/>
      <sz val="9"/>
      <color indexed="81"/>
      <name val="Tahoma"/>
      <charset val="1"/>
    </font>
    <font>
      <b/>
      <sz val="9"/>
      <color rgb="FFF2F2F2"/>
      <name val="Arial"/>
      <family val="2"/>
    </font>
    <font>
      <sz val="8"/>
      <color rgb="FFF2F2F2"/>
      <name val="Arial"/>
      <family val="2"/>
    </font>
    <font>
      <sz val="9"/>
      <color theme="1"/>
      <name val="Arial"/>
      <family val="2"/>
    </font>
    <font>
      <b/>
      <i/>
      <sz val="11"/>
      <name val="Calibri"/>
      <scheme val="minor"/>
    </font>
  </fonts>
  <fills count="27">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002060"/>
        <bgColor indexed="64"/>
      </patternFill>
    </fill>
    <fill>
      <patternFill patternType="solid">
        <fgColor rgb="FFD9D9D9"/>
        <bgColor indexed="64"/>
      </patternFill>
    </fill>
    <fill>
      <patternFill patternType="solid">
        <fgColor rgb="FFF2F2F2"/>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theme="6"/>
      </patternFill>
    </fill>
    <fill>
      <patternFill patternType="solid">
        <fgColor theme="8"/>
      </patternFill>
    </fill>
    <fill>
      <patternFill patternType="solid">
        <fgColor theme="9"/>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rgb="FFF2F2F2"/>
      </patternFill>
    </fill>
    <fill>
      <patternFill patternType="solid">
        <fgColor rgb="FF66FF66"/>
        <bgColor indexed="64"/>
      </patternFill>
    </fill>
    <fill>
      <patternFill patternType="solid">
        <fgColor theme="9"/>
        <bgColor indexed="64"/>
      </patternFill>
    </fill>
    <fill>
      <patternFill patternType="solid">
        <fgColor theme="8" tint="0.79998168889431442"/>
        <bgColor indexed="65"/>
      </patternFill>
    </fill>
    <fill>
      <patternFill patternType="solid">
        <fgColor theme="8" tint="0.79998168889431442"/>
        <bgColor indexed="64"/>
      </patternFill>
    </fill>
    <fill>
      <patternFill patternType="solid">
        <fgColor theme="8" tint="0.79998168889431442"/>
        <bgColor theme="4" tint="0.79998168889431442"/>
      </patternFill>
    </fill>
    <fill>
      <patternFill patternType="solid">
        <fgColor rgb="FF99FF33"/>
        <bgColor theme="9" tint="0.59999389629810485"/>
      </patternFill>
    </fill>
    <fill>
      <patternFill patternType="solid">
        <fgColor theme="8" tint="-0.249977111117893"/>
        <bgColor indexed="64"/>
      </patternFill>
    </fill>
    <fill>
      <patternFill patternType="solid">
        <fgColor theme="9" tint="0.39997558519241921"/>
        <bgColor theme="4" tint="0.79998168889431442"/>
      </patternFill>
    </fill>
  </fills>
  <borders count="15">
    <border>
      <left/>
      <right/>
      <top/>
      <bottom/>
      <diagonal/>
    </border>
    <border>
      <left style="medium">
        <color rgb="FFC8CED3"/>
      </left>
      <right style="medium">
        <color rgb="FFC8CED3"/>
      </right>
      <top style="medium">
        <color rgb="FFC8CED3"/>
      </top>
      <bottom style="medium">
        <color rgb="FFC8CED3"/>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C8CED3"/>
      </right>
      <top/>
      <bottom/>
      <diagonal/>
    </border>
    <border>
      <left style="thin">
        <color rgb="FF7F7F7F"/>
      </left>
      <right style="thin">
        <color rgb="FF7F7F7F"/>
      </right>
      <top style="thin">
        <color rgb="FF7F7F7F"/>
      </top>
      <bottom style="thin">
        <color rgb="FF7F7F7F"/>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9" tint="0.79998168889431442"/>
      </top>
      <bottom/>
      <diagonal/>
    </border>
    <border>
      <left style="medium">
        <color indexed="64"/>
      </left>
      <right style="medium">
        <color indexed="64"/>
      </right>
      <top style="medium">
        <color indexed="64"/>
      </top>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10" borderId="0" applyNumberFormat="0" applyBorder="0" applyAlignment="0" applyProtection="0"/>
    <xf numFmtId="0" fontId="8" fillId="11" borderId="0" applyNumberFormat="0" applyBorder="0" applyAlignment="0" applyProtection="0"/>
    <xf numFmtId="0" fontId="9" fillId="12" borderId="10" applyNumberFormat="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8" borderId="10" applyNumberFormat="0" applyAlignment="0" applyProtection="0"/>
  </cellStyleXfs>
  <cellXfs count="150">
    <xf numFmtId="0" fontId="0" fillId="0" borderId="0" xfId="0"/>
    <xf numFmtId="164" fontId="0" fillId="0" borderId="0" xfId="1" applyNumberFormat="1" applyFont="1"/>
    <xf numFmtId="0" fontId="3" fillId="3" borderId="1" xfId="0" applyFont="1" applyFill="1" applyBorder="1" applyAlignment="1">
      <alignment horizontal="center" wrapText="1"/>
    </xf>
    <xf numFmtId="0" fontId="4" fillId="3" borderId="1" xfId="0" applyFont="1" applyFill="1" applyBorder="1" applyAlignment="1">
      <alignment vertical="top" wrapText="1"/>
    </xf>
    <xf numFmtId="8" fontId="4" fillId="3" borderId="1" xfId="0" applyNumberFormat="1" applyFont="1" applyFill="1" applyBorder="1" applyAlignment="1">
      <alignment vertical="top" wrapText="1"/>
    </xf>
    <xf numFmtId="10" fontId="4" fillId="3" borderId="1" xfId="0" applyNumberFormat="1" applyFont="1" applyFill="1" applyBorder="1" applyAlignment="1">
      <alignment vertical="top" wrapText="1"/>
    </xf>
    <xf numFmtId="9" fontId="4" fillId="3" borderId="1" xfId="0" applyNumberFormat="1" applyFont="1" applyFill="1" applyBorder="1" applyAlignment="1">
      <alignment vertical="top" wrapText="1"/>
    </xf>
    <xf numFmtId="0" fontId="4" fillId="3" borderId="2" xfId="0" applyFont="1" applyFill="1" applyBorder="1" applyAlignment="1">
      <alignment vertical="top" wrapText="1"/>
    </xf>
    <xf numFmtId="8" fontId="4" fillId="3" borderId="2" xfId="0" applyNumberFormat="1" applyFont="1" applyFill="1" applyBorder="1" applyAlignment="1">
      <alignment vertical="top" wrapText="1"/>
    </xf>
    <xf numFmtId="0" fontId="4" fillId="4" borderId="2" xfId="0" applyFont="1" applyFill="1" applyBorder="1" applyAlignment="1">
      <alignment vertical="top" wrapText="1"/>
    </xf>
    <xf numFmtId="8" fontId="4" fillId="4" borderId="2" xfId="0" applyNumberFormat="1" applyFont="1" applyFill="1" applyBorder="1" applyAlignment="1">
      <alignment vertical="top" wrapText="1"/>
    </xf>
    <xf numFmtId="0" fontId="4" fillId="5" borderId="2" xfId="0" applyFont="1" applyFill="1" applyBorder="1" applyAlignment="1">
      <alignment vertical="top" wrapText="1"/>
    </xf>
    <xf numFmtId="8" fontId="4" fillId="5" borderId="2" xfId="0" applyNumberFormat="1" applyFont="1" applyFill="1" applyBorder="1" applyAlignment="1">
      <alignment vertical="top" wrapText="1"/>
    </xf>
    <xf numFmtId="0" fontId="3" fillId="3" borderId="9" xfId="0" applyFont="1" applyFill="1" applyBorder="1" applyAlignment="1">
      <alignment horizontal="center" wrapText="1"/>
    </xf>
    <xf numFmtId="0" fontId="6" fillId="2" borderId="0" xfId="0" applyFont="1" applyFill="1" applyAlignment="1">
      <alignment horizontal="center" vertical="center"/>
    </xf>
    <xf numFmtId="0" fontId="6" fillId="4" borderId="0" xfId="0" applyFont="1" applyFill="1" applyAlignment="1">
      <alignment horizontal="center" vertical="center"/>
    </xf>
    <xf numFmtId="164" fontId="0" fillId="2" borderId="0" xfId="1" applyNumberFormat="1" applyFont="1" applyFill="1"/>
    <xf numFmtId="0" fontId="6" fillId="5" borderId="0" xfId="0" applyFont="1" applyFill="1" applyAlignment="1">
      <alignment horizontal="center" vertical="center"/>
    </xf>
    <xf numFmtId="164" fontId="0" fillId="5" borderId="0" xfId="1" applyNumberFormat="1" applyFont="1" applyFill="1"/>
    <xf numFmtId="0" fontId="6" fillId="9" borderId="0" xfId="0" applyFont="1" applyFill="1" applyAlignment="1">
      <alignment horizontal="center" vertical="center"/>
    </xf>
    <xf numFmtId="164" fontId="0" fillId="9" borderId="0" xfId="1" applyNumberFormat="1" applyFont="1" applyFill="1"/>
    <xf numFmtId="9" fontId="0" fillId="0" borderId="0" xfId="2" applyFont="1"/>
    <xf numFmtId="165" fontId="0" fillId="0" borderId="0" xfId="2" applyNumberFormat="1" applyFont="1"/>
    <xf numFmtId="0" fontId="8" fillId="11" borderId="0" xfId="4" applyAlignment="1">
      <alignment horizontal="right"/>
    </xf>
    <xf numFmtId="0" fontId="8" fillId="0" borderId="0" xfId="4" applyFill="1" applyAlignment="1">
      <alignment horizontal="right"/>
    </xf>
    <xf numFmtId="0" fontId="8" fillId="0" borderId="0" xfId="4" applyNumberFormat="1" applyFill="1" applyAlignment="1">
      <alignment horizontal="right"/>
    </xf>
    <xf numFmtId="0" fontId="0" fillId="0" borderId="0" xfId="0" applyAlignment="1">
      <alignment horizontal="center"/>
    </xf>
    <xf numFmtId="43" fontId="0" fillId="0" borderId="0" xfId="1" applyFont="1"/>
    <xf numFmtId="10" fontId="8" fillId="11" borderId="0" xfId="4" applyNumberFormat="1"/>
    <xf numFmtId="0" fontId="8" fillId="11" borderId="0" xfId="4"/>
    <xf numFmtId="0" fontId="8" fillId="11" borderId="0" xfId="4" applyAlignment="1">
      <alignment horizontal="right" wrapText="1"/>
    </xf>
    <xf numFmtId="8" fontId="8" fillId="11" borderId="0" xfId="4" applyNumberFormat="1"/>
    <xf numFmtId="0" fontId="0" fillId="0" borderId="0" xfId="0" applyAlignment="1">
      <alignment horizontal="right"/>
    </xf>
    <xf numFmtId="0" fontId="0" fillId="0" borderId="0" xfId="1" applyNumberFormat="1" applyFont="1"/>
    <xf numFmtId="0" fontId="0" fillId="0" borderId="0" xfId="0" applyAlignment="1">
      <alignment vertical="top"/>
    </xf>
    <xf numFmtId="17" fontId="12" fillId="0" borderId="0" xfId="4" applyNumberFormat="1" applyFont="1" applyFill="1"/>
    <xf numFmtId="0" fontId="12" fillId="0" borderId="0" xfId="4" applyNumberFormat="1" applyFont="1" applyFill="1"/>
    <xf numFmtId="10" fontId="0" fillId="0" borderId="0" xfId="2" applyNumberFormat="1" applyFont="1" applyAlignment="1">
      <alignment horizontal="center"/>
    </xf>
    <xf numFmtId="43" fontId="0" fillId="0" borderId="0" xfId="1" applyFont="1" applyFill="1"/>
    <xf numFmtId="0" fontId="9" fillId="0" borderId="0" xfId="5" applyFill="1" applyBorder="1"/>
    <xf numFmtId="0" fontId="9" fillId="0" borderId="0" xfId="5" applyNumberFormat="1" applyFill="1" applyBorder="1"/>
    <xf numFmtId="0" fontId="12" fillId="0" borderId="0" xfId="4" applyNumberFormat="1" applyFont="1" applyFill="1" applyBorder="1"/>
    <xf numFmtId="43" fontId="0" fillId="16" borderId="11" xfId="1" applyNumberFormat="1" applyFont="1" applyFill="1" applyBorder="1"/>
    <xf numFmtId="43" fontId="0" fillId="16" borderId="12" xfId="1" applyNumberFormat="1" applyFont="1" applyFill="1" applyBorder="1"/>
    <xf numFmtId="43" fontId="0" fillId="0" borderId="11" xfId="1" applyNumberFormat="1" applyFont="1" applyBorder="1"/>
    <xf numFmtId="0" fontId="10" fillId="13" borderId="0" xfId="6" applyFont="1" applyAlignment="1">
      <alignment horizontal="center"/>
    </xf>
    <xf numFmtId="0" fontId="10" fillId="13" borderId="0" xfId="6" applyFont="1"/>
    <xf numFmtId="43" fontId="10" fillId="13" borderId="0" xfId="6" applyNumberFormat="1" applyFont="1"/>
    <xf numFmtId="0" fontId="10" fillId="14" borderId="0" xfId="7" applyFont="1" applyAlignment="1">
      <alignment horizontal="center"/>
    </xf>
    <xf numFmtId="0" fontId="10" fillId="14" borderId="0" xfId="7" applyFont="1"/>
    <xf numFmtId="43" fontId="10" fillId="14" borderId="0" xfId="7" applyNumberFormat="1" applyFont="1"/>
    <xf numFmtId="0" fontId="10" fillId="15" borderId="0" xfId="8" applyFont="1" applyAlignment="1">
      <alignment horizontal="center"/>
    </xf>
    <xf numFmtId="0" fontId="10" fillId="15" borderId="0" xfId="8" applyFont="1"/>
    <xf numFmtId="43" fontId="10" fillId="15" borderId="0" xfId="8" applyNumberFormat="1" applyFont="1"/>
    <xf numFmtId="0" fontId="6" fillId="0" borderId="0" xfId="0" applyFont="1" applyAlignment="1">
      <alignment horizontal="center"/>
    </xf>
    <xf numFmtId="0" fontId="10" fillId="14" borderId="0" xfId="7" applyFont="1" applyAlignment="1">
      <alignment horizontal="right"/>
    </xf>
    <xf numFmtId="10" fontId="10" fillId="14" borderId="0" xfId="7" applyNumberFormat="1" applyFont="1"/>
    <xf numFmtId="0" fontId="10" fillId="14" borderId="0" xfId="7" applyFont="1" applyAlignment="1">
      <alignment horizontal="right" wrapText="1"/>
    </xf>
    <xf numFmtId="8" fontId="10" fillId="14" borderId="0" xfId="7" applyNumberFormat="1" applyFont="1"/>
    <xf numFmtId="0" fontId="10" fillId="15" borderId="0" xfId="8" applyFont="1" applyAlignment="1">
      <alignment horizontal="right"/>
    </xf>
    <xf numFmtId="10" fontId="10" fillId="15" borderId="0" xfId="8" applyNumberFormat="1" applyFont="1"/>
    <xf numFmtId="0" fontId="10" fillId="15" borderId="0" xfId="8" applyFont="1" applyAlignment="1">
      <alignment horizontal="right" wrapText="1"/>
    </xf>
    <xf numFmtId="8" fontId="10" fillId="15" borderId="0" xfId="8" applyNumberFormat="1" applyFont="1"/>
    <xf numFmtId="0" fontId="10" fillId="13" borderId="0" xfId="6" applyFont="1" applyAlignment="1">
      <alignment horizontal="right"/>
    </xf>
    <xf numFmtId="10" fontId="10" fillId="13" borderId="0" xfId="6" applyNumberFormat="1" applyFont="1"/>
    <xf numFmtId="0" fontId="10" fillId="13" borderId="0" xfId="6" applyFont="1" applyAlignment="1">
      <alignment horizontal="right" wrapText="1"/>
    </xf>
    <xf numFmtId="8" fontId="10" fillId="13" borderId="0" xfId="6" applyNumberFormat="1" applyFont="1"/>
    <xf numFmtId="43" fontId="10" fillId="13" borderId="0" xfId="6" applyNumberFormat="1" applyFont="1" applyAlignment="1">
      <alignment horizontal="center" vertical="center"/>
    </xf>
    <xf numFmtId="43" fontId="10" fillId="15" borderId="0" xfId="8" applyNumberFormat="1" applyFont="1" applyAlignment="1">
      <alignment horizontal="center" vertical="center"/>
    </xf>
    <xf numFmtId="43" fontId="10" fillId="14" borderId="0" xfId="7" applyNumberFormat="1" applyFont="1" applyAlignment="1">
      <alignment horizontal="center" vertical="center"/>
    </xf>
    <xf numFmtId="164" fontId="4" fillId="5" borderId="2" xfId="1" applyNumberFormat="1" applyFont="1" applyFill="1" applyBorder="1" applyAlignment="1">
      <alignment vertical="top" wrapText="1"/>
    </xf>
    <xf numFmtId="8" fontId="0" fillId="0" borderId="0" xfId="1" applyNumberFormat="1" applyFont="1"/>
    <xf numFmtId="0" fontId="0" fillId="0" borderId="0" xfId="0" applyAlignment="1">
      <alignment horizontal="center" vertical="center"/>
    </xf>
    <xf numFmtId="0" fontId="0" fillId="17" borderId="0" xfId="0" applyFill="1" applyAlignment="1">
      <alignment wrapText="1"/>
    </xf>
    <xf numFmtId="166" fontId="0" fillId="17" borderId="0" xfId="0" applyNumberFormat="1" applyFill="1" applyAlignment="1">
      <alignment wrapText="1"/>
    </xf>
    <xf numFmtId="0" fontId="6" fillId="2" borderId="0" xfId="0" applyFont="1" applyFill="1" applyAlignment="1">
      <alignment horizontal="center" vertical="top"/>
    </xf>
    <xf numFmtId="0" fontId="6" fillId="5" borderId="0" xfId="0" applyFont="1" applyFill="1" applyAlignment="1">
      <alignment horizontal="center" vertical="top"/>
    </xf>
    <xf numFmtId="0" fontId="6" fillId="9" borderId="0" xfId="0" applyFont="1" applyFill="1" applyAlignment="1">
      <alignment horizontal="center" vertical="top"/>
    </xf>
    <xf numFmtId="0" fontId="3" fillId="3" borderId="2" xfId="0" applyFont="1" applyFill="1" applyBorder="1" applyAlignment="1">
      <alignment horizontal="center" vertical="top" wrapText="1"/>
    </xf>
    <xf numFmtId="0" fontId="0" fillId="0" borderId="2" xfId="0" applyBorder="1" applyAlignment="1">
      <alignment vertical="top"/>
    </xf>
    <xf numFmtId="0" fontId="6" fillId="4" borderId="0" xfId="0" applyFont="1" applyFill="1" applyAlignment="1">
      <alignment horizontal="center" vertical="top"/>
    </xf>
    <xf numFmtId="165" fontId="0" fillId="4" borderId="2" xfId="2" applyNumberFormat="1" applyFont="1" applyFill="1" applyBorder="1" applyAlignment="1">
      <alignment vertical="top"/>
    </xf>
    <xf numFmtId="164" fontId="0" fillId="0" borderId="0" xfId="1" applyNumberFormat="1" applyFont="1" applyAlignment="1">
      <alignment vertical="top"/>
    </xf>
    <xf numFmtId="165" fontId="0" fillId="5" borderId="2" xfId="2" applyNumberFormat="1" applyFont="1" applyFill="1" applyBorder="1" applyAlignment="1">
      <alignment vertical="top"/>
    </xf>
    <xf numFmtId="0" fontId="2" fillId="6" borderId="3" xfId="0" applyFont="1" applyFill="1" applyBorder="1" applyAlignment="1">
      <alignment vertical="top" wrapText="1"/>
    </xf>
    <xf numFmtId="0" fontId="2" fillId="6" borderId="4" xfId="0" applyFont="1" applyFill="1" applyBorder="1" applyAlignment="1">
      <alignment horizontal="center" vertical="top" wrapText="1"/>
    </xf>
    <xf numFmtId="0" fontId="0" fillId="7" borderId="5" xfId="0" applyFont="1" applyFill="1" applyBorder="1" applyAlignment="1">
      <alignment vertical="top" wrapText="1"/>
    </xf>
    <xf numFmtId="0" fontId="0" fillId="7" borderId="6" xfId="0" applyFont="1" applyFill="1" applyBorder="1" applyAlignment="1">
      <alignment vertical="top" wrapText="1"/>
    </xf>
    <xf numFmtId="0" fontId="0" fillId="8" borderId="5" xfId="0" applyFont="1" applyFill="1" applyBorder="1" applyAlignment="1">
      <alignment vertical="top" wrapText="1"/>
    </xf>
    <xf numFmtId="0" fontId="0" fillId="8" borderId="6" xfId="0" applyFont="1" applyFill="1" applyBorder="1" applyAlignment="1">
      <alignment vertical="top" wrapText="1"/>
    </xf>
    <xf numFmtId="0" fontId="0" fillId="8" borderId="6" xfId="0" applyFont="1" applyFill="1" applyBorder="1" applyAlignment="1">
      <alignment horizontal="center" vertical="top" wrapText="1"/>
    </xf>
    <xf numFmtId="43" fontId="0" fillId="8" borderId="6" xfId="1" applyFont="1" applyFill="1" applyBorder="1" applyAlignment="1">
      <alignment horizontal="center" vertical="top" wrapText="1"/>
    </xf>
    <xf numFmtId="0" fontId="5" fillId="8" borderId="6" xfId="0" applyFont="1" applyFill="1" applyBorder="1" applyAlignment="1">
      <alignment vertical="top" wrapText="1"/>
    </xf>
    <xf numFmtId="43" fontId="5" fillId="8" borderId="6" xfId="1" applyFont="1" applyFill="1" applyBorder="1" applyAlignment="1">
      <alignment horizontal="center" vertical="top" wrapText="1"/>
    </xf>
    <xf numFmtId="0" fontId="0" fillId="7" borderId="6" xfId="0" applyFont="1" applyFill="1" applyBorder="1" applyAlignment="1">
      <alignment horizontal="center" vertical="top" wrapText="1"/>
    </xf>
    <xf numFmtId="0" fontId="5" fillId="7" borderId="6" xfId="0" applyFont="1" applyFill="1" applyBorder="1" applyAlignment="1">
      <alignment horizontal="center" vertical="top" wrapText="1"/>
    </xf>
    <xf numFmtId="43" fontId="5" fillId="7" borderId="6" xfId="1" applyFont="1" applyFill="1" applyBorder="1" applyAlignment="1">
      <alignment horizontal="center" vertical="top" wrapText="1"/>
    </xf>
    <xf numFmtId="0" fontId="5" fillId="8" borderId="6" xfId="0" applyFont="1" applyFill="1" applyBorder="1" applyAlignment="1">
      <alignment horizontal="center" vertical="top" wrapText="1"/>
    </xf>
    <xf numFmtId="0" fontId="5" fillId="7" borderId="6" xfId="0" applyFont="1" applyFill="1" applyBorder="1" applyAlignment="1">
      <alignment vertical="top" wrapText="1"/>
    </xf>
    <xf numFmtId="43" fontId="5" fillId="7" borderId="6" xfId="1" applyFont="1" applyFill="1" applyBorder="1" applyAlignment="1">
      <alignment vertical="top" wrapText="1"/>
    </xf>
    <xf numFmtId="43" fontId="0" fillId="0" borderId="0" xfId="0" applyNumberFormat="1"/>
    <xf numFmtId="0" fontId="0" fillId="0" borderId="0" xfId="0" applyAlignment="1">
      <alignment horizontal="center" vertical="top"/>
    </xf>
    <xf numFmtId="0" fontId="0" fillId="0" borderId="0" xfId="0" pivotButton="1"/>
    <xf numFmtId="164" fontId="0" fillId="0" borderId="0" xfId="0" applyNumberFormat="1"/>
    <xf numFmtId="8" fontId="0" fillId="0" borderId="0" xfId="0" applyNumberFormat="1"/>
    <xf numFmtId="164" fontId="5" fillId="8" borderId="6" xfId="1" applyNumberFormat="1" applyFont="1" applyFill="1" applyBorder="1" applyAlignment="1">
      <alignment horizontal="center" vertical="top" wrapText="1"/>
    </xf>
    <xf numFmtId="43" fontId="18" fillId="18" borderId="10" xfId="9" applyNumberFormat="1"/>
    <xf numFmtId="0" fontId="4" fillId="19" borderId="1" xfId="0" applyFont="1" applyFill="1" applyBorder="1" applyAlignment="1">
      <alignment vertical="top" wrapText="1"/>
    </xf>
    <xf numFmtId="9" fontId="4" fillId="19" borderId="1" xfId="0" applyNumberFormat="1" applyFont="1" applyFill="1" applyBorder="1" applyAlignment="1">
      <alignment vertical="top" wrapText="1"/>
    </xf>
    <xf numFmtId="8" fontId="4" fillId="19" borderId="1" xfId="0" applyNumberFormat="1" applyFont="1" applyFill="1" applyBorder="1" applyAlignment="1">
      <alignment vertical="top" wrapText="1"/>
    </xf>
    <xf numFmtId="10" fontId="0" fillId="19" borderId="0" xfId="2" applyNumberFormat="1" applyFont="1" applyFill="1" applyAlignment="1">
      <alignment vertical="top"/>
    </xf>
    <xf numFmtId="0" fontId="4" fillId="5" borderId="1" xfId="0" applyFont="1" applyFill="1" applyBorder="1" applyAlignment="1">
      <alignment vertical="top" wrapText="1"/>
    </xf>
    <xf numFmtId="9" fontId="4" fillId="5" borderId="1" xfId="0" applyNumberFormat="1" applyFont="1" applyFill="1" applyBorder="1" applyAlignment="1">
      <alignment vertical="top" wrapText="1"/>
    </xf>
    <xf numFmtId="8" fontId="4" fillId="5" borderId="1" xfId="0" applyNumberFormat="1" applyFont="1" applyFill="1" applyBorder="1" applyAlignment="1">
      <alignment vertical="top" wrapText="1"/>
    </xf>
    <xf numFmtId="10" fontId="0" fillId="5" borderId="0" xfId="2" applyNumberFormat="1" applyFont="1" applyFill="1" applyAlignment="1">
      <alignment vertical="top"/>
    </xf>
    <xf numFmtId="0" fontId="4" fillId="20" borderId="1" xfId="0" applyFont="1" applyFill="1" applyBorder="1" applyAlignment="1">
      <alignment vertical="top" wrapText="1"/>
    </xf>
    <xf numFmtId="9" fontId="4" fillId="20" borderId="1" xfId="0" applyNumberFormat="1" applyFont="1" applyFill="1" applyBorder="1" applyAlignment="1">
      <alignment vertical="top" wrapText="1"/>
    </xf>
    <xf numFmtId="8" fontId="4" fillId="20" borderId="1" xfId="0" applyNumberFormat="1" applyFont="1" applyFill="1" applyBorder="1" applyAlignment="1">
      <alignment vertical="top" wrapText="1"/>
    </xf>
    <xf numFmtId="43" fontId="0" fillId="0" borderId="0" xfId="0" applyNumberFormat="1" applyAlignment="1">
      <alignment horizontal="center" vertical="top"/>
    </xf>
    <xf numFmtId="0" fontId="0" fillId="0" borderId="0" xfId="0" applyAlignment="1">
      <alignment horizontal="left"/>
    </xf>
    <xf numFmtId="0" fontId="0" fillId="0" borderId="0" xfId="0" applyNumberFormat="1" applyAlignment="1">
      <alignment horizontal="center" vertical="top"/>
    </xf>
    <xf numFmtId="0" fontId="4" fillId="9" borderId="2" xfId="0" applyFont="1" applyFill="1" applyBorder="1" applyAlignment="1">
      <alignment vertical="top" wrapText="1"/>
    </xf>
    <xf numFmtId="0" fontId="11" fillId="22" borderId="0" xfId="0" applyFont="1" applyFill="1" applyAlignment="1">
      <alignment horizontal="left" vertical="top"/>
    </xf>
    <xf numFmtId="0" fontId="11" fillId="23" borderId="0" xfId="0" applyFont="1" applyFill="1" applyBorder="1" applyAlignment="1">
      <alignment horizontal="left" vertical="top"/>
    </xf>
    <xf numFmtId="0" fontId="11" fillId="23" borderId="0" xfId="0" applyFont="1" applyFill="1" applyBorder="1"/>
    <xf numFmtId="0" fontId="20" fillId="22" borderId="0" xfId="3" applyFont="1" applyFill="1" applyBorder="1"/>
    <xf numFmtId="164" fontId="19" fillId="22" borderId="0" xfId="3" applyNumberFormat="1" applyFont="1" applyFill="1"/>
    <xf numFmtId="0" fontId="11" fillId="24" borderId="13" xfId="0" applyFont="1" applyFill="1" applyBorder="1"/>
    <xf numFmtId="164" fontId="11" fillId="24" borderId="13" xfId="0" applyNumberFormat="1" applyFont="1" applyFill="1" applyBorder="1"/>
    <xf numFmtId="164" fontId="21" fillId="11" borderId="0" xfId="4" applyNumberFormat="1" applyFont="1"/>
    <xf numFmtId="0" fontId="15" fillId="10" borderId="0" xfId="3" applyFont="1" applyAlignment="1">
      <alignment horizontal="center" vertical="top" wrapText="1"/>
    </xf>
    <xf numFmtId="0" fontId="20" fillId="21" borderId="0" xfId="0" applyFont="1" applyFill="1" applyAlignment="1">
      <alignment horizontal="left" vertical="top"/>
    </xf>
    <xf numFmtId="0" fontId="0" fillId="19" borderId="0" xfId="0" applyFill="1"/>
    <xf numFmtId="0" fontId="2" fillId="25" borderId="0" xfId="0" applyFont="1" applyFill="1"/>
    <xf numFmtId="164" fontId="0" fillId="19" borderId="0" xfId="0" applyNumberFormat="1" applyFill="1"/>
    <xf numFmtId="17" fontId="0" fillId="0" borderId="0" xfId="0" applyNumberFormat="1" applyAlignment="1">
      <alignment horizontal="left" vertical="top"/>
    </xf>
    <xf numFmtId="0" fontId="0" fillId="0" borderId="0" xfId="0" applyAlignment="1">
      <alignment horizontal="left" vertical="top"/>
    </xf>
    <xf numFmtId="0" fontId="24" fillId="6" borderId="14" xfId="0" applyFont="1" applyFill="1" applyBorder="1" applyAlignment="1">
      <alignment horizontal="left" vertical="top" wrapText="1"/>
    </xf>
    <xf numFmtId="0" fontId="25" fillId="6" borderId="5" xfId="0" applyFont="1" applyFill="1" applyBorder="1" applyAlignment="1">
      <alignment horizontal="left" vertical="top" wrapText="1"/>
    </xf>
    <xf numFmtId="0" fontId="26" fillId="7" borderId="5" xfId="0" applyFont="1" applyFill="1" applyBorder="1" applyAlignment="1">
      <alignment horizontal="left" vertical="top" wrapText="1"/>
    </xf>
    <xf numFmtId="0" fontId="26" fillId="8" borderId="6" xfId="0" applyFont="1" applyFill="1" applyBorder="1" applyAlignment="1">
      <alignment horizontal="left" vertical="top" wrapText="1"/>
    </xf>
    <xf numFmtId="14" fontId="26" fillId="8" borderId="6" xfId="0" applyNumberFormat="1" applyFont="1" applyFill="1" applyBorder="1" applyAlignment="1">
      <alignment horizontal="left" vertical="top" wrapText="1"/>
    </xf>
    <xf numFmtId="0" fontId="0" fillId="7" borderId="7" xfId="0" applyFont="1" applyFill="1" applyBorder="1" applyAlignment="1">
      <alignment horizontal="center" vertical="top" wrapText="1"/>
    </xf>
    <xf numFmtId="0" fontId="0" fillId="7" borderId="8" xfId="0" applyFont="1" applyFill="1" applyBorder="1" applyAlignment="1">
      <alignment horizontal="center" vertical="top" wrapText="1"/>
    </xf>
    <xf numFmtId="0" fontId="0" fillId="7" borderId="4" xfId="0" applyFont="1" applyFill="1" applyBorder="1" applyAlignment="1">
      <alignment horizontal="center" vertical="top" wrapText="1"/>
    </xf>
    <xf numFmtId="0" fontId="6" fillId="0" borderId="0" xfId="0" applyFont="1" applyAlignment="1">
      <alignment horizontal="center"/>
    </xf>
    <xf numFmtId="0" fontId="24" fillId="6" borderId="14" xfId="0" applyFont="1" applyFill="1" applyBorder="1" applyAlignment="1">
      <alignment horizontal="left" vertical="top" wrapText="1"/>
    </xf>
    <xf numFmtId="0" fontId="24" fillId="6" borderId="5" xfId="0" applyFont="1" applyFill="1" applyBorder="1" applyAlignment="1">
      <alignment horizontal="left" vertical="top" wrapText="1"/>
    </xf>
    <xf numFmtId="0" fontId="27" fillId="21" borderId="0" xfId="0" applyFont="1" applyFill="1" applyAlignment="1">
      <alignment horizontal="left" vertical="top"/>
    </xf>
    <xf numFmtId="0" fontId="11" fillId="26" borderId="0" xfId="0" applyFont="1" applyFill="1" applyBorder="1"/>
  </cellXfs>
  <cellStyles count="10">
    <cellStyle name="Accent3" xfId="6" builtinId="37"/>
    <cellStyle name="Accent5" xfId="7" builtinId="45"/>
    <cellStyle name="Accent6" xfId="8" builtinId="49"/>
    <cellStyle name="Bad" xfId="4" builtinId="27"/>
    <cellStyle name="Calculation" xfId="9" builtinId="22"/>
    <cellStyle name="Comma" xfId="1" builtinId="3"/>
    <cellStyle name="Good" xfId="3" builtinId="26"/>
    <cellStyle name="Input" xfId="5" builtinId="20"/>
    <cellStyle name="Normal" xfId="0" builtinId="0"/>
    <cellStyle name="Percent" xfId="2" builtinId="5"/>
  </cellStyles>
  <dxfs count="83">
    <dxf>
      <numFmt numFmtId="164" formatCode="_-* #,##0_-;\-* #,##0_-;_-* &quot;-&quot;??_-;_-@_-"/>
    </dxf>
    <dxf>
      <font>
        <b/>
      </font>
    </dxf>
    <dxf>
      <fill>
        <patternFill patternType="solid">
          <bgColor theme="4" tint="0.79998168889431442"/>
        </patternFill>
      </fill>
    </dxf>
    <dxf>
      <font>
        <b/>
      </font>
    </dxf>
    <dxf>
      <font>
        <i/>
      </font>
    </dxf>
    <dxf>
      <alignment vertical="top" readingOrder="0"/>
    </dxf>
    <dxf>
      <alignment horizontal="left" readingOrder="0"/>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ill>
        <patternFill>
          <bgColor theme="6" tint="0.59999389629810485"/>
        </patternFill>
      </fill>
    </dxf>
    <dxf>
      <font>
        <b/>
      </font>
    </dxf>
    <dxf>
      <font>
        <i/>
      </font>
    </dxf>
    <dxf>
      <font>
        <color auto="1"/>
      </font>
    </dxf>
    <dxf>
      <fill>
        <patternFill>
          <bgColor theme="8" tint="0.79998168889431442"/>
        </patternFill>
      </fill>
    </dxf>
    <dxf>
      <numFmt numFmtId="164" formatCode="_-* #,##0_-;\-* #,##0_-;_-* &quot;-&quot;??_-;_-@_-"/>
    </dxf>
    <dxf>
      <fill>
        <patternFill patternType="solid">
          <bgColor rgb="FF66FF66"/>
        </patternFill>
      </fill>
    </dxf>
    <dxf>
      <fill>
        <patternFill patternType="solid">
          <bgColor rgb="FF66FF66"/>
        </patternFill>
      </fill>
    </dxf>
    <dxf>
      <fill>
        <patternFill patternType="solid">
          <bgColor rgb="FF66FF66"/>
        </patternFill>
      </fill>
    </dxf>
    <dxf>
      <fill>
        <patternFill>
          <bgColor rgb="FF99FF33"/>
        </patternFill>
      </fill>
    </dxf>
    <dxf>
      <numFmt numFmtId="35" formatCode="_-* #,##0.00_-;\-* #,##0.00_-;_-* &quot;-&quot;??_-;_-@_-"/>
    </dxf>
    <dxf>
      <numFmt numFmtId="164" formatCode="_-* #,##0_-;\-* #,##0_-;_-* &quot;-&quot;??_-;_-@_-"/>
    </dxf>
    <dxf>
      <numFmt numFmtId="164" formatCode="_-* #,##0_-;\-* #,##0_-;_-* &quot;-&quot;??_-;_-@_-"/>
    </dxf>
    <dxf>
      <alignment vertical="top" readingOrder="0"/>
    </dxf>
    <dxf>
      <alignment horizontal="center" readingOrder="0"/>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5" formatCode="_-* #,##0.00_-;\-* #,##0.00_-;_-*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14"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scheme val="minor"/>
      </font>
      <numFmt numFmtId="22" formatCode="mmm\-yy"/>
      <fill>
        <patternFill patternType="none">
          <fgColor indexed="64"/>
          <bgColor indexed="65"/>
        </patternFill>
      </fill>
    </dxf>
    <dxf>
      <font>
        <b val="0"/>
        <i val="0"/>
        <strike val="0"/>
        <condense val="0"/>
        <extend val="0"/>
        <outline val="0"/>
        <shadow val="0"/>
        <u val="none"/>
        <vertAlign val="baseline"/>
        <sz val="11"/>
        <color auto="1"/>
        <name val="Calibri"/>
        <scheme val="minor"/>
      </font>
      <numFmt numFmtId="22" formatCode="mmm\-yy"/>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scheme val="minor"/>
      </font>
    </dxf>
    <dxf>
      <alignment horizontal="center" readingOrder="0"/>
    </dxf>
    <dxf>
      <alignment vertical="top" readingOrder="0"/>
    </dxf>
    <dxf>
      <numFmt numFmtId="0" formatCode="General"/>
    </dxf>
    <dxf>
      <numFmt numFmtId="164" formatCode="_-* #,##0_-;\-* #,##0_-;_-* &quot;-&quot;??_-;_-@_-"/>
    </dxf>
    <dxf>
      <numFmt numFmtId="164" formatCode="_-* #,##0_-;\-* #,##0_-;_-* &quot;-&quot;??_-;_-@_-"/>
    </dxf>
    <dxf>
      <numFmt numFmtId="35" formatCode="_-* #,##0.00_-;\-* #,##0.00_-;_-* &quot;-&quot;??_-;_-@_-"/>
    </dxf>
    <dxf>
      <numFmt numFmtId="164" formatCode="_-* #,##0_-;\-* #,##0_-;_-* &quot;-&quot;??_-;_-@_-"/>
    </dxf>
    <dxf>
      <alignment horizontal="center" readingOrder="0"/>
    </dxf>
    <dxf>
      <alignment vertical="top" readingOrder="0"/>
    </dxf>
    <dxf>
      <numFmt numFmtId="0" formatCode="General"/>
    </dxf>
    <dxf>
      <numFmt numFmtId="164" formatCode="_-* #,##0_-;\-* #,##0_-;_-* &quot;-&quot;??_-;_-@_-"/>
    </dxf>
    <dxf>
      <numFmt numFmtId="164" formatCode="_-* #,##0_-;\-* #,##0_-;_-* &quot;-&quot;??_-;_-@_-"/>
    </dxf>
    <dxf>
      <alignment horizontal="center" readingOrder="0"/>
    </dxf>
    <dxf>
      <alignment vertical="top" readingOrder="0"/>
    </dxf>
    <dxf>
      <numFmt numFmtId="0" formatCode="General"/>
    </dxf>
    <dxf>
      <numFmt numFmtId="0" formatCode="General"/>
    </dxf>
    <dxf>
      <alignment horizontal="center" readingOrder="0"/>
    </dxf>
    <dxf>
      <alignment vertical="top" readingOrder="0"/>
    </dxf>
    <dxf>
      <numFmt numFmtId="164" formatCode="_-* #,##0_-;\-* #,##0_-;_-* &quot;-&quot;??_-;_-@_-"/>
    </dxf>
    <dxf>
      <numFmt numFmtId="164" formatCode="_-* #,##0_-;\-* #,##0_-;_-* &quot;-&quot;??_-;_-@_-"/>
    </dxf>
    <dxf>
      <numFmt numFmtId="35" formatCode="_-* #,##0.00_-;\-* #,##0.00_-;_-* &quot;-&quot;??_-;_-@_-"/>
    </dxf>
    <dxf>
      <numFmt numFmtId="164" formatCode="_-* #,##0_-;\-* #,##0_-;_-* &quot;-&quot;??_-;_-@_-"/>
    </dxf>
    <dxf>
      <alignment horizontal="center" readingOrder="0"/>
    </dxf>
    <dxf>
      <alignment vertical="top" readingOrder="0"/>
    </dxf>
    <dxf>
      <numFmt numFmtId="0" formatCode="General"/>
    </dxf>
    <dxf>
      <numFmt numFmtId="164" formatCode="_-* #,##0_-;\-* #,##0_-;_-* &quot;-&quot;??_-;_-@_-"/>
    </dxf>
    <dxf>
      <alignment horizontal="center" readingOrder="0"/>
    </dxf>
    <dxf>
      <alignment vertical="top" readingOrder="0"/>
    </dxf>
    <dxf>
      <numFmt numFmtId="0" formatCode="General"/>
    </dxf>
    <dxf>
      <fill>
        <patternFill>
          <bgColor theme="8" tint="0.79998168889431442"/>
        </patternFill>
      </fill>
    </dxf>
    <dxf>
      <font>
        <color auto="1"/>
      </font>
    </dxf>
    <dxf>
      <font>
        <i/>
      </font>
    </dxf>
    <dxf>
      <font>
        <b/>
      </font>
    </dxf>
    <dxf>
      <fill>
        <patternFill>
          <bgColor theme="6" tint="0.59999389629810485"/>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alignment horizontal="left" readingOrder="0"/>
    </dxf>
    <dxf>
      <alignment vertical="top" readingOrder="0"/>
    </dxf>
    <dxf>
      <font>
        <i/>
      </font>
    </dxf>
    <dxf>
      <font>
        <b/>
      </font>
    </dxf>
    <dxf>
      <fill>
        <patternFill patternType="solid">
          <bgColor theme="4" tint="0.79998168889431442"/>
        </patternFill>
      </fill>
    </dxf>
    <dxf>
      <font>
        <b/>
      </font>
    </dxf>
    <dxf>
      <numFmt numFmtId="164" formatCode="_-* #,##0_-;\-* #,##0_-;_-* &quot;-&quot;??_-;_-@_-"/>
    </dxf>
    <dxf>
      <fill>
        <patternFill>
          <bgColor rgb="FF99FF33"/>
        </patternFill>
      </fill>
    </dxf>
    <dxf>
      <fill>
        <patternFill patternType="solid">
          <bgColor rgb="FF66FF66"/>
        </patternFill>
      </fill>
    </dxf>
    <dxf>
      <fill>
        <patternFill patternType="solid">
          <bgColor rgb="FF66FF66"/>
        </patternFill>
      </fill>
    </dxf>
    <dxf>
      <fill>
        <patternFill patternType="solid">
          <bgColor rgb="FF66FF66"/>
        </patternFill>
      </fill>
    </dxf>
    <dxf>
      <numFmt numFmtId="164" formatCode="_-* #,##0_-;\-* #,##0_-;_-* &quot;-&quot;??_-;_-@_-"/>
    </dxf>
  </dxfs>
  <tableStyles count="0" defaultTableStyle="TableStyleMedium2" defaultPivotStyle="PivotStyleLight16"/>
  <colors>
    <mruColors>
      <color rgb="FF66FF66"/>
      <color rgb="FF99FF33"/>
      <color rgb="FFFF99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Jeffrey Hernandez" refreshedDate="46244.003505787034" createdVersion="4" refreshedVersion="4" minRefreshableVersion="3" recordCount="359">
  <cacheSource type="worksheet">
    <worksheetSource ref="AK8:AV367" sheet="Repayments"/>
  </cacheSource>
  <cacheFields count="12">
    <cacheField name="Financial Year" numFmtId="0">
      <sharedItems containsSemiMixedTypes="0" containsString="0" containsNumber="1" containsInteger="1" minValue="2027" maxValue="2056" count="30">
        <n v="2027"/>
        <n v="2028"/>
        <n v="2029"/>
        <n v="2030"/>
        <n v="2031"/>
        <n v="2032"/>
        <n v="2033"/>
        <n v="2034"/>
        <n v="2035"/>
        <n v="2036"/>
        <n v="2037"/>
        <n v="2038"/>
        <n v="2039"/>
        <n v="2040"/>
        <n v="2041"/>
        <n v="2042"/>
        <n v="2043"/>
        <n v="2044"/>
        <n v="2045"/>
        <n v="2046"/>
        <n v="2047"/>
        <n v="2048"/>
        <n v="2049"/>
        <n v="2050"/>
        <n v="2051"/>
        <n v="2052"/>
        <n v="2053"/>
        <n v="2054"/>
        <n v="2055"/>
        <n v="2056"/>
      </sharedItems>
    </cacheField>
    <cacheField name="Calendar Month" numFmtId="0">
      <sharedItems containsSemiMixedTypes="0" containsString="0" containsNumber="1" containsInteger="1" minValue="1" maxValue="12" count="12">
        <n v="7"/>
        <n v="8"/>
        <n v="9"/>
        <n v="10"/>
        <n v="11"/>
        <n v="12"/>
        <n v="1"/>
        <n v="2"/>
        <n v="3"/>
        <n v="4"/>
        <n v="5"/>
        <n v="6"/>
      </sharedItems>
    </cacheField>
    <cacheField name="308 Interest" numFmtId="43">
      <sharedItems containsSemiMixedTypes="0" containsString="0" containsNumber="1" minValue="0" maxValue="33166.442001155257"/>
    </cacheField>
    <cacheField name="BD Interest" numFmtId="43">
      <sharedItems containsSemiMixedTypes="0" containsString="0" containsNumber="1" minValue="0" maxValue="28120.578669325139"/>
    </cacheField>
    <cacheField name="Shane Interest" numFmtId="43">
      <sharedItems containsSemiMixedTypes="0" containsString="0" containsNumber="1" minValue="0" maxValue="58439.736841674821"/>
    </cacheField>
    <cacheField name="Personal Interest" numFmtId="43">
      <sharedItems containsSemiMixedTypes="0" containsString="0" containsNumber="1" minValue="0" maxValue="61287.0206704804"/>
    </cacheField>
    <cacheField name="Personal Repayments" numFmtId="164">
      <sharedItems containsSemiMixedTypes="0" containsString="0" containsNumber="1" containsInteger="1" minValue="0" maxValue="99636"/>
    </cacheField>
    <cacheField name="Personal Owing" numFmtId="43">
      <sharedItems containsSemiMixedTypes="0" containsString="0" containsNumber="1" minValue="-2030.1508576002598" maxValue="1078210.0366116192"/>
    </cacheField>
    <cacheField name="Total Interest" numFmtId="43">
      <sharedItems containsSemiMixedTypes="0" containsString="0" containsNumber="1" minValue="0" maxValue="119726.75751215522"/>
    </cacheField>
    <cacheField name="Total Principal" numFmtId="43">
      <sharedItems containsSemiMixedTypes="0" containsString="0" containsNumber="1" minValue="0" maxValue="113801.05142458077"/>
    </cacheField>
    <cacheField name="Total Repayments" numFmtId="164">
      <sharedItems containsSemiMixedTypes="0" containsString="0" containsNumber="1" minValue="0" maxValue="170564.7240816236"/>
    </cacheField>
    <cacheField name="Total Owing" numFmtId="43">
      <sharedItems containsSemiMixedTypes="0" containsString="0" containsNumber="1" minValue="-2030.1508576002598" maxValue="2006616.93340401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Jeffrey Hernandez" refreshedDate="46244.003507291665" createdVersion="4" refreshedVersion="4" minRefreshableVersion="3" recordCount="19">
  <cacheSource type="worksheet">
    <worksheetSource ref="B2:AK21" sheet="Assets"/>
  </cacheSource>
  <cacheFields count="36">
    <cacheField name="Owner" numFmtId="0">
      <sharedItems count="4">
        <s v="Jeff"/>
        <s v="Joint"/>
        <s v="Magiting"/>
        <s v="Tin"/>
      </sharedItems>
    </cacheField>
    <cacheField name="Type" numFmtId="0">
      <sharedItems count="6">
        <s v="Super"/>
        <s v="SMSF"/>
        <s v="Property"/>
        <s v="Bank Account"/>
        <s v="Shares"/>
        <s v="Managed Fund"/>
      </sharedItems>
    </cacheField>
    <cacheField name="Name" numFmtId="0">
      <sharedItems containsBlank="1"/>
    </cacheField>
    <cacheField name="Acquire Value" numFmtId="0">
      <sharedItems containsString="0" containsBlank="1" containsNumber="1" containsInteger="1" minValue="424500" maxValue="961500"/>
    </cacheField>
    <cacheField name="Current Value" numFmtId="8">
      <sharedItems containsSemiMixedTypes="0" containsString="0" containsNumber="1" minValue="325" maxValue="1200000"/>
    </cacheField>
    <cacheField name="Value Growth" numFmtId="0">
      <sharedItems containsString="0" containsBlank="1" containsNumber="1" minValue="1.4999999999999999E-2" maxValue="7.1999999999999995E-2"/>
    </cacheField>
    <cacheField name="2026" numFmtId="0">
      <sharedItems containsString="0" containsBlank="1" containsNumber="1" containsInteger="1" minValue="10888" maxValue="1200000"/>
    </cacheField>
    <cacheField name="2027" numFmtId="0">
      <sharedItems containsString="0" containsBlank="1" containsNumber="1" minValue="11541.28" maxValue="1272000"/>
    </cacheField>
    <cacheField name="2028" numFmtId="0">
      <sharedItems containsString="0" containsBlank="1" containsNumber="1" minValue="12233.756800000001" maxValue="1348320"/>
    </cacheField>
    <cacheField name="2029" numFmtId="0">
      <sharedItems containsString="0" containsBlank="1" containsNumber="1" minValue="12967.782208000002" maxValue="1429219.2000000002"/>
    </cacheField>
    <cacheField name="2030" numFmtId="0">
      <sharedItems containsString="0" containsBlank="1" containsNumber="1" minValue="13745.849140480002" maxValue="1514972.3520000002"/>
    </cacheField>
    <cacheField name="2031" numFmtId="0">
      <sharedItems containsString="0" containsBlank="1" containsNumber="1" minValue="14570.600088908803" maxValue="1605870.6931200002"/>
    </cacheField>
    <cacheField name="2032" numFmtId="0">
      <sharedItems containsString="0" containsBlank="1" containsNumber="1" minValue="15444.836094243332" maxValue="1702222.9347072004"/>
    </cacheField>
    <cacheField name="2033" numFmtId="0">
      <sharedItems containsString="0" containsBlank="1" containsNumber="1" minValue="16371.526259897933" maxValue="1804356.3107896326"/>
    </cacheField>
    <cacheField name="2034" numFmtId="0">
      <sharedItems containsString="0" containsBlank="1" containsNumber="1" minValue="17353.817835491809" maxValue="1912617.6894370106"/>
    </cacheField>
    <cacheField name="2035" numFmtId="0">
      <sharedItems containsString="0" containsBlank="1" containsNumber="1" minValue="18395.046905621319" maxValue="2027374.7508032313"/>
    </cacheField>
    <cacheField name="2036" numFmtId="0">
      <sharedItems containsString="0" containsBlank="1" containsNumber="1" minValue="19498.7497199586" maxValue="2149017.2358514252"/>
    </cacheField>
    <cacheField name="2037" numFmtId="0">
      <sharedItems containsString="0" containsBlank="1" containsNumber="1" minValue="20668.674703156117" maxValue="2277958.2700025109"/>
    </cacheField>
    <cacheField name="2038" numFmtId="0">
      <sharedItems containsString="0" containsBlank="1" containsNumber="1" minValue="21908.795185345487" maxValue="2414635.7662026617"/>
    </cacheField>
    <cacheField name="2039" numFmtId="0">
      <sharedItems containsString="0" containsBlank="1" containsNumber="1" minValue="23223.322896466216" maxValue="2559513.9121748214"/>
    </cacheField>
    <cacheField name="2040" numFmtId="0">
      <sharedItems containsString="0" containsBlank="1" containsNumber="1" minValue="24616.722270254191" maxValue="2713084.746905311"/>
    </cacheField>
    <cacheField name="2041" numFmtId="0">
      <sharedItems containsString="0" containsBlank="1" containsNumber="1" minValue="26093.725606469445" maxValue="2875869.8317196299"/>
    </cacheField>
    <cacheField name="2042" numFmtId="0">
      <sharedItems containsString="0" containsBlank="1" containsNumber="1" minValue="27659.349142857613" maxValue="3048422.0216228077"/>
    </cacheField>
    <cacheField name="2043" numFmtId="0">
      <sharedItems containsString="0" containsBlank="1" containsNumber="1" minValue="29318.910091429072" maxValue="3231327.3429201762"/>
    </cacheField>
    <cacheField name="2044" numFmtId="0">
      <sharedItems containsString="0" containsBlank="1" containsNumber="1" minValue="31078.044696914818" maxValue="3425206.9834953868"/>
    </cacheField>
    <cacheField name="2045" numFmtId="0">
      <sharedItems containsString="0" containsBlank="1" containsNumber="1" minValue="32942.727378729709" maxValue="3630719.40250511"/>
    </cacheField>
    <cacheField name="2046" numFmtId="0">
      <sharedItems containsString="0" containsBlank="1" containsNumber="1" minValue="34919.291021453493" maxValue="3848562.566655417"/>
    </cacheField>
    <cacheField name="2047" numFmtId="0">
      <sharedItems containsString="0" containsBlank="1" containsNumber="1" minValue="37014.448482740707" maxValue="4079476.3206547424"/>
    </cacheField>
    <cacheField name="2048" numFmtId="0">
      <sharedItems containsString="0" containsBlank="1" containsNumber="1" minValue="39235.315391705153" maxValue="4324244.899894027"/>
    </cacheField>
    <cacheField name="2049" numFmtId="0">
      <sharedItems containsString="0" containsBlank="1" containsNumber="1" minValue="41589.434315207465" maxValue="4583699.593887669"/>
    </cacheField>
    <cacheField name="2050" numFmtId="0">
      <sharedItems containsString="0" containsBlank="1" containsNumber="1" minValue="44084.800374119914" maxValue="4858721.5695209298"/>
    </cacheField>
    <cacheField name="2051" numFmtId="0">
      <sharedItems containsString="0" containsBlank="1" containsNumber="1" minValue="46729.888396567112" maxValue="5150244.8636921858"/>
    </cacheField>
    <cacheField name="2052" numFmtId="0">
      <sharedItems containsString="0" containsBlank="1" containsNumber="1" minValue="49533.681700361143" maxValue="5459259.5555137172"/>
    </cacheField>
    <cacheField name="2053" numFmtId="0">
      <sharedItems containsString="0" containsBlank="1" containsNumber="1" minValue="52505.702602382815" maxValue="5786815.1288445406"/>
    </cacheField>
    <cacheField name="2054" numFmtId="0">
      <sharedItems containsString="0" containsBlank="1" containsNumber="1" minValue="55656.044758525786" maxValue="6134024.0365752131"/>
    </cacheField>
    <cacheField name="2055" numFmtId="0">
      <sharedItems containsString="0" containsBlank="1" containsNumber="1" minValue="58995.407444037337" maxValue="6502065.478769726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Jeffrey Hernandez" refreshedDate="46244.00350810185" createdVersion="4" refreshedVersion="4" minRefreshableVersion="3" recordCount="23">
  <cacheSource type="worksheet">
    <worksheetSource ref="B2:AK25" sheet="Income"/>
  </cacheSource>
  <cacheFields count="36">
    <cacheField name="Owner" numFmtId="0">
      <sharedItems count="4">
        <s v="Jeff"/>
        <s v="Tin"/>
        <s v="Magiting"/>
        <s v="Hernandez Accountants"/>
      </sharedItems>
    </cacheField>
    <cacheField name="%  Own" numFmtId="9">
      <sharedItems containsSemiMixedTypes="0" containsString="0" containsNumber="1" minValue="-1" maxValue="1"/>
    </cacheField>
    <cacheField name="Type" numFmtId="0">
      <sharedItems/>
    </cacheField>
    <cacheField name="Name" numFmtId="0">
      <sharedItems/>
    </cacheField>
    <cacheField name="Annual" numFmtId="8">
      <sharedItems containsString="0" containsBlank="1" containsNumber="1" minValue="-26436.02" maxValue="190026"/>
    </cacheField>
    <cacheField name="Growth" numFmtId="0">
      <sharedItems containsString="0" containsBlank="1" containsNumber="1" minValue="2.5000000000000001E-2" maxValue="0.05"/>
    </cacheField>
    <cacheField name="2026" numFmtId="164">
      <sharedItems containsSemiMixedTypes="0" containsString="0" containsNumber="1" minValue="-26436.02" maxValue="190026"/>
    </cacheField>
    <cacheField name="2027" numFmtId="164">
      <sharedItems containsSemiMixedTypes="0" containsString="0" containsNumber="1" minValue="-58439.736841674821" maxValue="194776.65"/>
    </cacheField>
    <cacheField name="2028" numFmtId="164">
      <sharedItems containsSemiMixedTypes="0" containsString="0" containsNumber="1" minValue="-57683.849756812117" maxValue="199646.06624999997"/>
    </cacheField>
    <cacheField name="2029" numFmtId="164">
      <sharedItems containsSemiMixedTypes="0" containsString="0" containsNumber="1" minValue="-56557.367694580025" maxValue="204637.21790624995"/>
    </cacheField>
    <cacheField name="2030" numFmtId="164">
      <sharedItems containsSemiMixedTypes="0" containsString="0" containsNumber="1" minValue="-55518.141166607165" maxValue="209753.14835390617"/>
    </cacheField>
    <cacheField name="2031" numFmtId="164">
      <sharedItems containsString="0" containsBlank="1" containsNumber="1" minValue="-54411.189255885278" maxValue="214996.97706275381"/>
    </cacheField>
    <cacheField name="2032" numFmtId="164">
      <sharedItems containsString="0" containsBlank="1" containsNumber="1" minValue="-53380.661014373138" maxValue="220371.90148932263"/>
    </cacheField>
    <cacheField name="2033" numFmtId="164">
      <sharedItems containsString="0" containsBlank="1" containsNumber="1" minValue="-51985.84895033294" maxValue="225881.19902655567"/>
    </cacheField>
    <cacheField name="2034" numFmtId="164">
      <sharedItems containsString="0" containsBlank="1" containsNumber="1" minValue="-50648.700989097189" maxValue="231528.22900221954"/>
    </cacheField>
    <cacheField name="2035" numFmtId="164">
      <sharedItems containsString="0" containsBlank="1" containsNumber="1" minValue="-49224.412394872204" maxValue="237316.43472727502"/>
    </cacheField>
    <cacheField name="2036" numFmtId="164">
      <sharedItems containsString="0" containsBlank="1" containsNumber="1" minValue="-47840.28217496568" maxValue="243249.34559545686"/>
    </cacheField>
    <cacheField name="2037" numFmtId="164">
      <sharedItems containsString="0" containsBlank="1" containsNumber="1" minValue="-46099.993778610748" maxValue="249330.57923534326"/>
    </cacheField>
    <cacheField name="2038" numFmtId="164">
      <sharedItems containsString="0" containsBlank="1" containsNumber="1" minValue="-44379.270356606336" maxValue="255563.84371622681"/>
    </cacheField>
    <cacheField name="2039" numFmtId="164">
      <sharedItems containsString="0" containsBlank="1" containsNumber="1" minValue="-42546.40906165156" maxValue="261952.93980913245"/>
    </cacheField>
    <cacheField name="2040" numFmtId="164">
      <sharedItems containsString="0" containsBlank="1" containsNumber="1" minValue="-40707.014377198604" maxValue="268501.76330436073"/>
    </cacheField>
    <cacheField name="2041" numFmtId="164">
      <sharedItems containsString="0" containsBlank="1" containsNumber="1" minValue="-38521.923329685094" maxValue="275214.30738696974"/>
    </cacheField>
    <cacheField name="2042" numFmtId="164">
      <sharedItems containsString="0" containsBlank="1" containsNumber="1" minValue="-36307.344422049762" maxValue="282094.66507164395"/>
    </cacheField>
    <cacheField name="2043" numFmtId="164">
      <sharedItems containsString="0" containsBlank="1" containsNumber="1" minValue="-33948.443559469655" maxValue="289147.03169843502"/>
    </cacheField>
    <cacheField name="2044" numFmtId="164">
      <sharedItems containsString="0" containsBlank="1" containsNumber="1" minValue="-31522.893408296957" maxValue="296375.70749089587"/>
    </cacheField>
    <cacheField name="2045" numFmtId="164">
      <sharedItems containsString="0" containsBlank="1" containsNumber="1" minValue="-28765.116535528516" maxValue="303785.10017816827"/>
    </cacheField>
    <cacheField name="2046" numFmtId="164">
      <sharedItems containsString="0" containsBlank="1" containsNumber="1" minValue="-25914.696012272103" maxValue="311379.72768262244"/>
    </cacheField>
    <cacheField name="2047" numFmtId="164">
      <sharedItems containsString="0" containsBlank="1" containsNumber="1" minValue="-22878.51635398882" maxValue="319164.22087468795"/>
    </cacheField>
    <cacheField name="2048" numFmtId="164">
      <sharedItems containsString="0" containsBlank="1" containsNumber="1" minValue="-21621.310865585074" maxValue="327143.32639655512"/>
    </cacheField>
    <cacheField name="2049" numFmtId="164">
      <sharedItems containsString="0" containsBlank="1" containsNumber="1" minValue="-22269.950191552627" maxValue="335321.90955646895"/>
    </cacheField>
    <cacheField name="2050" numFmtId="164">
      <sharedItems containsString="0" containsBlank="1" containsNumber="1" minValue="-22938.048697299208" maxValue="343704.95729538065"/>
    </cacheField>
    <cacheField name="2051" numFmtId="164">
      <sharedItems containsString="0" containsBlank="1" containsNumber="1" minValue="-23626.190158218185" maxValue="352297.58122776513"/>
    </cacheField>
    <cacheField name="2052" numFmtId="164">
      <sharedItems containsString="0" containsBlank="1" containsNumber="1" minValue="-24334.975862964733" maxValue="361105.02075845923"/>
    </cacheField>
    <cacheField name="2053" numFmtId="164">
      <sharedItems containsString="0" containsBlank="1" containsNumber="1" minValue="-25065.025138853674" maxValue="370132.64627742069"/>
    </cacheField>
    <cacheField name="2054" numFmtId="164">
      <sharedItems containsString="0" containsBlank="1" containsNumber="1" minValue="-25816.975893019284" maxValue="379385.96243435616"/>
    </cacheField>
    <cacheField name="2055" numFmtId="164">
      <sharedItems containsString="0" containsBlank="1" containsNumber="1" minValue="-26591.485169809865" maxValue="388870.611495215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9">
  <r>
    <x v="0"/>
    <x v="0"/>
    <n v="2845.4996937424658"/>
    <n v="2403.4315027780822"/>
    <n v="4996.8867923917805"/>
    <n v="5248.9311965205479"/>
    <n v="8303"/>
    <n v="1078210.0366116192"/>
    <n v="10245.817988912328"/>
    <n v="3677.0465959890416"/>
    <n v="13922.86458490137"/>
    <n v="2006616.933404011"/>
  </r>
  <r>
    <x v="0"/>
    <x v="1"/>
    <n v="5686.0812188885538"/>
    <n v="4804.3365318867964"/>
    <n v="9988.1548843800265"/>
    <n v="10490.41775077535"/>
    <n v="16606"/>
    <n v="1075564.4316887299"/>
    <n v="20478.572635155375"/>
    <n v="7373.38342688998"/>
    <n v="27851.956062045356"/>
    <n v="2002920.59657311"/>
  </r>
  <r>
    <x v="0"/>
    <x v="2"/>
    <n v="8430.2465419117761"/>
    <n v="7125.3351832832723"/>
    <n v="14812.947643600404"/>
    <n v="15555.581725195048"/>
    <n v="24909"/>
    <n v="1072723.0308957901"/>
    <n v="30368.529368795455"/>
    <n v="11431.991460609466"/>
    <n v="41800.520829404923"/>
    <n v="1998861.9885393905"/>
  </r>
  <r>
    <x v="0"/>
    <x v="3"/>
    <n v="11260.433132611159"/>
    <n v="9520.7406117687569"/>
    <n v="19792.022921912834"/>
    <n v="20781.173744379914"/>
    <n v="33212"/>
    <n v="1070048.9141429877"/>
    <n v="20534.65700350748"/>
    <n v="15169.032935099585"/>
    <n v="35703.689938607065"/>
    <n v="1995124.9470649005"/>
  </r>
  <r>
    <x v="0"/>
    <x v="4"/>
    <n v="13994.485955644745"/>
    <n v="11836.389088853837"/>
    <n v="24604.952747991498"/>
    <n v="25830.875044498582"/>
    <n v="41515"/>
    <n v="1067179.777857027"/>
    <n v="50435.827792490076"/>
    <n v="19267.239394981483"/>
    <n v="69703.067187471563"/>
    <n v="1991026.7406050186"/>
  </r>
  <r>
    <x v="0"/>
    <x v="5"/>
    <n v="16814.169798977036"/>
    <n v="14226.237876625348"/>
    <n v="29571.705884978852"/>
    <n v="31040.407675602386"/>
    <n v="49818"/>
    <n v="1064476.8569498225"/>
    <n v="60612.113560581238"/>
    <n v="23045.40716519866"/>
    <n v="83657.520725779905"/>
    <n v="1987248.5728348014"/>
  </r>
  <r>
    <x v="0"/>
    <x v="6"/>
    <n v="19628.79975306815"/>
    <n v="16613.488782859473"/>
    <n v="34532.678318077742"/>
    <n v="36242.288535927626"/>
    <n v="58121"/>
    <n v="1061759.8956008828"/>
    <n v="70774.966854005368"/>
    <n v="26843.396081039467"/>
    <n v="97618.362935044832"/>
    <n v="1983450.5839189608"/>
  </r>
  <r>
    <x v="0"/>
    <x v="7"/>
    <n v="22166.457361670939"/>
    <n v="18767.356598175778"/>
    <n v="39008.307293351609"/>
    <n v="40933.813959846717"/>
    <n v="66424"/>
    <n v="1058489.6022902499"/>
    <n v="79942.121253198333"/>
    <n v="31680.060416398643"/>
    <n v="111622.18166959698"/>
    <n v="1978613.9195836016"/>
  </r>
  <r>
    <x v="0"/>
    <x v="8"/>
    <n v="24969.470282348502"/>
    <n v="21148.157470203831"/>
    <n v="43955.046876433102"/>
    <n v="46117.627752552333"/>
    <n v="74727"/>
    <n v="1055741.510995602"/>
    <n v="90072.674628985435"/>
    <n v="35523.412127964897"/>
    <n v="125596.08675695033"/>
    <n v="1974770.5678720353"/>
  </r>
  <r>
    <x v="0"/>
    <x v="9"/>
    <n v="27677.087754661712"/>
    <n v="23449.598202374156"/>
    <n v="48736.515860017615"/>
    <n v="51126.685957035865"/>
    <n v="83030"/>
    <n v="1052800.4143192272"/>
    <n v="99863.201817053487"/>
    <n v="39725.039820755272"/>
    <n v="139588.24163780877"/>
    <n v="1970568.9401792451"/>
  </r>
  <r>
    <x v="0"/>
    <x v="10"/>
    <n v="30469.316091397111"/>
    <n v="25824.69095992083"/>
    <n v="53670.590321100113"/>
    <n v="56294.007051317938"/>
    <n v="91333"/>
    <n v="1050022.7602831461"/>
    <n v="109964.59737241805"/>
    <n v="43610.619395753871"/>
    <n v="153575.21676817193"/>
    <n v="1966683.3606042461"/>
  </r>
  <r>
    <x v="0"/>
    <x v="11"/>
    <n v="33166.442001155257"/>
    <n v="28120.578669325139"/>
    <n v="58439.736841674821"/>
    <n v="61287.0206704804"/>
    <n v="99636"/>
    <n v="1047052.9058154493"/>
    <n v="119726.75751215522"/>
    <n v="47853.327342875942"/>
    <n v="167580.08485503116"/>
    <n v="1962440.6526571242"/>
  </r>
  <r>
    <x v="1"/>
    <x v="0"/>
    <n v="2781.3318985534711"/>
    <n v="2369.3254403358028"/>
    <n v="4921.2750017189546"/>
    <n v="5150.6573388892739"/>
    <n v="8303"/>
    <n v="1044245.3859354111"/>
    <n v="10071.932340608229"/>
    <n v="3928.2448783191953"/>
    <n v="14000.177218927425"/>
    <n v="1958512.4077788051"/>
  </r>
  <r>
    <x v="1"/>
    <x v="1"/>
    <n v="5557.4082817100489"/>
    <n v="4735.9451025550588"/>
    <n v="9836.5248016183832"/>
    <n v="10293.353384265109"/>
    <n v="16606"/>
    <n v="1041423.2819230229"/>
    <n v="20129.878185883492"/>
    <n v="7877.0990908079066"/>
    <n v="28006.977276691399"/>
    <n v="1954563.5535663161"/>
  </r>
  <r>
    <x v="1"/>
    <x v="2"/>
    <n v="8238.8210928204062"/>
    <n v="7023.5899339643238"/>
    <n v="14587.355968332395"/>
    <n v="15262.41102678473"/>
    <n v="24909"/>
    <n v="1038410.1878094706"/>
    <n v="29849.766995117126"/>
    <n v="12181.36203764629"/>
    <n v="42031.12903276342"/>
    <n v="1950259.2906194779"/>
  </r>
  <r>
    <x v="1"/>
    <x v="3"/>
    <n v="11003.833514921858"/>
    <n v="9384.3543987502198"/>
    <n v="19489.606638042194"/>
    <n v="20388.187913672078"/>
    <n v="33212"/>
    <n v="1035557.7622604417"/>
    <n v="39877.794551714273"/>
    <n v="16173.536916965455"/>
    <n v="56051.331468679724"/>
    <n v="1946267.1157401586"/>
  </r>
  <r>
    <x v="1"/>
    <x v="4"/>
    <n v="13674.482977150228"/>
    <n v="11666.303120743141"/>
    <n v="24227.790370255847"/>
    <n v="25340.786097893368"/>
    <n v="41515"/>
    <n v="1032515.1722208285"/>
    <n v="49568.576468149215"/>
    <n v="20519.943224365015"/>
    <n v="70088.519692514237"/>
    <n v="1941920.7094327593"/>
  </r>
  <r>
    <x v="1"/>
    <x v="5"/>
    <n v="16428.316686347134"/>
    <n v="14021.151659869065"/>
    <n v="29116.904029628371"/>
    <n v="30449.468346216199"/>
    <n v="49818"/>
    <n v="1029632.1142519738"/>
    <n v="59566.37237584457"/>
    <n v="24555.887533846995"/>
    <n v="84122.259909691566"/>
    <n v="1937884.765123277"/>
  </r>
  <r>
    <x v="1"/>
    <x v="6"/>
    <n v="19176.750315008638"/>
    <n v="16373.218312040821"/>
    <n v="33999.819582518117"/>
    <n v="35549.968627049457"/>
    <n v="58121"/>
    <n v="1026734.0795882656"/>
    <n v="69549.788209567574"/>
    <n v="28613.00664466562"/>
    <n v="98162.794854233187"/>
    <n v="1933827.6460124585"/>
  </r>
  <r>
    <x v="1"/>
    <x v="7"/>
    <n v="21742.787398764107"/>
    <n v="18570.922636663425"/>
    <n v="38561.878924668505"/>
    <n v="40313.710035427532"/>
    <n v="66424"/>
    <n v="1023473.2542341818"/>
    <n v="78875.588960096036"/>
    <n v="33353.772656599052"/>
    <n v="112229.3616166951"/>
    <n v="1929086.8800005252"/>
  </r>
  <r>
    <x v="1"/>
    <x v="8"/>
    <n v="24479.405180987407"/>
    <n v="20916.584741786879"/>
    <n v="43430.606644781641"/>
    <n v="45395.989922774286"/>
    <n v="74727"/>
    <n v="1020543.2068070667"/>
    <n v="88826.596567555927"/>
    <n v="37457.09236360107"/>
    <n v="126283.688931157"/>
    <n v="1924983.5602935231"/>
  </r>
  <r>
    <x v="1"/>
    <x v="9"/>
    <n v="27122.431496870253"/>
    <n v="23183.841441168894"/>
    <n v="48136.174401687887"/>
    <n v="50306.272938039147"/>
    <n v="83030"/>
    <n v="1017425.1083939775"/>
    <n v="98442.447339727034"/>
    <n v="41911.623019783976"/>
    <n v="140354.07035951101"/>
    <n v="1920529.0296373402"/>
  </r>
  <r>
    <x v="1"/>
    <x v="10"/>
    <n v="29847.57606610686"/>
    <n v="25523.430983810063"/>
    <n v="52991.409537731313"/>
    <n v="55371.007049916923"/>
    <n v="91333"/>
    <n v="1014463.6326493305"/>
    <n v="108362.41658764824"/>
    <n v="46059.863628387553"/>
    <n v="154422.28021603578"/>
    <n v="1916380.7890287368"/>
  </r>
  <r>
    <x v="1"/>
    <x v="11"/>
    <n v="32479.440900712081"/>
    <n v="27784.780114620673"/>
    <n v="57683.849756812117"/>
    <n v="60264.221015332754"/>
    <n v="99636"/>
    <n v="1011314.9616641065"/>
    <n v="117948.07077214487"/>
    <n v="50558.09439453081"/>
    <n v="168506.1651666757"/>
    <n v="1911882.5582625933"/>
  </r>
  <r>
    <x v="2"/>
    <x v="0"/>
    <n v="2713.5523597709412"/>
    <n v="2333.453997491818"/>
    <n v="4841.599437822495"/>
    <n v="5047.0063572627587"/>
    <n v="8303"/>
    <n v="1008321.7353686169"/>
    <n v="9888.6057950852537"/>
    <n v="4193.62685766701"/>
    <n v="14082.232652752264"/>
    <n v="1907688.9314049263"/>
  </r>
  <r>
    <x v="2"/>
    <x v="1"/>
    <n v="5421.4928694683604"/>
    <n v="4664.013631355655"/>
    <n v="9676.7453248966031"/>
    <n v="10085.506500824016"/>
    <n v="16606"/>
    <n v="1005312.9597843636"/>
    <n v="19762.251825720617"/>
    <n v="8409.2565548463481"/>
    <n v="28171.508380566964"/>
    <n v="1903473.3017077469"/>
  </r>
  <r>
    <x v="2"/>
    <x v="2"/>
    <n v="8036.6210855981426"/>
    <n v="6916.5781995617226"/>
    <n v="14349.639816163741"/>
    <n v="14953.199285159866"/>
    <n v="24909"/>
    <n v="1002118.2768850839"/>
    <n v="29302.839101323607"/>
    <n v="12973.044962859014"/>
    <n v="42275.884064182625"/>
    <n v="1898909.5132997343"/>
  </r>
  <r>
    <x v="2"/>
    <x v="3"/>
    <n v="10732.790950851699"/>
    <n v="9240.9086329635102"/>
    <n v="19170.936920866396"/>
    <n v="19973.699583815207"/>
    <n v="33212"/>
    <n v="999077.26583295618"/>
    <n v="39144.636504681606"/>
    <n v="17234.758910283901"/>
    <n v="56379.395414965504"/>
    <n v="1894647.7993523094"/>
  </r>
  <r>
    <x v="2"/>
    <x v="4"/>
    <n v="13336.468335576355"/>
    <n v="11487.413250533922"/>
    <n v="23830.357313067085"/>
    <n v="24823.881586110278"/>
    <n v="41515"/>
    <n v="995851.22518822411"/>
    <n v="48654.238899177362"/>
    <n v="21843.379162815378"/>
    <n v="70497.618061992747"/>
    <n v="1890039.1790997782"/>
  </r>
  <r>
    <x v="2"/>
    <x v="5"/>
    <n v="16020.745475043565"/>
    <n v="13805.449876207793"/>
    <n v="28637.658743096243"/>
    <n v="29826.195351251357"/>
    <n v="49818"/>
    <n v="992777.64815830253"/>
    <n v="58463.854094347596"/>
    <n v="26151.654762707771"/>
    <n v="84615.508857055363"/>
    <n v="1885730.9034998857"/>
  </r>
  <r>
    <x v="2"/>
    <x v="6"/>
    <n v="18699.256856984535"/>
    <n v="16120.511085117296"/>
    <n v="33438.322230649086"/>
    <n v="34819.767942101833"/>
    <n v="58121"/>
    <n v="989688.10426049249"/>
    <n v="68258.090172750919"/>
    <n v="30482.535172964919"/>
    <n v="98740.625345715845"/>
    <n v="1881400.0230896287"/>
  </r>
  <r>
    <x v="2"/>
    <x v="7"/>
    <n v="21113.322300376432"/>
    <n v="18208.832510566775"/>
    <n v="37768.377586629256"/>
    <n v="39322.154810943204"/>
    <n v="66424"/>
    <n v="986079.53573398502"/>
    <n v="77090.53239757246"/>
    <n v="35803.048343492293"/>
    <n v="112893.58074106475"/>
    <n v="1876079.5099191014"/>
  </r>
  <r>
    <x v="2"/>
    <x v="8"/>
    <n v="23778.851281961601"/>
    <n v="20516.719570810721"/>
    <n v="42553.163749214058"/>
    <n v="44295.570852772318"/>
    <n v="74727"/>
    <n v="982955.16731572128"/>
    <n v="86848.734601986376"/>
    <n v="40184.630599171112"/>
    <n v="127033.36520115749"/>
    <n v="1871697.9276634222"/>
  </r>
  <r>
    <x v="2"/>
    <x v="9"/>
    <n v="26352.720307877684"/>
    <n v="22747.227588138892"/>
    <n v="47177.061014694285"/>
    <n v="49099.947896016572"/>
    <n v="83030"/>
    <n v="979648.03892743634"/>
    <n v="96277.008910710865"/>
    <n v="44909.861721975831"/>
    <n v="141186.87063268671"/>
    <n v="1866972.6965406176"/>
  </r>
  <r>
    <x v="2"/>
    <x v="10"/>
    <n v="29006.038766275437"/>
    <n v="25048.650295271476"/>
    <n v="51947.4642356103"/>
    <n v="54054.689061546916"/>
    <n v="91333"/>
    <n v="976490.24972439627"/>
    <n v="106002.15329715722"/>
    <n v="49339.247704100046"/>
    <n v="155341.40100125727"/>
    <n v="1862543.3105584937"/>
  </r>
  <r>
    <x v="2"/>
    <x v="11"/>
    <n v="31568.029033721305"/>
    <n v="27272.869598504643"/>
    <n v="56557.367694580025"/>
    <n v="58840.898632225944"/>
    <n v="99636"/>
    <n v="973150.61054638878"/>
    <n v="115398.26632680597"/>
    <n v="54110.983423137703"/>
    <n v="169509.24974994367"/>
    <n v="1857771.574839456"/>
  </r>
  <r>
    <x v="3"/>
    <x v="0"/>
    <n v="2640.9812915868529"/>
    <n v="2294.8913078276278"/>
    <n v="4755.8677211843433"/>
    <n v="4935.8725994144806"/>
    <n v="8303"/>
    <n v="969959.05789207132"/>
    <n v="9691.740320598823"/>
    <n v="4477.6849331330832"/>
    <n v="14169.425253731906"/>
    <n v="1853293.8899063228"/>
  </r>
  <r>
    <x v="3"/>
    <x v="1"/>
    <n v="5275.9692081063795"/>
    <n v="4586.6855179308459"/>
    <n v="9504.8209838187686"/>
    <n v="9862.6547260372245"/>
    <n v="16606"/>
    <n v="966750.92514434084"/>
    <n v="19367.475709855993"/>
    <n v="8978.8644182291937"/>
    <n v="28346.340128085187"/>
    <n v="1848792.7104212269"/>
  </r>
  <r>
    <x v="3"/>
    <x v="2"/>
    <n v="7820.1269817059456"/>
    <n v="6801.5379341856624"/>
    <n v="14093.854820094952"/>
    <n v="14621.664915891608"/>
    <n v="24909"/>
    <n v="963362.31321926741"/>
    <n v="28715.51973598656"/>
    <n v="13820.442507026361"/>
    <n v="42535.962243012924"/>
    <n v="1843951.1323324295"/>
  </r>
  <r>
    <x v="3"/>
    <x v="3"/>
    <n v="10442.587612923471"/>
    <n v="9086.7008813061911"/>
    <n v="18828.04506597374"/>
    <n v="19529.288494229662"/>
    <n v="33212"/>
    <n v="960119.90088929585"/>
    <n v="38357.333560203406"/>
    <n v="18370.664591119137"/>
    <n v="56727.998151322543"/>
    <n v="1839400.9102483368"/>
  </r>
  <r>
    <x v="3"/>
    <x v="4"/>
    <n v="12974.558472489463"/>
    <n v="11295.102208601522"/>
    <n v="23402.71530370749"/>
    <n v="24269.660681090987"/>
    <n v="41515"/>
    <n v="956697.94276023214"/>
    <n v="47672.375984798477"/>
    <n v="23259.952482449153"/>
    <n v="70932.328467247629"/>
    <n v="1834511.6223570067"/>
  </r>
  <r>
    <x v="3"/>
    <x v="5"/>
    <n v="15584.361889426618"/>
    <n v="13573.565115410205"/>
    <n v="28121.985943358861"/>
    <n v="29157.927004836823"/>
    <n v="49818"/>
    <n v="953420.89937516709"/>
    <n v="57279.912948195684"/>
    <n v="27859.725227862829"/>
    <n v="85139.638176058506"/>
    <n v="1829911.8496115929"/>
  </r>
  <r>
    <x v="3"/>
    <x v="6"/>
    <n v="18188.008021094625"/>
    <n v="15848.844556114438"/>
    <n v="32834.145372534033"/>
    <n v="34036.852577209065"/>
    <n v="58121"/>
    <n v="950126.8315978006"/>
    <n v="66870.99794974309"/>
    <n v="32483.633576054192"/>
    <n v="99354.631525797275"/>
    <n v="1825287.9412634019"/>
  </r>
  <r>
    <x v="3"/>
    <x v="7"/>
    <n v="20534.097741305377"/>
    <n v="17901.045158440797"/>
    <n v="37083.83181300338"/>
    <n v="38435.142899746177"/>
    <n v="66424"/>
    <n v="946332.57167646196"/>
    <n v="75518.974712749565"/>
    <n v="38070.207056923377"/>
    <n v="113589.18176967294"/>
    <n v="1819701.3677825325"/>
  </r>
  <r>
    <x v="3"/>
    <x v="8"/>
    <n v="23124.010520442342"/>
    <n v="20168.751410801389"/>
    <n v="41779.206028342946"/>
    <n v="43292.761931243731"/>
    <n v="74727"/>
    <n v="943001.65121674258"/>
    <n v="85071.967959586676"/>
    <n v="42747.753301303223"/>
    <n v="127819.7212608899"/>
    <n v="1815023.8215381526"/>
  </r>
  <r>
    <x v="3"/>
    <x v="9"/>
    <n v="25624.317865869329"/>
    <n v="22360.170348598836"/>
    <n v="46316.110415850773"/>
    <n v="47984.488214468161"/>
    <n v="83030"/>
    <n v="939493.59482210991"/>
    <n v="94300.598630318942"/>
    <n v="47760.905308428133"/>
    <n v="142061.50393874708"/>
    <n v="1810010.6695310278"/>
  </r>
  <r>
    <x v="3"/>
    <x v="10"/>
    <n v="28201.235854861159"/>
    <n v="24620.995505418043"/>
    <n v="50996.153308183129"/>
    <n v="52822.231360279198"/>
    <n v="91333"/>
    <n v="936127.13567771576"/>
    <n v="103818.38466846233"/>
    <n v="52489.3215604898"/>
    <n v="156307.70622895213"/>
    <n v="1805282.2532789661"/>
  </r>
  <r>
    <x v="3"/>
    <x v="11"/>
    <n v="30688.901483701888"/>
    <n v="26805.720309746182"/>
    <n v="55518.141166607165"/>
    <n v="57494.621793448066"/>
    <n v="99636"/>
    <n v="932584.50825821317"/>
    <n v="113012.76296005523"/>
    <n v="57551.961121568376"/>
    <n v="170564.7240816236"/>
    <n v="1800219.6137178876"/>
  </r>
  <r>
    <x v="4"/>
    <x v="0"/>
    <n v="2563.7884210582929"/>
    <n v="2253.872692765633"/>
    <n v="4664.5489519000503"/>
    <n v="4817.6611138239259"/>
    <n v="8303"/>
    <n v="929182.14604289201"/>
    <n v="9482.2100657239753"/>
    <n v="4779.8132634210251"/>
    <n v="14262.023329145"/>
    <n v="1795439.8004544664"/>
  </r>
  <r>
    <x v="4"/>
    <x v="1"/>
    <n v="5121.1776440375961"/>
    <n v="4504.4326422713966"/>
    <n v="9321.6925005352059"/>
    <n v="9625.6102863089927"/>
    <n v="16606"/>
    <n v="925762.10803661798"/>
    <n v="18947.3027868442"/>
    <n v="9584.7077210599691"/>
    <n v="28532.010507904168"/>
    <n v="1790634.9059968274"/>
  </r>
  <r>
    <x v="4"/>
    <x v="2"/>
    <n v="7589.8451111186932"/>
    <n v="6679.171149005937"/>
    <n v="13821.400564443255"/>
    <n v="14269.01626012463"/>
    <n v="24909"/>
    <n v="922167.36064186005"/>
    <n v="28090.416824567885"/>
    <n v="14721.747051909902"/>
    <n v="42812.163876477789"/>
    <n v="1785497.8666659775"/>
  </r>
  <r>
    <x v="4"/>
    <x v="3"/>
    <n v="10133.902220077605"/>
    <n v="8922.6721670258921"/>
    <n v="18462.807282172365"/>
    <n v="19056.574387103497"/>
    <n v="33212"/>
    <n v="918710.87025439437"/>
    <n v="37519.381669275863"/>
    <n v="19578.83072164638"/>
    <n v="57098.212390922243"/>
    <n v="1780640.782996241"/>
  </r>
  <r>
    <x v="4"/>
    <x v="4"/>
    <n v="12589.599811919543"/>
    <n v="11090.543536219251"/>
    <n v="22947.2042802457"/>
    <n v="23680.143348138794"/>
    <n v="41515"/>
    <n v="915080.66301615373"/>
    <n v="46627.347628384494"/>
    <n v="24766.64096181378"/>
    <n v="71393.988590198278"/>
    <n v="1775452.9727560738"/>
  </r>
  <r>
    <x v="4"/>
    <x v="5"/>
    <n v="15120.186530454801"/>
    <n v="13326.912409783929"/>
    <n v="27572.707248472125"/>
    <n v="28447.098940238728"/>
    <n v="49818"/>
    <n v="911587.3464917891"/>
    <n v="56019.806188710849"/>
    <n v="29676.454517952032"/>
    <n v="85696.260706662884"/>
    <n v="1770543.1591999354"/>
  </r>
  <r>
    <x v="4"/>
    <x v="6"/>
    <n v="17644.199500919367"/>
    <n v="15559.87651795541"/>
    <n v="32190.594895806906"/>
    <n v="33204.076018874781"/>
    <n v="58121"/>
    <n v="908075.88147541997"/>
    <n v="65394.670914681687"/>
    <n v="34612.031886986377"/>
    <n v="100006.70280166806"/>
    <n v="1765607.5818309011"/>
  </r>
  <r>
    <x v="4"/>
    <x v="7"/>
    <n v="19917.984357361307"/>
    <n v="17573.655885862903"/>
    <n v="36354.674856656369"/>
    <n v="37491.64024322421"/>
    <n v="66424"/>
    <n v="904084.24216361542"/>
    <n v="73846.31509988058"/>
    <n v="40481.591237941459"/>
    <n v="114327.90633782203"/>
    <n v="1759738.0224799463"/>
  </r>
  <r>
    <x v="4"/>
    <x v="8"/>
    <n v="22427.465197552039"/>
    <n v="19798.622352544651"/>
    <n v="40954.810235052908"/>
    <n v="42226.087550096694"/>
    <n v="74727"/>
    <n v="900533.76862211735"/>
    <n v="83180.897785149602"/>
    <n v="45473.929401042893"/>
    <n v="128654.8271861925"/>
    <n v="1754745.6843168447"/>
  </r>
  <r>
    <x v="4"/>
    <x v="9"/>
    <n v="24849.525971446496"/>
    <n v="21948.462761448991"/>
    <n v="45399.052503283834"/>
    <n v="46797.988732895486"/>
    <n v="83030"/>
    <n v="896812.13716409332"/>
    <n v="92197.041236179328"/>
    <n v="50793.318590836177"/>
    <n v="142990.35982701549"/>
    <n v="1749426.2951270514"/>
  </r>
  <r>
    <x v="4"/>
    <x v="10"/>
    <n v="27345.177807262622"/>
    <n v="24166.104849263786"/>
    <n v="49982.84637224469"/>
    <n v="51511.282656526411"/>
    <n v="91333"/>
    <n v="893223.87370755279"/>
    <n v="101494.1290287711"/>
    <n v="55839.788178415809"/>
    <n v="157333.91720718693"/>
    <n v="1744379.8255394716"/>
  </r>
  <r>
    <x v="4"/>
    <x v="11"/>
    <n v="29753.785316270045"/>
    <n v="26308.819885555546"/>
    <n v="54411.189255885278"/>
    <n v="56062.605201825587"/>
    <n v="97998"/>
    <n v="892465.06731331302"/>
    <n v="110473.79445771087"/>
    <n v="59567.122749476039"/>
    <n v="170040.91720718693"/>
    <n v="1742007.3620288726"/>
  </r>
  <r>
    <x v="5"/>
    <x v="0"/>
    <n v="2481.6794014511443"/>
    <n v="2210.241742843421"/>
    <n v="4567.27902717902"/>
    <n v="4691.9211442945652"/>
    <n v="6665"/>
    <n v="890491.98845760757"/>
    <n v="9259.2001714735852"/>
    <n v="3447.7998285264148"/>
    <n v="12707"/>
    <n v="1738559.562200346"/>
  </r>
  <r>
    <x v="5"/>
    <x v="1"/>
    <n v="4956.5279363363825"/>
    <n v="4416.9413631672323"/>
    <n v="9126.6297119882693"/>
    <n v="9373.4692995036148"/>
    <n v="13330"/>
    <n v="888508.53661281662"/>
    <n v="18500.099011491882"/>
    <n v="6913.9009885081168"/>
    <n v="25414"/>
    <n v="1735093.4610403643"/>
  </r>
  <r>
    <x v="5"/>
    <x v="2"/>
    <n v="7344.8973782808007"/>
    <n v="6549.0112431132247"/>
    <n v="13531.190729763373"/>
    <n v="13893.908621394025"/>
    <n v="19995"/>
    <n v="886363.97593470698"/>
    <n v="27425.099351157398"/>
    <n v="10695.900648842602"/>
    <n v="38121"/>
    <n v="1731311.4613800298"/>
  </r>
  <r>
    <x v="5"/>
    <x v="3"/>
    <n v="9805.5577136475149"/>
    <n v="8748.1970267084544"/>
    <n v="18073.767306994487"/>
    <n v="18553.754740355969"/>
    <n v="26660"/>
    <n v="884358.82205366902"/>
    <n v="36627.52204735046"/>
    <n v="14200.477952649544"/>
    <n v="50828"/>
    <n v="1727806.884076223"/>
  </r>
  <r>
    <x v="5"/>
    <x v="4"/>
    <n v="12180.124455034309"/>
    <n v="10872.957223824847"/>
    <n v="22462.008046120049"/>
    <n v="23053.081678859155"/>
    <n v="33325"/>
    <n v="882193.14899217221"/>
    <n v="45515.089724979203"/>
    <n v="18019.910275020797"/>
    <n v="63535"/>
    <n v="1723987.4517538517"/>
  </r>
  <r>
    <x v="5"/>
    <x v="5"/>
    <n v="14626.449435435494"/>
    <n v="13064.551239591001"/>
    <n v="26987.632594912495"/>
    <n v="27691.000675026495"/>
    <n v="39990"/>
    <n v="880166.06798833958"/>
    <n v="54678.63326993899"/>
    <n v="21563.36673006101"/>
    <n v="76242"/>
    <n v="1720443.9952988117"/>
  </r>
  <r>
    <x v="5"/>
    <x v="6"/>
    <n v="17065.75768187748"/>
    <n v="15252.505096882782"/>
    <n v="31505.104860012052"/>
    <n v="32318.262778760261"/>
    <n v="46655"/>
    <n v="878128.3300920733"/>
    <n v="63823.36763877231"/>
    <n v="25125.632361227686"/>
    <n v="88949"/>
    <n v="1716881.7296676449"/>
  </r>
  <r>
    <x v="5"/>
    <x v="7"/>
    <n v="19341.092652422529"/>
    <n v="17295.877428661788"/>
    <n v="35723.459971247328"/>
    <n v="36636.970081084321"/>
    <n v="53320"/>
    <n v="875782.03739439731"/>
    <n v="72360.430052331649"/>
    <n v="29295.569947668351"/>
    <n v="101656"/>
    <n v="1712711.7920812042"/>
  </r>
  <r>
    <x v="5"/>
    <x v="8"/>
    <n v="21765.431603163353"/>
    <n v="19475.752591773315"/>
    <n v="40222.931909937521"/>
    <n v="41241.184194936664"/>
    <n v="59985"/>
    <n v="873721.25150824967"/>
    <n v="81464.116104874178"/>
    <n v="32898.883895125808"/>
    <n v="114362.99999999999"/>
    <n v="1709108.4781337467"/>
  </r>
  <r>
    <x v="5"/>
    <x v="9"/>
    <n v="24104.663826229134"/>
    <n v="21581.726845559093"/>
    <n v="44569.234220517843"/>
    <n v="45686.390671788227"/>
    <n v="66650"/>
    <n v="871501.45798510127"/>
    <n v="90255.624892306078"/>
    <n v="36814.37510769393"/>
    <n v="127070"/>
    <n v="1705192.9869211786"/>
  </r>
  <r>
    <x v="5"/>
    <x v="10"/>
    <n v="26514.290708272474"/>
    <n v="23753.809957290032"/>
    <n v="49051.296925261035"/>
    <n v="50268.10066556251"/>
    <n v="73315"/>
    <n v="869418.16797887557"/>
    <n v="99319.397590823544"/>
    <n v="40457.602409176463"/>
    <n v="139777"/>
    <n v="1701549.7596196961"/>
  </r>
  <r>
    <x v="5"/>
    <x v="11"/>
    <n v="28839.21059533329"/>
    <n v="25852.203872795712"/>
    <n v="53380.661014373138"/>
    <n v="54691.414468129005"/>
    <n v="79980"/>
    <n v="867176.48178144195"/>
    <n v="108072.07548250214"/>
    <n v="44411.924517497864"/>
    <n v="152484"/>
    <n v="1697595.4375113747"/>
  </r>
  <r>
    <x v="6"/>
    <x v="0"/>
    <n v="2394.7622244960339"/>
    <n v="2164.2102436968671"/>
    <n v="4464.4688132297179"/>
    <n v="4558.972468192901"/>
    <n v="6665"/>
    <n v="865070.45424963487"/>
    <n v="9023.4412814226198"/>
    <n v="3683.5587185773811"/>
    <n v="12707"/>
    <n v="1693911.8787927972"/>
  </r>
  <r>
    <x v="6"/>
    <x v="1"/>
    <n v="4782.2366362046314"/>
    <n v="4324.6363653023091"/>
    <n v="8920.4565594791638"/>
    <n v="9106.8730015069414"/>
    <n v="13330"/>
    <n v="862953.35478294897"/>
    <n v="18027.329560986105"/>
    <n v="7386.6704390138957"/>
    <n v="25414"/>
    <n v="1690208.7670723607"/>
  </r>
  <r>
    <x v="6"/>
    <x v="2"/>
    <n v="7085.605944261898"/>
    <n v="6411.6900156887032"/>
    <n v="13224.451156568459"/>
    <n v="13497.295959950601"/>
    <n v="19995"/>
    <n v="860678.77774139261"/>
    <n v="26721.747116519058"/>
    <n v="11399.252883480938"/>
    <n v="38121"/>
    <n v="1686196.1846278936"/>
  </r>
  <r>
    <x v="6"/>
    <x v="3"/>
    <n v="9457.9859401180529"/>
    <n v="8564.1223667036666"/>
    <n v="17662.56843748183"/>
    <n v="18022.108306821719"/>
    <n v="26660"/>
    <n v="858538.59008826374"/>
    <n v="35684.67674430355"/>
    <n v="15143.323255696447"/>
    <n v="50828"/>
    <n v="1682452.1142556781"/>
  </r>
  <r>
    <x v="6"/>
    <x v="4"/>
    <n v="11746.670953537969"/>
    <n v="10643.399440390342"/>
    <n v="21949.176060478872"/>
    <n v="22390.070393928312"/>
    <n v="33325"/>
    <n v="856241.55217537028"/>
    <n v="44339.246454407185"/>
    <n v="19195.753545592815"/>
    <n v="63535"/>
    <n v="1678399.6839657817"/>
  </r>
  <r>
    <x v="6"/>
    <x v="5"/>
    <n v="14103.799979110014"/>
    <n v="12787.755111994509"/>
    <n v="26369.233326266061"/>
    <n v="26891.555091104521"/>
    <n v="39990"/>
    <n v="854078.03687254642"/>
    <n v="53260.788417370582"/>
    <n v="22981.211582629414"/>
    <n v="76242"/>
    <n v="1674614.225928745"/>
  </r>
  <r>
    <x v="6"/>
    <x v="6"/>
    <n v="16453.443344372936"/>
    <n v="14928.222280854134"/>
    <n v="30780.570761293398"/>
    <n v="31381.66562522707"/>
    <n v="46655"/>
    <n v="851903.1474066691"/>
    <n v="62162.236386520468"/>
    <n v="26786.763613479528"/>
    <n v="88949"/>
    <n v="1670808.673897895"/>
  </r>
  <r>
    <x v="6"/>
    <x v="7"/>
    <n v="18568.905080659984"/>
    <n v="16858.016805074589"/>
    <n v="34757.086254863396"/>
    <n v="35426.92188573457"/>
    <n v="53320"/>
    <n v="849283.40366717661"/>
    <n v="70184.008140597958"/>
    <n v="31471.991859402027"/>
    <n v="101655.99999999999"/>
    <n v="1666123.4456519727"/>
  </r>
  <r>
    <x v="6"/>
    <x v="8"/>
    <n v="20902.267263400616"/>
    <n v="18989.558521777642"/>
    <n v="39148.552595649053"/>
    <n v="39891.825785178255"/>
    <n v="59985"/>
    <n v="847083.30756662018"/>
    <n v="79040.378380827315"/>
    <n v="35322.621619172685"/>
    <n v="114363"/>
    <n v="1662272.8158922018"/>
  </r>
  <r>
    <x v="6"/>
    <x v="9"/>
    <n v="23152.99459303241"/>
    <n v="21048.512567902599"/>
    <n v="43389.771434855298"/>
    <n v="44201.507160935013"/>
    <n v="66650"/>
    <n v="844727.98894237704"/>
    <n v="87591.278595790311"/>
    <n v="39478.721404209689"/>
    <n v="127070"/>
    <n v="1658116.716107165"/>
  </r>
  <r>
    <x v="6"/>
    <x v="10"/>
    <n v="25470.701125266991"/>
    <n v="23171.760934247544"/>
    <n v="47762.682939829167"/>
    <n v="48642.462059514539"/>
    <n v="73315"/>
    <n v="842503.94384095655"/>
    <n v="96405.144999343698"/>
    <n v="43371.855000656295"/>
    <n v="139777"/>
    <n v="1654223.5825107181"/>
  </r>
  <r>
    <x v="6"/>
    <x v="11"/>
    <n v="27706.198174574089"/>
    <n v="25222.646963605257"/>
    <n v="51985.84895033294"/>
    <n v="52928.845138179342"/>
    <n v="79980"/>
    <n v="840125.32691962132"/>
    <n v="104914.69408851227"/>
    <n v="47569.305911487711"/>
    <n v="152484"/>
    <n v="1650026.1315998868"/>
  </r>
  <r>
    <x v="7"/>
    <x v="0"/>
    <n v="2301.8885063513499"/>
    <n v="2114.869000021421"/>
    <n v="4354.1598603399589"/>
    <n v="4416.7575063727709"/>
    <n v="6665"/>
    <n v="837877.08442599408"/>
    <n v="8770.9173667127288"/>
    <n v="3936.0826332872703"/>
    <n v="12707"/>
    <n v="1646090.0489665996"/>
  </r>
  <r>
    <x v="7"/>
    <x v="1"/>
    <n v="4596.0009386063648"/>
    <n v="4225.6944781911734"/>
    <n v="8699.2456146359309"/>
    <n v="8821.6954167975382"/>
    <n v="13330"/>
    <n v="835617.02233641886"/>
    <n v="17520.941031433467"/>
    <n v="7893.0589685665318"/>
    <n v="25414"/>
    <n v="1642133.0726313202"/>
  </r>
  <r>
    <x v="7"/>
    <x v="2"/>
    <n v="6808.5449489095045"/>
    <n v="6264.4951541311284"/>
    <n v="12895.338709183925"/>
    <n v="13073.040103040632"/>
    <n v="19995"/>
    <n v="833203.36702266196"/>
    <n v="25968.378812224557"/>
    <n v="12152.621187775443"/>
    <n v="38121"/>
    <n v="1637873.5104121114"/>
  </r>
  <r>
    <x v="7"/>
    <x v="3"/>
    <n v="9086.5946448566428"/>
    <n v="8366.8124197724464"/>
    <n v="17221.377674589723"/>
    <n v="17453.407064629089"/>
    <n v="26660"/>
    <n v="830918.73398425034"/>
    <n v="34674.784739218812"/>
    <n v="16153.215260781188"/>
    <n v="50828"/>
    <n v="1633872.9163391055"/>
  </r>
  <r>
    <x v="7"/>
    <x v="4"/>
    <n v="11283.512349714596"/>
    <n v="10397.336054664502"/>
    <n v="21398.939297307174"/>
    <n v="21680.848404379096"/>
    <n v="33325"/>
    <n v="828481.17532400042"/>
    <n v="43079.787701686269"/>
    <n v="20455.212298313731"/>
    <n v="63535"/>
    <n v="1629570.919301573"/>
  </r>
  <r>
    <x v="7"/>
    <x v="5"/>
    <n v="13545.332711813528"/>
    <n v="12491.056863330568"/>
    <n v="25705.729446915913"/>
    <n v="26036.389575144094"/>
    <n v="39990"/>
    <n v="826171.71649476537"/>
    <n v="51742.119022060011"/>
    <n v="24499.880977939993"/>
    <n v="76242"/>
    <n v="1625526.2506219465"/>
  </r>
  <r>
    <x v="7"/>
    <x v="6"/>
    <n v="15799.166351153093"/>
    <n v="14580.622968598687"/>
    <n v="30003.190823128974"/>
    <n v="30379.789319751781"/>
    <n v="46655"/>
    <n v="823850.11623937311"/>
    <n v="60382.980142880755"/>
    <n v="28566.019857119245"/>
    <n v="88949"/>
    <n v="1621460.1117427675"/>
  </r>
  <r>
    <x v="7"/>
    <x v="7"/>
    <n v="17827.635318649794"/>
    <n v="16464.200635255635"/>
    <n v="33876.297551978882"/>
    <n v="34291.835953905429"/>
    <n v="53320"/>
    <n v="821097.1628735268"/>
    <n v="68168.133505884311"/>
    <n v="33487.866494115689"/>
    <n v="101656"/>
    <n v="1616538.2651057711"/>
  </r>
  <r>
    <x v="7"/>
    <x v="8"/>
    <n v="20064.22673517363"/>
    <n v="18544.330714178403"/>
    <n v="38152.71967502089"/>
    <n v="38608.557449352033"/>
    <n v="59985"/>
    <n v="818748.88436897332"/>
    <n v="76761.277124372922"/>
    <n v="37601.722875627078"/>
    <n v="114363"/>
    <n v="1612424.4087242596"/>
  </r>
  <r>
    <x v="7"/>
    <x v="9"/>
    <n v="22220.812598365061"/>
    <n v="20553.2699969409"/>
    <n v="42282.006855159765"/>
    <n v="42774.082595305961"/>
    <n v="66650"/>
    <n v="816249.40951492731"/>
    <n v="85056.089450465719"/>
    <n v="42013.910549534274"/>
    <n v="127070"/>
    <n v="1608012.2210503526"/>
  </r>
  <r>
    <x v="7"/>
    <x v="10"/>
    <n v="24440.744689086281"/>
    <n v="22624.573500516104"/>
    <n v="46538.653882765146"/>
    <n v="47065.318189602389"/>
    <n v="73315"/>
    <n v="813875.64510922367"/>
    <n v="93603.972072367527"/>
    <n v="46173.027927632473"/>
    <n v="139777"/>
    <n v="1603853.1036722544"/>
  </r>
  <r>
    <x v="7"/>
    <x v="11"/>
    <n v="26581.123866908987"/>
    <n v="24624.926029454571"/>
    <n v="50648.700989097189"/>
    <n v="51206.049896363562"/>
    <n v="79980"/>
    <n v="811351.37681598496"/>
    <n v="101854.75088546076"/>
    <n v="50629.249114539256"/>
    <n v="152484"/>
    <n v="1599396.8824853476"/>
  </r>
  <r>
    <x v="8"/>
    <x v="0"/>
    <n v="2203.0999797437107"/>
    <n v="2062.3853818239427"/>
    <n v="4236.6621802054533"/>
    <n v="4265.4853615676529"/>
    <n v="6665"/>
    <n v="808951.86217755254"/>
    <n v="8502.1475417731053"/>
    <n v="4204.8524582268928"/>
    <n v="12706.999999999998"/>
    <n v="1595192.0300271206"/>
  </r>
  <r>
    <x v="8"/>
    <x v="1"/>
    <n v="4397.9045283946271"/>
    <n v="4120.451321755233"/>
    <n v="8463.6185675238303"/>
    <n v="8518.3558501498592"/>
    <n v="13330"/>
    <n v="806539.73266613483"/>
    <n v="16981.974417673689"/>
    <n v="8432.0255823263105"/>
    <n v="25414"/>
    <n v="1590964.8569030212"/>
  </r>
  <r>
    <x v="8"/>
    <x v="2"/>
    <n v="6513.8388893473202"/>
    <n v="6107.9259568601074"/>
    <n v="12544.778323485054"/>
    <n v="12621.764846207428"/>
    <n v="19995"/>
    <n v="803978.1416621923"/>
    <n v="25166.543169692482"/>
    <n v="12954.456830307518"/>
    <n v="38121"/>
    <n v="1586442.42565504"/>
  </r>
  <r>
    <x v="8"/>
    <x v="3"/>
    <n v="8691.550712227383"/>
    <n v="8156.9364792830056"/>
    <n v="16751.434938496466"/>
    <n v="16848.487191510387"/>
    <n v="26660"/>
    <n v="801539.86400749534"/>
    <n v="33599.922130006853"/>
    <n v="17228.077869993147"/>
    <n v="50828"/>
    <n v="1582168.8046153544"/>
  </r>
  <r>
    <x v="8"/>
    <x v="4"/>
    <n v="10790.856763490699"/>
    <n v="10135.601736134535"/>
    <n v="20812.844139083656"/>
    <n v="20926.458499625234"/>
    <n v="33325"/>
    <n v="798952.83531561017"/>
    <n v="41739.30263870889"/>
    <n v="21795.69736129111"/>
    <n v="63535"/>
    <n v="1577601.1851240564"/>
  </r>
  <r>
    <x v="8"/>
    <x v="5"/>
    <n v="12951.298580339786"/>
    <n v="12175.46292116798"/>
    <n v="24998.985664642874"/>
    <n v="25126.761501507768"/>
    <n v="39990"/>
    <n v="796488.13831749279"/>
    <n v="50125.747166150642"/>
    <n v="26116.252833849358"/>
    <n v="76242"/>
    <n v="1573280.6296514983"/>
  </r>
  <r>
    <x v="8"/>
    <x v="6"/>
    <n v="15103.220701030932"/>
    <n v="14210.886248743784"/>
    <n v="29175.14978997087"/>
    <n v="29314.106949774716"/>
    <n v="46655"/>
    <n v="794010.48376575974"/>
    <n v="58489.256739745586"/>
    <n v="30459.74326025441"/>
    <n v="88949"/>
    <n v="1568937.1392250932"/>
  </r>
  <r>
    <x v="8"/>
    <x v="7"/>
    <n v="17039.156628761426"/>
    <n v="16045.303664747027"/>
    <n v="32938.108705412305"/>
    <n v="33084.460293508455"/>
    <n v="53320"/>
    <n v="791115.83710949344"/>
    <n v="66022.56899892076"/>
    <n v="35633.43100107924"/>
    <n v="101656"/>
    <n v="1563763.4514842683"/>
  </r>
  <r>
    <x v="8"/>
    <x v="8"/>
    <n v="19172.814280984399"/>
    <n v="18070.747875070374"/>
    <n v="37091.98929085784"/>
    <n v="37243.562156054773"/>
    <n v="59985"/>
    <n v="788609.93897203973"/>
    <n v="74335.551446912606"/>
    <n v="40027.448553087386"/>
    <n v="114363"/>
    <n v="1559369.4339322601"/>
  </r>
  <r>
    <x v="8"/>
    <x v="9"/>
    <n v="21229.263130733147"/>
    <n v="20026.487125790336"/>
    <n v="41102.050334500193"/>
    <n v="41255.750256523483"/>
    <n v="66650"/>
    <n v="785957.12707250845"/>
    <n v="82357.800591023668"/>
    <n v="44712.199408976325"/>
    <n v="127070"/>
    <n v="1554684.6830763712"/>
  </r>
  <r>
    <x v="8"/>
    <x v="10"/>
    <n v="23345.193861220869"/>
    <n v="22042.537576506551"/>
    <n v="45234.856041750551"/>
    <n v="45387.731437727416"/>
    <n v="73315"/>
    <n v="783424.10825371242"/>
    <n v="90622.587479477967"/>
    <n v="49154.412520522033"/>
    <n v="139777"/>
    <n v="1550242.4699648255"/>
  </r>
  <r>
    <x v="8"/>
    <x v="11"/>
    <n v="25384.397436669613"/>
    <n v="23989.138299762311"/>
    <n v="49224.412394872204"/>
    <n v="49373.535736431921"/>
    <n v="79980"/>
    <n v="780744.91255241691"/>
    <n v="98597.948131304118"/>
    <n v="53886.051868695875"/>
    <n v="152484"/>
    <n v="1545510.8306166516"/>
  </r>
  <r>
    <x v="9"/>
    <x v="0"/>
    <n v="2098.0199508155611"/>
    <n v="2006.559262052474"/>
    <n v="4111.5072904587605"/>
    <n v="4104.579212868035"/>
    <n v="6665"/>
    <n v="778184.49176528491"/>
    <n v="8216.0865033267946"/>
    <n v="4490.9134966732045"/>
    <n v="12707"/>
    <n v="1541019.9171199785"/>
  </r>
  <r>
    <x v="9"/>
    <x v="1"/>
    <n v="4187.192037476656"/>
    <n v="4008.5055897705715"/>
    <n v="8212.6359347697617"/>
    <n v="8195.6976272472275"/>
    <n v="13330"/>
    <n v="775610.6101796641"/>
    <n v="16408.333562016989"/>
    <n v="9005.6664379830108"/>
    <n v="25414"/>
    <n v="1536505.1641786685"/>
  </r>
  <r>
    <x v="9"/>
    <x v="2"/>
    <n v="6200.364011975269"/>
    <n v="5941.3854045969892"/>
    <n v="12171.37225817828"/>
    <n v="12141.749416572258"/>
    <n v="19995"/>
    <n v="772891.66196898906"/>
    <n v="24313.121674750539"/>
    <n v="13807.878325249461"/>
    <n v="38121"/>
    <n v="1531702.952291402"/>
  </r>
  <r>
    <x v="9"/>
    <x v="3"/>
    <n v="8271.347786907485"/>
    <n v="7933.6942602190011"/>
    <n v="16250.866491054092"/>
    <n v="16205.042047126486"/>
    <n v="26660"/>
    <n v="770289.95459954336"/>
    <n v="32455.908538180578"/>
    <n v="18372.091461819422"/>
    <n v="50828"/>
    <n v="1527138.7391548322"/>
  </r>
  <r>
    <x v="9"/>
    <x v="4"/>
    <n v="10266.825633260052"/>
    <n v="9857.1984568564403"/>
    <n v="20188.553729055442"/>
    <n v="20124.024090116494"/>
    <n v="33325"/>
    <n v="767543.9366425334"/>
    <n v="40312.577819171936"/>
    <n v="23222.422180828067"/>
    <n v="63535"/>
    <n v="1522288.4084358236"/>
  </r>
  <r>
    <x v="9"/>
    <x v="5"/>
    <n v="12319.432453137702"/>
    <n v="11839.769883618124"/>
    <n v="24246.184077000573"/>
    <n v="24159.202336755829"/>
    <n v="39990"/>
    <n v="764914.1148891726"/>
    <n v="48405.386413756401"/>
    <n v="27836.613586243599"/>
    <n v="76242"/>
    <n v="1517674.2170304079"/>
  </r>
  <r>
    <x v="9"/>
    <x v="6"/>
    <n v="14362.952660211691"/>
    <n v="13817.602265751899"/>
    <n v="28293.146127498509"/>
    <n v="28180.554925963588"/>
    <n v="46655"/>
    <n v="762270.46747838042"/>
    <n v="56473.701053462093"/>
    <n v="32475.2989465379"/>
    <n v="88949"/>
    <n v="1513035.5316701136"/>
  </r>
  <r>
    <x v="9"/>
    <x v="7"/>
    <n v="16266.087785497899"/>
    <n v="15663.375951891556"/>
    <n v="32068.980177736219"/>
    <n v="31929.463737389455"/>
    <n v="53320"/>
    <n v="759354.37628980633"/>
    <n v="63998.443915125674"/>
    <n v="37657.556084874326"/>
    <n v="101656"/>
    <n v="1507853.2745317772"/>
  </r>
  <r>
    <x v="9"/>
    <x v="8"/>
    <n v="18290.601184673986"/>
    <n v="17630.98614905111"/>
    <n v="36093.033295599831"/>
    <n v="35921.587333725096"/>
    <n v="59985"/>
    <n v="756681.49988614186"/>
    <n v="72014.620629324927"/>
    <n v="42348.379370675066"/>
    <n v="114363"/>
    <n v="1503162.4512459764"/>
  </r>
  <r>
    <x v="9"/>
    <x v="9"/>
    <n v="20240.871273655735"/>
    <n v="19530.462759490085"/>
    <n v="39976.779395962367"/>
    <n v="39771.334033145817"/>
    <n v="66650"/>
    <n v="753866.24658556259"/>
    <n v="79748.113429108183"/>
    <n v="47321.886570891802"/>
    <n v="127069.99999999999"/>
    <n v="1498188.9440457597"/>
  </r>
  <r>
    <x v="9"/>
    <x v="10"/>
    <n v="22246.525741969974"/>
    <n v="21488.079361238957"/>
    <n v="43978.380571924405"/>
    <n v="43734.605103208931"/>
    <n v="73315"/>
    <n v="751164.51765562571"/>
    <n v="87712.985675133328"/>
    <n v="52064.01432486665"/>
    <n v="139776.99999999997"/>
    <n v="1493446.8162917849"/>
  </r>
  <r>
    <x v="9"/>
    <x v="11"/>
    <n v="24178.449304658297"/>
    <n v="23377.833906184871"/>
    <n v="47840.28217496568"/>
    <n v="47556.283210843168"/>
    <n v="79980"/>
    <n v="748321.19576326001"/>
    <n v="95396.565385808848"/>
    <n v="57087.434614191137"/>
    <n v="152484"/>
    <n v="1488423.3960024603"/>
  </r>
  <r>
    <x v="10"/>
    <x v="0"/>
    <n v="1986.5999386805165"/>
    <n v="1947.5193559773454"/>
    <n v="3978.9110891215964"/>
    <n v="3934.1192946578622"/>
    <n v="6665"/>
    <n v="745590.31505791796"/>
    <n v="7913.0303837794581"/>
    <n v="4793.9696162205419"/>
    <n v="12707"/>
    <n v="1483629.4263862399"/>
  </r>
  <r>
    <x v="10"/>
    <x v="1"/>
    <n v="3963.766249203044"/>
    <n v="3890.1153894675263"/>
    <n v="7946.730673120408"/>
    <n v="7853.8816386705703"/>
    <n v="13330"/>
    <n v="742845.0774019307"/>
    <n v="15800.612311790977"/>
    <n v="9613.3876882090226"/>
    <n v="25414"/>
    <n v="1478810.0083142514"/>
  </r>
  <r>
    <x v="10"/>
    <x v="2"/>
    <n v="5867.9756885507704"/>
    <n v="5765.2574809016769"/>
    <n v="11775.764656140947"/>
    <n v="11633.233169452447"/>
    <n v="19995"/>
    <n v="739959.42893271253"/>
    <n v="23408.997825593397"/>
    <n v="14712.002174406605"/>
    <n v="38121"/>
    <n v="1473711.393828054"/>
  </r>
  <r>
    <x v="10"/>
    <x v="3"/>
    <n v="7825.7919994196709"/>
    <n v="7697.600480112179"/>
    <n v="15720.535836179655"/>
    <n v="15523.392479531849"/>
    <n v="26660"/>
    <n v="737184.58824279194"/>
    <n v="31243.928315711506"/>
    <n v="19584.071684288498"/>
    <n v="50828"/>
    <n v="1468839.3243181719"/>
  </r>
  <r>
    <x v="10"/>
    <x v="4"/>
    <n v="9711.1771862143905"/>
    <n v="9562.7681162403769"/>
    <n v="19527.144997295123"/>
    <n v="19273.945302454769"/>
    <n v="33325"/>
    <n v="734270.14106571488"/>
    <n v="38801.090299749892"/>
    <n v="24733.909700250111"/>
    <n v="63535"/>
    <n v="1463689.4863022105"/>
  </r>
  <r>
    <x v="10"/>
    <x v="5"/>
    <n v="11649.442805450049"/>
    <n v="11484.751739993761"/>
    <n v="23448.623301836426"/>
    <n v="23134.19454544381"/>
    <n v="39990"/>
    <n v="731465.39030870388"/>
    <n v="46582.817847280239"/>
    <n v="29659.182152719768"/>
    <n v="76242"/>
    <n v="1458764.2138497406"/>
  </r>
  <r>
    <x v="10"/>
    <x v="6"/>
    <n v="13578.020690430232"/>
    <n v="13401.677793269391"/>
    <n v="27358.701333164034"/>
    <n v="26979.698483699623"/>
    <n v="46655"/>
    <n v="728645.89424695971"/>
    <n v="54338.399816863661"/>
    <n v="34610.600183136346"/>
    <n v="88949"/>
    <n v="1453812.795819324"/>
  </r>
  <r>
    <x v="10"/>
    <x v="7"/>
    <n v="15311.165792170854"/>
    <n v="15128.502729635155"/>
    <n v="30880.032336854056"/>
    <n v="30439.668521806008"/>
    <n v="53320"/>
    <n v="725440.86428506603"/>
    <n v="61319.700858660064"/>
    <n v="40336.299141339943"/>
    <n v="101656"/>
    <n v="1448087.0968611203"/>
  </r>
  <r>
    <x v="10"/>
    <x v="8"/>
    <n v="17219.238905751634"/>
    <n v="17034.261052976603"/>
    <n v="34765.097274344444"/>
    <n v="34253.499958728236"/>
    <n v="59985"/>
    <n v="722589.69572198833"/>
    <n v="69018.59723307268"/>
    <n v="45344.402766927327"/>
    <n v="114363"/>
    <n v="1443078.9932355331"/>
  </r>
  <r>
    <x v="10"/>
    <x v="9"/>
    <n v="19056.232437491719"/>
    <n v="18873.566329334415"/>
    <n v="38513.615564695734"/>
    <n v="37929.798766826134"/>
    <n v="66650"/>
    <n v="719600.99453008617"/>
    <n v="76443.414331521868"/>
    <n v="50626.585668478147"/>
    <n v="127070.00000000001"/>
    <n v="1437796.8103339821"/>
  </r>
  <r>
    <x v="10"/>
    <x v="10"/>
    <n v="20944.238938978546"/>
    <n v="20768.689549501789"/>
    <n v="42374.754330043637"/>
    <n v="41712.928488480335"/>
    <n v="73315"/>
    <n v="716719.12425174029"/>
    <n v="84087.682818523972"/>
    <n v="55689.31718147605"/>
    <n v="139777.00000000003"/>
    <n v="1432734.0788209843"/>
  </r>
  <r>
    <x v="10"/>
    <x v="11"/>
    <n v="22761.71107636713"/>
    <n v="22597.648682621373"/>
    <n v="46099.993778610748"/>
    <n v="45359.359758988503"/>
    <n v="79980"/>
    <n v="713700.55552224861"/>
    <n v="91459.353537599251"/>
    <n v="61024.646462400771"/>
    <n v="152484.00000000003"/>
    <n v="1427398.7495400598"/>
  </r>
  <r>
    <x v="11"/>
    <x v="0"/>
    <n v="1867.7317649392585"/>
    <n v="1884.3778131200368"/>
    <n v="3836.9588112908236"/>
    <n v="3752.109578059295"/>
    <n v="6665"/>
    <n v="710787.6651003079"/>
    <n v="7589.0683893501191"/>
    <n v="5117.9316106498809"/>
    <n v="12707"/>
    <n v="1422280.8179294099"/>
  </r>
  <r>
    <x v="11"/>
    <x v="1"/>
    <n v="3725.4049807928786"/>
    <n v="3763.5003522280076"/>
    <n v="7662.0629586786226"/>
    <n v="7488.9053330208862"/>
    <n v="13330"/>
    <n v="707859.46085526946"/>
    <n v="15150.968291699508"/>
    <n v="10263.031708300492"/>
    <n v="25414"/>
    <n v="1417135.7178317592"/>
  </r>
  <r>
    <x v="11"/>
    <x v="2"/>
    <n v="5513.3679998484849"/>
    <n v="5576.8935490853746"/>
    <n v="11352.242717578221"/>
    <n v="11090.26154893386"/>
    <n v="19995"/>
    <n v="704795.81707118242"/>
    <n v="22442.504266512082"/>
    <n v="15678.49573348792"/>
    <n v="38121"/>
    <n v="1411720.2538065717"/>
  </r>
  <r>
    <x v="11"/>
    <x v="3"/>
    <n v="7350.4518720614678"/>
    <n v="7445.1047272227806"/>
    <n v="15152.784696224398"/>
    <n v="14795.556599284249"/>
    <n v="26660"/>
    <n v="701836.11212153279"/>
    <n v="29948.341295508646"/>
    <n v="20879.658704491358"/>
    <n v="50828"/>
    <n v="1406519.0908355683"/>
  </r>
  <r>
    <x v="11"/>
    <x v="4"/>
    <n v="9118.3849680405965"/>
    <n v="9247.8830290784081"/>
    <n v="18819.06682383523"/>
    <n v="18366.267997119005"/>
    <n v="33325"/>
    <n v="698741.82351936749"/>
    <n v="37185.334820954231"/>
    <n v="26349.665179045769"/>
    <n v="63535"/>
    <n v="1401049.084361014"/>
  </r>
  <r>
    <x v="11"/>
    <x v="5"/>
    <n v="10934.665950555671"/>
    <n v="11105.06967711488"/>
    <n v="22594.786105888827"/>
    <n v="22039.73562767055"/>
    <n v="39990"/>
    <n v="695750.29114991915"/>
    <n v="44634.521733559377"/>
    <n v="31607.478266440627"/>
    <n v="76242"/>
    <n v="1395791.271273619"/>
  </r>
  <r>
    <x v="11"/>
    <x v="6"/>
    <n v="12740.617893830604"/>
    <n v="12956.858100107287"/>
    <n v="26358.321490263446"/>
    <n v="25697.475993937893"/>
    <n v="46655"/>
    <n v="692743.03151618643"/>
    <n v="52055.797484201335"/>
    <n v="36893.202515798665"/>
    <n v="88949"/>
    <n v="1390505.5470242612"/>
  </r>
  <r>
    <x v="11"/>
    <x v="7"/>
    <n v="14362.421792038331"/>
    <n v="14624.539742238887"/>
    <n v="29746.579798445669"/>
    <n v="28986.961534277216"/>
    <n v="53320"/>
    <n v="689367.51705652568"/>
    <n v="58733.541332722889"/>
    <n v="42922.458667277111"/>
    <n v="101656"/>
    <n v="1384476.2908727825"/>
  </r>
  <r>
    <x v="11"/>
    <x v="8"/>
    <n v="16146.638937735788"/>
    <n v="16464.507058129835"/>
    <n v="33483.598830937837"/>
    <n v="32611.145995865623"/>
    <n v="59985"/>
    <n v="686326.70151811419"/>
    <n v="66094.744826803464"/>
    <n v="48268.255173196543"/>
    <n v="114363"/>
    <n v="1379130.4943668633"/>
  </r>
  <r>
    <x v="11"/>
    <x v="9"/>
    <n v="17863.141716950417"/>
    <n v="18239.808894584079"/>
    <n v="37088.076646334477"/>
    <n v="36102.950611534499"/>
    <n v="66650"/>
    <n v="683153.50613378303"/>
    <n v="73191.027257868976"/>
    <n v="53878.972742131031"/>
    <n v="127070"/>
    <n v="1373519.7767979288"/>
  </r>
  <r>
    <x v="11"/>
    <x v="10"/>
    <n v="19626.007656247639"/>
    <n v="20068.458744109095"/>
    <n v="40799.599202291334"/>
    <n v="39694.46640035673"/>
    <n v="73315"/>
    <n v="680080.02192260535"/>
    <n v="80494.065602648072"/>
    <n v="59282.934397351943"/>
    <n v="139777"/>
    <n v="1368115.8151427079"/>
  </r>
  <r>
    <x v="11"/>
    <x v="11"/>
    <n v="21321.739349736996"/>
    <n v="21832.750614209541"/>
    <n v="44379.270356606336"/>
    <n v="43154.489963946537"/>
    <n v="79980"/>
    <n v="676875.04548619501"/>
    <n v="87533.760320552872"/>
    <n v="64950.239679447135"/>
    <n v="152484"/>
    <n v="1362448.5098606125"/>
  </r>
  <r>
    <x v="12"/>
    <x v="0"/>
    <n v="1741.2932850439445"/>
    <n v="1817.2150020340271"/>
    <n v="3685.7556414847108"/>
    <n v="3558.5082870779715"/>
    <n v="6665"/>
    <n v="673768.55377327302"/>
    <n v="7244.2639285626828"/>
    <n v="5462.7360714373172"/>
    <n v="12707"/>
    <n v="1356985.7737891753"/>
  </r>
  <r>
    <x v="12"/>
    <x v="1"/>
    <n v="3471.8633010047952"/>
    <n v="3628.8216376773776"/>
    <n v="7358.8437259702041"/>
    <n v="7100.6849386821723"/>
    <n v="13330"/>
    <n v="670645.73042487726"/>
    <n v="14459.528664652376"/>
    <n v="10954.471335347622"/>
    <n v="25414"/>
    <n v="1351494.0385252652"/>
  </r>
  <r>
    <x v="12"/>
    <x v="2"/>
    <n v="5136.1765640962785"/>
    <n v="5376.5333647201323"/>
    <n v="10901.120265922633"/>
    <n v="10512.70992881641"/>
    <n v="19995"/>
    <n v="667392.75541501143"/>
    <n v="21413.830194739043"/>
    <n v="16707.169805260954"/>
    <n v="38121"/>
    <n v="1345741.3400553516"/>
  </r>
  <r>
    <x v="12"/>
    <x v="3"/>
    <n v="6844.8389628630848"/>
    <n v="7176.5283861337793"/>
    <n v="14548.03376630548"/>
    <n v="14021.367348996864"/>
    <n v="26660"/>
    <n v="664236.41283519194"/>
    <n v="28569.401115302346"/>
    <n v="22258.598884697651"/>
    <n v="50828"/>
    <n v="1340189.9109759149"/>
  </r>
  <r>
    <x v="12"/>
    <x v="4"/>
    <n v="8487.8398473355846"/>
    <n v="8912.9439910721048"/>
    <n v="18064.843884029404"/>
    <n v="17400.783838407689"/>
    <n v="33325"/>
    <n v="660950.82932460285"/>
    <n v="35465.627722437093"/>
    <n v="28069.372277562899"/>
    <n v="63534.999999999993"/>
    <n v="1334379.1375830497"/>
  </r>
  <r>
    <x v="12"/>
    <x v="5"/>
    <n v="10174.367410141316"/>
    <n v="10701.206966323853"/>
    <n v="21685.305169770636"/>
    <n v="20875.574376465171"/>
    <n v="39990"/>
    <n v="657760.6198626603"/>
    <n v="42560.87954623581"/>
    <n v="33681.120453764182"/>
    <n v="76242"/>
    <n v="1328767.3894068482"/>
  </r>
  <r>
    <x v="12"/>
    <x v="6"/>
    <n v="11849.883786208056"/>
    <n v="12483.709366844671"/>
    <n v="25292.747865322854"/>
    <n v="24333.593153052727"/>
    <n v="46655"/>
    <n v="654553.63863924786"/>
    <n v="49626.341018375577"/>
    <n v="39322.658981624401"/>
    <n v="88948.999999999971"/>
    <n v="1323125.8508789882"/>
  </r>
  <r>
    <x v="12"/>
    <x v="7"/>
    <n v="13353.255541636696"/>
    <n v="14088.4810812504"/>
    <n v="28539.261259771389"/>
    <n v="27441.736622887096"/>
    <n v="53320"/>
    <n v="650996.78210908221"/>
    <n v="55980.997882658485"/>
    <n v="45675.002117341493"/>
    <n v="101655.99999999997"/>
    <n v="1316773.5077432711"/>
  </r>
  <r>
    <x v="12"/>
    <x v="8"/>
    <n v="15005.728757800769"/>
    <n v="15858.467386152404"/>
    <n v="32118.586379530207"/>
    <n v="30864.196143953173"/>
    <n v="59985"/>
    <n v="647754.24163014838"/>
    <n v="62982.78252348338"/>
    <n v="51380.217476516598"/>
    <n v="114362.99999999997"/>
    <n v="1311068.292384096"/>
  </r>
  <r>
    <x v="12"/>
    <x v="9"/>
    <n v="16594.067141860116"/>
    <n v="17565.689623208633"/>
    <n v="35569.636742219926"/>
    <n v="34159.756765068749"/>
    <n v="66650"/>
    <n v="644384.80225126399"/>
    <n v="69729.393507288682"/>
    <n v="57340.606492711304"/>
    <n v="127069.99999999999"/>
    <n v="1305107.9033679015"/>
  </r>
  <r>
    <x v="12"/>
    <x v="10"/>
    <n v="18223.822745913691"/>
    <n v="19323.632641182317"/>
    <n v="39121.792745839593"/>
    <n v="37547.455387096008"/>
    <n v="73315"/>
    <n v="641107.50087329117"/>
    <n v="76669.248132935609"/>
    <n v="63107.751867064369"/>
    <n v="139776.99999999997"/>
    <n v="1299340.7579935482"/>
  </r>
  <r>
    <x v="12"/>
    <x v="11"/>
    <n v="19790.060764318041"/>
    <n v="21019.138812152494"/>
    <n v="42546.40906165156"/>
    <n v="40809.199576470535"/>
    <n v="79980"/>
    <n v="637704.24506266566"/>
    <n v="83355.608638122096"/>
    <n v="69128.391361877875"/>
    <n v="152483.99999999997"/>
    <n v="1293320.1184987347"/>
  </r>
  <r>
    <x v="13"/>
    <x v="0"/>
    <n v="1606.8023721690129"/>
    <n v="1745.7748219426285"/>
    <n v="3524.6987080646531"/>
    <n v="3352.5771941116413"/>
    <n v="6665"/>
    <n v="634391.82225677732"/>
    <n v="6877.275902176294"/>
    <n v="5829.724097823706"/>
    <n v="12707"/>
    <n v="1287490.3944009109"/>
  </r>
  <r>
    <x v="13"/>
    <x v="1"/>
    <n v="3202.1744215214649"/>
    <n v="3485.5656978738202"/>
    <n v="7035.8639905809086"/>
    <n v="6687.7401193952846"/>
    <n v="13330"/>
    <n v="631061.98518206098"/>
    <n v="13723.604109976193"/>
    <n v="11690.395890023805"/>
    <n v="25414"/>
    <n v="1281629.7226087111"/>
  </r>
  <r>
    <x v="13"/>
    <x v="2"/>
    <n v="4734.9630999283954"/>
    <n v="5163.4129276397307"/>
    <n v="10420.598602562301"/>
    <n v="9898.376027568127"/>
    <n v="19995"/>
    <n v="627607.62109023379"/>
    <n v="20318.974630130426"/>
    <n v="17802.025369869571"/>
    <n v="38121"/>
    <n v="1275518.0931288651"/>
  </r>
  <r>
    <x v="13"/>
    <x v="3"/>
    <n v="6307.0253022137167"/>
    <n v="6890.8473393545446"/>
    <n v="13903.871806073003"/>
    <n v="13197.872641568261"/>
    <n v="26660"/>
    <n v="624242.11770423397"/>
    <n v="27101.744447641264"/>
    <n v="23726.255552358733"/>
    <n v="50828"/>
    <n v="1269593.8629463762"/>
  </r>
  <r>
    <x v="13"/>
    <x v="4"/>
    <n v="7817.1374712657034"/>
    <n v="8556.6738348964282"/>
    <n v="17261.468968305409"/>
    <n v="16373.811306162132"/>
    <n v="33325"/>
    <n v="620753.05636882782"/>
    <n v="33635.280274467543"/>
    <n v="29899.719725532457"/>
    <n v="63535"/>
    <n v="1263420.3987732022"/>
  </r>
  <r>
    <x v="13"/>
    <x v="5"/>
    <n v="9365.6480642391325"/>
    <n v="10271.623625117914"/>
    <n v="20716.554245018022"/>
    <n v="19637.271689357047"/>
    <n v="39990"/>
    <n v="617351.51675202278"/>
    <n v="40353.825934375069"/>
    <n v="35888.174065624931"/>
    <n v="76242"/>
    <n v="1257431.9444331098"/>
  </r>
  <r>
    <x v="13"/>
    <x v="6"/>
    <n v="10902.421879340936"/>
    <n v="11980.427414113252"/>
    <n v="24157.731842931986"/>
    <n v="22882.849293454186"/>
    <n v="46655"/>
    <n v="613932.09435611987"/>
    <n v="47040.581136386172"/>
    <n v="41908.418863613828"/>
    <n v="88949"/>
    <n v="1251411.699635121"/>
  </r>
  <r>
    <x v="13"/>
    <x v="7"/>
    <n v="12329.011707859961"/>
    <n v="13573.206085809765"/>
    <n v="27363.817627618733"/>
    <n v="25902.217793669726"/>
    <n v="53320"/>
    <n v="610286.46285633545"/>
    <n v="53266.035421288456"/>
    <n v="48389.964578711544"/>
    <n v="101656"/>
    <n v="1244930.1539200232"/>
  </r>
  <r>
    <x v="13"/>
    <x v="8"/>
    <n v="13841.609294730926"/>
    <n v="15269.043275856668"/>
    <n v="30775.766435767429"/>
    <n v="29110.652570587594"/>
    <n v="59985"/>
    <n v="606829.89763325336"/>
    <n v="59886.41900635502"/>
    <n v="54476.580993644973"/>
    <n v="114363"/>
    <n v="1238843.53750509"/>
  </r>
  <r>
    <x v="13"/>
    <x v="9"/>
    <n v="15293.872525355802"/>
    <n v="16904.131058670013"/>
    <n v="34063.96890731981"/>
    <n v="32198.003584025813"/>
    <n v="66650"/>
    <n v="603252.24864669156"/>
    <n v="66261.97249134563"/>
    <n v="60808.02750865437"/>
    <n v="127070"/>
    <n v="1232512.0909900805"/>
  </r>
  <r>
    <x v="13"/>
    <x v="10"/>
    <n v="16782.301755028664"/>
    <n v="18587.155910992042"/>
    <n v="37446.973259731953"/>
    <n v="35369.457666020709"/>
    <n v="73315"/>
    <n v="599758.70272868639"/>
    <n v="72816.430925752662"/>
    <n v="66960.569074247323"/>
    <n v="139777"/>
    <n v="1226359.5494244876"/>
  </r>
  <r>
    <x v="13"/>
    <x v="11"/>
    <n v="18211.053292225522"/>
    <n v="20209.77947233538"/>
    <n v="40707.014377198604"/>
    <n v="38420.832764560902"/>
    <n v="79980"/>
    <n v="596145.0778272266"/>
    <n v="79127.847141759499"/>
    <n v="73356.152858240472"/>
    <n v="152483.99999999997"/>
    <n v="1219963.9656404946"/>
  </r>
  <r>
    <x v="14"/>
    <x v="0"/>
    <n v="1464.0102060387439"/>
    <n v="1670.0796291466402"/>
    <n v="3353.7528864547276"/>
    <n v="3134.0898351853839"/>
    <n v="6665"/>
    <n v="592614.16766241216"/>
    <n v="6487.8427216401114"/>
    <n v="6219.1572783598886"/>
    <n v="12707"/>
    <n v="1213744.8083621347"/>
  </r>
  <r>
    <x v="14"/>
    <x v="1"/>
    <n v="2915.8393936784951"/>
    <n v="3333.7773629518269"/>
    <n v="6693.0533145234003"/>
    <n v="6249.616756630322"/>
    <n v="13330"/>
    <n v="589064.69458385697"/>
    <n v="12942.670071153723"/>
    <n v="12471.329928846277"/>
    <n v="25414"/>
    <n v="1207492.6357116483"/>
  </r>
  <r>
    <x v="14"/>
    <x v="2"/>
    <n v="4308.9853263784626"/>
    <n v="4937.5989311894546"/>
    <n v="9910.5729315142926"/>
    <n v="9246.5842575679162"/>
    <n v="19995"/>
    <n v="585396.6620847946"/>
    <n v="19157.157189082209"/>
    <n v="18963.842810917788"/>
    <n v="38121"/>
    <n v="1201000.122829577"/>
  </r>
  <r>
    <x v="14"/>
    <x v="3"/>
    <n v="5736.0158865070362"/>
    <n v="6588.1509871554354"/>
    <n v="13220.15833156768"/>
    <n v="12324.166873662471"/>
    <n v="26660"/>
    <n v="581809.2447008891"/>
    <n v="25544.32520523015"/>
    <n v="25283.674794769846"/>
    <n v="50828"/>
    <n v="1194680.2908457248"/>
  </r>
  <r>
    <x v="14"/>
    <x v="4"/>
    <n v="7105.0369801581892"/>
    <n v="8179.1840507907236"/>
    <n v="16408.766870277388"/>
    <n v="15284.221030948913"/>
    <n v="33325"/>
    <n v="578104.29885817552"/>
    <n v="31692.987901226301"/>
    <n v="31842.012098773695"/>
    <n v="63535"/>
    <n v="1188121.9535417208"/>
  </r>
  <r>
    <x v="14"/>
    <x v="5"/>
    <n v="8507.011709378372"/>
    <n v="9816.4540861704118"/>
    <n v="19688.322058730872"/>
    <n v="18323.465795548786"/>
    <n v="39990"/>
    <n v="574478.54362277547"/>
    <n v="38011.787854279653"/>
    <n v="38230.212145720339"/>
    <n v="76242"/>
    <n v="1181733.7534947745"/>
  </r>
  <r>
    <x v="14"/>
    <x v="6"/>
    <n v="9896.4792835517073"/>
    <n v="11447.169737634729"/>
    <n v="22953.025889776964"/>
    <n v="21343.649021186437"/>
    <n v="46655"/>
    <n v="570833.72684841312"/>
    <n v="44296.674910963397"/>
    <n v="44652.325089036589"/>
    <n v="88948.999999999985"/>
    <n v="1175311.6405514581"/>
  </r>
  <r>
    <x v="14"/>
    <x v="7"/>
    <n v="11140.126078429106"/>
    <n v="12914.122984876973"/>
    <n v="25888.304394564024"/>
    <n v="24054.249063306081"/>
    <n v="53320"/>
    <n v="566879.32689053286"/>
    <n v="49942.553457870104"/>
    <n v="51713.446542129888"/>
    <n v="101656"/>
    <n v="1168250.5190983647"/>
  </r>
  <r>
    <x v="14"/>
    <x v="8"/>
    <n v="12503.681217979898"/>
    <n v="14530.800010724108"/>
    <n v="29121.374779411773"/>
    <n v="27034.481228704004"/>
    <n v="59985"/>
    <n v="563194.5590559307"/>
    <n v="56155.856008115778"/>
    <n v="58207.143991884208"/>
    <n v="114362.99999999999"/>
    <n v="1161756.8216486103"/>
  </r>
  <r>
    <x v="14"/>
    <x v="9"/>
    <n v="13810.951543194189"/>
    <n v="16088.878442131361"/>
    <n v="32235.538441503551"/>
    <n v="29899.829985325552"/>
    <n v="66650"/>
    <n v="559394.90781255229"/>
    <n v="62135.368426829104"/>
    <n v="64934.631573170889"/>
    <n v="127070"/>
    <n v="1155029.3340673237"/>
  </r>
  <r>
    <x v="14"/>
    <x v="10"/>
    <n v="15148.792505167825"/>
    <n v="17691.922106463222"/>
    <n v="35437.767029557624"/>
    <n v="32840.714611631047"/>
    <n v="73315"/>
    <n v="555670.79243885772"/>
    <n v="68278.481641188671"/>
    <n v="71498.518358811314"/>
    <n v="139777"/>
    <n v="1148465.4472816833"/>
  </r>
  <r>
    <x v="14"/>
    <x v="11"/>
    <n v="16431.047317122684"/>
    <n v="19236.737600149347"/>
    <n v="38521.923329685094"/>
    <n v="35667.784917272031"/>
    <n v="79980"/>
    <n v="551832.86274449877"/>
    <n v="74189.708246957132"/>
    <n v="78294.291753042868"/>
    <n v="152484"/>
    <n v="1141669.6738874519"/>
  </r>
  <r>
    <x v="15"/>
    <x v="0"/>
    <n v="1311.8600852081327"/>
    <n v="1589.2689019710965"/>
    <n v="3171.05965618032"/>
    <n v="2901.1289871792292"/>
    <n v="6665"/>
    <n v="548068.99173167802"/>
    <n v="6072.1886433595491"/>
    <n v="6634.8113566404509"/>
    <n v="12707"/>
    <n v="1135034.8625308115"/>
  </r>
  <r>
    <x v="15"/>
    <x v="1"/>
    <n v="2610.7392592313499"/>
    <n v="3171.7310655750489"/>
    <n v="6326.6846651368669"/>
    <n v="5782.4703248063988"/>
    <n v="13330"/>
    <n v="544285.33306930517"/>
    <n v="12109.154989943265"/>
    <n v="13304.845010056735"/>
    <n v="25414"/>
    <n v="1128364.828877395"/>
  </r>
  <r>
    <x v="15"/>
    <x v="2"/>
    <n v="3855.0908903374234"/>
    <n v="4696.5242660023996"/>
    <n v="9365.4982611356681"/>
    <n v="8551.6151563398234"/>
    <n v="19995"/>
    <n v="540389.47790083871"/>
    <n v="17917.113417475492"/>
    <n v="20203.886582524508"/>
    <n v="38121"/>
    <n v="1121465.7873049276"/>
  </r>
  <r>
    <x v="15"/>
    <x v="3"/>
    <n v="5127.5850884482097"/>
    <n v="6264.998202532488"/>
    <n v="12489.460019885377"/>
    <n v="11392.583290980698"/>
    <n v="26660"/>
    <n v="536565.44603547954"/>
    <n v="23882.043310866073"/>
    <n v="26945.956689133927"/>
    <n v="50828"/>
    <n v="1114723.7171983179"/>
  </r>
  <r>
    <x v="15"/>
    <x v="4"/>
    <n v="6346.2686338141621"/>
    <n v="7776.1832415169065"/>
    <n v="15497.467025195598"/>
    <n v="14122.451875331069"/>
    <n v="33325"/>
    <n v="532630.31461982988"/>
    <n v="29619.918900526667"/>
    <n v="33915.08109947334"/>
    <n v="63535.000000000007"/>
    <n v="1107754.5927879787"/>
  </r>
  <r>
    <x v="15"/>
    <x v="5"/>
    <n v="7592.1041995193518"/>
    <n v="9330.5238695760763"/>
    <n v="18589.429685604799"/>
    <n v="16922.62806909543"/>
    <n v="39990"/>
    <n v="528765.49081359431"/>
    <n v="35512.057754700232"/>
    <n v="40729.942245299782"/>
    <n v="76242.000000000015"/>
    <n v="1100939.7316421522"/>
  </r>
  <r>
    <x v="15"/>
    <x v="6"/>
    <n v="8824.6117459561356"/>
    <n v="10877.874132241226"/>
    <n v="21665.532460338713"/>
    <n v="19702.48587819736"/>
    <n v="46655"/>
    <n v="524880.34862269624"/>
    <n v="41368.018338536072"/>
    <n v="47580.981661463928"/>
    <n v="88949"/>
    <n v="1094088.692225988"/>
  </r>
  <r>
    <x v="15"/>
    <x v="7"/>
    <n v="9925.7428695838807"/>
    <n v="12269.133748977472"/>
    <n v="24429.545797879739"/>
    <n v="22194.876618561353"/>
    <n v="53320"/>
    <n v="520707.73936306022"/>
    <n v="46624.422416441092"/>
    <n v="55031.577583558916"/>
    <n v="101656"/>
    <n v="1086638.096303893"/>
  </r>
  <r>
    <x v="15"/>
    <x v="8"/>
    <n v="11130.76355970282"/>
    <n v="13801.60917136203"/>
    <n v="27472.080426441371"/>
    <n v="24932.37273106485"/>
    <n v="59985"/>
    <n v="516780.23547556374"/>
    <n v="52404.453157506221"/>
    <n v="61958.546842493786"/>
    <n v="114363"/>
    <n v="1079711.1270449581"/>
  </r>
  <r>
    <x v="15"/>
    <x v="9"/>
    <n v="12283.806878825266"/>
    <n v="15277.773789987863"/>
    <n v="30400.86333901748"/>
    <n v="27561.580668813127"/>
    <n v="66650"/>
    <n v="512744.44341331202"/>
    <n v="57962.444007830607"/>
    <n v="69107.555992169408"/>
    <n v="127070.00000000001"/>
    <n v="1072562.1178952826"/>
  </r>
  <r>
    <x v="15"/>
    <x v="10"/>
    <n v="13461.469122991693"/>
    <n v="16795.742538878432"/>
    <n v="33410.535181855754"/>
    <n v="30257.211661870126"/>
    <n v="73315"/>
    <n v="508775.07440636901"/>
    <n v="63667.746843725879"/>
    <n v="76109.253156274135"/>
    <n v="139777"/>
    <n v="1065560.4207311778"/>
  </r>
  <r>
    <x v="15"/>
    <x v="11"/>
    <n v="14587.897335897775"/>
    <n v="18257.794636034341"/>
    <n v="36307.344422049762"/>
    <n v="32845.691971932116"/>
    <n v="79980"/>
    <n v="504698.55471643095"/>
    <n v="69153.036393981878"/>
    <n v="83330.963606018122"/>
    <n v="152484"/>
    <n v="1058338.7102814338"/>
  </r>
  <r>
    <x v="16"/>
    <x v="0"/>
    <n v="1150.0200452022541"/>
    <n v="1503.3116168398262"/>
    <n v="2976.4604856580959"/>
    <n v="2653.3316620420801"/>
    <n v="6665"/>
    <n v="500686.88637847308"/>
    <n v="5629.7921477001764"/>
    <n v="7077.2078522998236"/>
    <n v="12707"/>
    <n v="1051261.502429134"/>
  </r>
  <r>
    <x v="16"/>
    <x v="1"/>
    <n v="2286.2083440065317"/>
    <n v="2999.3645954921294"/>
    <n v="5936.4401269627851"/>
    <n v="5285.5729394986611"/>
    <n v="13330"/>
    <n v="496654.12765592965"/>
    <n v="11222.013066461446"/>
    <n v="14191.986933538552"/>
    <n v="25414"/>
    <n v="1044146.7233478953"/>
  </r>
  <r>
    <x v="16"/>
    <x v="2"/>
    <n v="3372.2894749569609"/>
    <n v="4440.0963825062518"/>
    <n v="8784.9016042752301"/>
    <n v="7812.3858574632122"/>
    <n v="19995"/>
    <n v="492515.94057389419"/>
    <n v="16597.287461738444"/>
    <n v="21523.712538261556"/>
    <n v="38121"/>
    <n v="1036814.9977431723"/>
  </r>
  <r>
    <x v="16"/>
    <x v="3"/>
    <n v="4480.405420360571"/>
    <n v="5921.2649257800267"/>
    <n v="11711.142809434887"/>
    <n v="10401.670346140598"/>
    <n v="26660"/>
    <n v="488440.22506257158"/>
    <n v="22112.813155575484"/>
    <n v="28715.186844424516"/>
    <n v="50828"/>
    <n v="1029623.5234370094"/>
  </r>
  <r>
    <x v="16"/>
    <x v="4"/>
    <n v="5539.1769347926147"/>
    <n v="7347.516693378655"/>
    <n v="14526.778654950112"/>
    <n v="12886.69362817127"/>
    <n v="33325"/>
    <n v="484260.24834460218"/>
    <n v="27413.47228312138"/>
    <n v="36121.527716878612"/>
    <n v="63534.999999999993"/>
    <n v="1022217.1825645552"/>
  </r>
  <r>
    <x v="16"/>
    <x v="5"/>
    <n v="6618.9293693652071"/>
    <n v="8813.646424692246"/>
    <n v="17418.923564593439"/>
    <n v="15432.575794057453"/>
    <n v="39990"/>
    <n v="480141.13051048841"/>
    <n v="32851.499358650894"/>
    <n v="43390.500641349099"/>
    <n v="76242"/>
    <n v="1014948.2096400848"/>
  </r>
  <r>
    <x v="16"/>
    <x v="6"/>
    <n v="7684.4806424219132"/>
    <n v="10272.322042968626"/>
    <n v="20294.134335486608"/>
    <n v="17956.802685390539"/>
    <n v="46655"/>
    <n v="476000.35740182153"/>
    <n v="38250.937020877143"/>
    <n v="50698.062979122842"/>
    <n v="88948.999999999985"/>
    <n v="1007640.647302311"/>
  </r>
  <r>
    <x v="16"/>
    <x v="7"/>
    <n v="8634.0197606631718"/>
    <n v="11583.067361573496"/>
    <n v="22875.721321293808"/>
    <n v="20217.08712223667"/>
    <n v="53320"/>
    <n v="471595.64183866768"/>
    <n v="43092.808443530477"/>
    <n v="58563.191556469523"/>
    <n v="101656"/>
    <n v="999775.51872496435"/>
  </r>
  <r>
    <x v="16"/>
    <x v="8"/>
    <n v="9670.4094861907324"/>
    <n v="13025.978669262975"/>
    <n v="25715.303163523891"/>
    <n v="22696.388155453707"/>
    <n v="59985"/>
    <n v="467409.94287188468"/>
    <n v="48411.691318977595"/>
    <n v="65951.308681022405"/>
    <n v="114363"/>
    <n v="992387.40160041139"/>
  </r>
  <r>
    <x v="16"/>
    <x v="9"/>
    <n v="10659.40361034948"/>
    <n v="14415.012665414062"/>
    <n v="28446.624243319704"/>
    <n v="25074.416275763542"/>
    <n v="66650"/>
    <n v="463122.97099219449"/>
    <n v="53521.040519083246"/>
    <n v="73548.959480916747"/>
    <n v="127070"/>
    <n v="984789.75080051704"/>
  </r>
  <r>
    <x v="16"/>
    <x v="10"/>
    <n v="11666.68590373776"/>
    <n v="15842.488369387213"/>
    <n v="31251.190605012504"/>
    <n v="27509.174273124972"/>
    <n v="73315"/>
    <n v="458892.72898955597"/>
    <n v="58760.36487813748"/>
    <n v="81016.63512186252"/>
    <n v="139777"/>
    <n v="977322.07515957137"/>
  </r>
  <r>
    <x v="16"/>
    <x v="11"/>
    <n v="12627.363456135918"/>
    <n v="17216.506153245507"/>
    <n v="33948.443559469655"/>
    <n v="29843.869609381425"/>
    <n v="79980"/>
    <n v="454562.42432581238"/>
    <n v="63792.313168851077"/>
    <n v="88691.686831148923"/>
    <n v="152484"/>
    <n v="969647.02345028496"/>
  </r>
  <r>
    <x v="17"/>
    <x v="0"/>
    <n v="977.87296831452579"/>
    <n v="1411.880007134245"/>
    <n v="2769.1794763341163"/>
    <n v="2389.7529754487709"/>
    <n v="6665"/>
    <n v="450287.17730126111"/>
    <n v="5158.9324517828873"/>
    <n v="7548.0675482171137"/>
    <n v="12707"/>
    <n v="962098.95590206771"/>
  </r>
  <r>
    <x v="17"/>
    <x v="1"/>
    <n v="1941.0091682424729"/>
    <n v="2816.0206963114761"/>
    <n v="5520.7637315351103"/>
    <n v="4757.0298645539488"/>
    <n v="13330"/>
    <n v="445989.45419036632"/>
    <n v="10277.793596089059"/>
    <n v="15136.206403910941"/>
    <n v="25414"/>
    <n v="954510.81704637397"/>
  </r>
  <r>
    <x v="17"/>
    <x v="2"/>
    <n v="2858.7400939015333"/>
    <n v="4167.3374869031286"/>
    <n v="8166.4680275996543"/>
    <n v="7026.0775808046619"/>
    <n v="19995"/>
    <n v="441593.50190661696"/>
    <n v="15192.545608404316"/>
    <n v="22928.454391595682"/>
    <n v="38121"/>
    <n v="946718.56905868917"/>
  </r>
  <r>
    <x v="17"/>
    <x v="3"/>
    <n v="3792.0090996576691"/>
    <n v="5555.6404559650946"/>
    <n v="10882.103422866809"/>
    <n v="9347.6495556227637"/>
    <n v="26660"/>
    <n v="437250.07388143509"/>
    <n v="20229.752978489574"/>
    <n v="30598.247021510426"/>
    <n v="50828"/>
    <n v="939048.77642877446"/>
  </r>
  <r>
    <x v="17"/>
    <x v="4"/>
    <n v="4680.6843345568341"/>
    <n v="6891.5498435257241"/>
    <n v="13492.831467078857"/>
    <n v="11572.234178082559"/>
    <n v="33325"/>
    <n v="432809.65850389481"/>
    <n v="25065.065645161416"/>
    <n v="38469.934354838588"/>
    <n v="63535"/>
    <n v="931177.08909544628"/>
  </r>
  <r>
    <x v="17"/>
    <x v="5"/>
    <n v="5583.7763731989799"/>
    <n v="8263.8508287277527"/>
    <n v="16172.136697352285"/>
    <n v="13847.627201926733"/>
    <n v="39990"/>
    <n v="428420.05152773904"/>
    <n v="30019.763899279016"/>
    <n v="46222.236100720991"/>
    <n v="76242"/>
    <n v="923424.78734956379"/>
  </r>
  <r>
    <x v="17"/>
    <x v="6"/>
    <n v="6471.7385006437289"/>
    <n v="9628.204418753081"/>
    <n v="18833.363527771919"/>
    <n v="16099.94291939681"/>
    <n v="46655"/>
    <n v="424007.36724520905"/>
    <n v="34933.306447168725"/>
    <n v="54015.693552831282"/>
    <n v="88949"/>
    <n v="915631.32989745354"/>
  </r>
  <r>
    <x v="17"/>
    <x v="7"/>
    <n v="7288.1845508573324"/>
    <n v="10897.061450572011"/>
    <n v="21305.895331171167"/>
    <n v="18185.246001429343"/>
    <n v="53320"/>
    <n v="419427.67032724159"/>
    <n v="39491.141332600513"/>
    <n v="62164.858667399501"/>
    <n v="101656.00000000001"/>
    <n v="907482.16478288523"/>
  </r>
  <r>
    <x v="17"/>
    <x v="8"/>
    <n v="8145.3517935133377"/>
    <n v="12244.93463693229"/>
    <n v="23929.756521500782"/>
    <n v="20390.286430445627"/>
    <n v="59985"/>
    <n v="414967.71075625787"/>
    <n v="44320.042951946409"/>
    <n v="70042.957048053606"/>
    <n v="114363.00000000001"/>
    <n v="899604.06640223111"/>
  </r>
  <r>
    <x v="17"/>
    <x v="9"/>
    <n v="8959.9929801453509"/>
    <n v="13541.512734887594"/>
    <n v="26451.193341697228"/>
    <n v="22501.505715032945"/>
    <n v="66650"/>
    <n v="410413.93004084518"/>
    <n v="48952.699056730169"/>
    <n v="78117.300943269831"/>
    <n v="127070"/>
    <n v="891529.72250701487"/>
  </r>
  <r>
    <x v="17"/>
    <x v="10"/>
    <n v="9786.193952650563"/>
    <n v="14872.964612671087"/>
    <n v="29037.750929522885"/>
    <n v="24659.15856532165"/>
    <n v="73315"/>
    <n v="405906.58289113385"/>
    <n v="53696.909494844534"/>
    <n v="86080.090505155458"/>
    <n v="139777"/>
    <n v="883566.93294512923"/>
  </r>
  <r>
    <x v="17"/>
    <x v="11"/>
    <n v="10570.710234870297"/>
    <n v="16153.567575461861"/>
    <n v="31522.893408296957"/>
    <n v="26724.277810332158"/>
    <n v="79980"/>
    <n v="401306.70213614439"/>
    <n v="58247.171218629112"/>
    <n v="94236.828781370888"/>
    <n v="152484"/>
    <n v="875410.19466891384"/>
  </r>
  <r>
    <x v="18"/>
    <x v="0"/>
    <n v="794.91353014929985"/>
    <n v="1314.8602526700081"/>
    <n v="2548.8583106768588"/>
    <n v="2109.7737828193081"/>
    <n v="6665"/>
    <n v="396751.47591896367"/>
    <n v="4658.6320934961668"/>
    <n v="8048.3679065038341"/>
    <n v="12707"/>
    <n v="867361.82676241"/>
  </r>
  <r>
    <x v="18"/>
    <x v="1"/>
    <n v="1574.1284265260065"/>
    <n v="2621.4711292820666"/>
    <n v="5078.9369174168442"/>
    <n v="4195.5995558080731"/>
    <n v="13330"/>
    <n v="392172.30169195245"/>
    <n v="9274.5364732249182"/>
    <n v="16139.463526775082"/>
    <n v="25414"/>
    <n v="859270.73114213883"/>
  </r>
  <r>
    <x v="18"/>
    <x v="2"/>
    <n v="2312.9352627844823"/>
    <n v="3877.9080306727842"/>
    <n v="7509.1284722823339"/>
    <n v="6190.8432934572666"/>
    <n v="19995"/>
    <n v="387502.54542960168"/>
    <n v="13699.9717657396"/>
    <n v="24421.0282342604"/>
    <n v="38121"/>
    <n v="850989.16643465357"/>
  </r>
  <r>
    <x v="18"/>
    <x v="3"/>
    <n v="3060.3753923194181"/>
    <n v="5167.6696392881568"/>
    <n v="10000.908736387028"/>
    <n v="8228.0450316075749"/>
    <n v="26660"/>
    <n v="382874.74716775195"/>
    <n v="18228.953767994601"/>
    <n v="32599.046232005399"/>
    <n v="50828"/>
    <n v="842811.14843690849"/>
  </r>
  <r>
    <x v="18"/>
    <x v="4"/>
    <n v="3768.2707946476976"/>
    <n v="6407.7150739201934"/>
    <n v="12393.838122716146"/>
    <n v="10175.985868567892"/>
    <n v="33325"/>
    <n v="378157.68800471228"/>
    <n v="22569.823991284036"/>
    <n v="40965.176008715971"/>
    <n v="63535.000000000007"/>
    <n v="834445.01866019797"/>
  </r>
  <r>
    <x v="18"/>
    <x v="5"/>
    <n v="4483.606599667818"/>
    <n v="7680.4526593445726"/>
    <n v="14846.913818456584"/>
    <n v="12164.059259012391"/>
    <n v="39990"/>
    <n v="373480.76139515679"/>
    <n v="27010.973077468974"/>
    <n v="49231.026922531033"/>
    <n v="76242"/>
    <n v="826179.16774638288"/>
  </r>
  <r>
    <x v="18"/>
    <x v="6"/>
    <n v="5182.8254101023304"/>
    <n v="8944.7194188858575"/>
    <n v="17280.694867177161"/>
    <n v="14127.544828988188"/>
    <n v="46655"/>
    <n v="368779.2469651326"/>
    <n v="31408.23969616535"/>
    <n v="57540.760303834657"/>
    <n v="88949"/>
    <n v="817869.43436507927"/>
  </r>
  <r>
    <x v="18"/>
    <x v="7"/>
    <n v="5799.744067172619"/>
    <n v="10078.946490144248"/>
    <n v="19461.427601828298"/>
    <n v="15878.690557316866"/>
    <n v="53320"/>
    <n v="363865.39269346127"/>
    <n v="35340.11815914516"/>
    <n v="66315.88184085484"/>
    <n v="101656"/>
    <n v="809094.31282805908"/>
  </r>
  <r>
    <x v="18"/>
    <x v="8"/>
    <n v="6466.1267526383508"/>
    <n v="11325.498878759292"/>
    <n v="21855.051464787535"/>
    <n v="17791.625631397641"/>
    <n v="59985"/>
    <n v="359113.32776754204"/>
    <n v="39646.677096185173"/>
    <n v="74716.322903814813"/>
    <n v="114362.99999999999"/>
    <n v="800693.871765099"/>
  </r>
  <r>
    <x v="18"/>
    <x v="9"/>
    <n v="7095.1670735313219"/>
    <n v="12523.509104891871"/>
    <n v="24152.480103284415"/>
    <n v="19618.676178423193"/>
    <n v="66650"/>
    <n v="354275.37831456761"/>
    <n v="43771.156281707605"/>
    <n v="83298.843718292395"/>
    <n v="127070"/>
    <n v="792111.35095062153"/>
  </r>
  <r>
    <x v="18"/>
    <x v="10"/>
    <n v="7728.6047327145925"/>
    <n v="13752.589318168391"/>
    <n v="26506.358265212439"/>
    <n v="21481.194050882983"/>
    <n v="73315"/>
    <n v="349472.89618702739"/>
    <n v="47987.552316095418"/>
    <n v="91789.447683904582"/>
    <n v="139777"/>
    <n v="783620.74698500941"/>
  </r>
  <r>
    <x v="18"/>
    <x v="11"/>
    <n v="8325.5951566459244"/>
    <n v="14933.602094837908"/>
    <n v="28765.116535528516"/>
    <n v="23259.197251483834"/>
    <n v="79980"/>
    <n v="344585.89938762825"/>
    <n v="52024.313787012346"/>
    <n v="100459.68621298765"/>
    <n v="152484"/>
    <n v="774950.50845592632"/>
  </r>
  <r>
    <x v="19"/>
    <x v="0"/>
    <n v="600.15093767282815"/>
    <n v="1211.4268221488699"/>
    <n v="2313.710883218414"/>
    <n v="1811.577759821698"/>
    <n v="6665"/>
    <n v="339732.47714744997"/>
    <n v="4125.2886430401122"/>
    <n v="8581.7113569598878"/>
    <n v="12707"/>
    <n v="766368.79709896632"/>
  </r>
  <r>
    <x v="19"/>
    <x v="1"/>
    <n v="1183.5793239327807"/>
    <n v="2414.0604917745109"/>
    <n v="4607.3778712755666"/>
    <n v="3597.6398157072917"/>
    <n v="13330"/>
    <n v="334853.53920333553"/>
    <n v="8205.0176869828574"/>
    <n v="17208.982313017143"/>
    <n v="25414"/>
    <n v="757741.52614290908"/>
  </r>
  <r>
    <x v="19"/>
    <x v="2"/>
    <n v="1731.9192465539304"/>
    <n v="3569.3452877851259"/>
    <n v="6807.5540005858411"/>
    <n v="5301.2645343390559"/>
    <n v="19995"/>
    <n v="329892.16392196732"/>
    <n v="12108.818534924896"/>
    <n v="26012.181465075104"/>
    <n v="38121"/>
    <n v="748938.3269908512"/>
  </r>
  <r>
    <x v="19"/>
    <x v="3"/>
    <n v="2281.5422311917241"/>
    <n v="4754.0512712291493"/>
    <n v="9060.4150575449385"/>
    <n v="7035.5935024208738"/>
    <n v="26660"/>
    <n v="324961.49289004912"/>
    <n v="16096.008559965812"/>
    <n v="34731.991440034188"/>
    <n v="50828"/>
    <n v="740218.51701589208"/>
  </r>
  <r>
    <x v="19"/>
    <x v="4"/>
    <n v="2796.9952582478873"/>
    <n v="5891.8954833423595"/>
    <n v="11220.889273476379"/>
    <n v="8688.8907415902468"/>
    <n v="33325"/>
    <n v="319949.79012921848"/>
    <n v="19909.780015066626"/>
    <n v="43625.219984933377"/>
    <n v="63535"/>
    <n v="731325.28847099282"/>
  </r>
  <r>
    <x v="19"/>
    <x v="5"/>
    <n v="3312.4622224989398"/>
    <n v="7058.4878404035189"/>
    <n v="13432.511575931348"/>
    <n v="10370.950062902459"/>
    <n v="39990"/>
    <n v="314966.84945053072"/>
    <n v="23803.461638833807"/>
    <n v="52438.538361166196"/>
    <n v="76242"/>
    <n v="722511.97009475995"/>
  </r>
  <r>
    <x v="19"/>
    <x v="6"/>
    <n v="3810.7614296478041"/>
    <n v="8216.0513384892402"/>
    <n v="15623.541138233188"/>
    <n v="12026.812768137044"/>
    <n v="46655"/>
    <n v="309957.71215576533"/>
    <n v="27650.353906370234"/>
    <n v="61298.646093629774"/>
    <n v="88949"/>
    <n v="713651.86236229644"/>
  </r>
  <r>
    <x v="19"/>
    <x v="7"/>
    <n v="4245.2502506484352"/>
    <n v="9253.3945906622321"/>
    <n v="17583.835691181284"/>
    <n v="13498.644841310666"/>
    <n v="53320"/>
    <n v="304764.54422893893"/>
    <n v="31082.480532491951"/>
    <n v="70573.519467508057"/>
    <n v="101656"/>
    <n v="704376.98898841813"/>
  </r>
  <r>
    <x v="19"/>
    <x v="8"/>
    <n v="4708.697965049947"/>
    <n v="10392.173407550888"/>
    <n v="19732.21788392519"/>
    <n v="15100.871372600835"/>
    <n v="59985"/>
    <n v="299701.77076022909"/>
    <n v="34833.089256526029"/>
    <n v="79529.910743473971"/>
    <n v="114363"/>
    <n v="695420.59771245217"/>
  </r>
  <r>
    <x v="19"/>
    <x v="9"/>
    <n v="5140.317137853438"/>
    <n v="11485.338312286425"/>
    <n v="21791.039945246481"/>
    <n v="16625.655450139864"/>
    <n v="66650"/>
    <n v="294561.55483776814"/>
    <n v="38416.695395386341"/>
    <n v="88653.304604613659"/>
    <n v="127070"/>
    <n v="686297.20385131252"/>
  </r>
  <r>
    <x v="19"/>
    <x v="10"/>
    <n v="5568.7150496518198"/>
    <n v="12605.527160976244"/>
    <n v="23897.075189244504"/>
    <n v="18174.242210628065"/>
    <n v="73315"/>
    <n v="289445.1415982563"/>
    <n v="42071.317399872569"/>
    <n v="97705.682600127431"/>
    <n v="139777"/>
    <n v="677244.82585579879"/>
  </r>
  <r>
    <x v="19"/>
    <x v="11"/>
    <n v="5966.2367367734087"/>
    <n v="13680.60719426003"/>
    <n v="25914.696012272103"/>
    <n v="19646.84393103344"/>
    <n v="79980"/>
    <n v="284252.7433186617"/>
    <n v="45561.539943305543"/>
    <n v="106922.46005669447"/>
    <n v="152484"/>
    <n v="668028.04839923175"/>
  </r>
  <r>
    <x v="20"/>
    <x v="0"/>
    <n v="392.98458390349822"/>
    <n v="1101.4060713134331"/>
    <n v="2063.2391264646644"/>
    <n v="1494.3906552169315"/>
    <n v="6665"/>
    <n v="279082.13397387863"/>
    <n v="3557.6297816815959"/>
    <n v="9149.3702183184032"/>
    <n v="12707"/>
    <n v="658878.67818091332"/>
  </r>
  <r>
    <x v="20"/>
    <x v="1"/>
    <n v="768.15748895234549"/>
    <n v="2193.4405823809575"/>
    <n v="4105.08778043032"/>
    <n v="2961.5980713333029"/>
    <n v="13330"/>
    <n v="273884.34138999501"/>
    <n v="7066.6858517636228"/>
    <n v="18347.314148236379"/>
    <n v="25414"/>
    <n v="649680.73425099533"/>
  </r>
  <r>
    <x v="20"/>
    <x v="2"/>
    <n v="1113.9003136902884"/>
    <n v="3241.1312424682765"/>
    <n v="6060.258602466045"/>
    <n v="4355.0315561585649"/>
    <n v="19995"/>
    <n v="268612.77487482026"/>
    <n v="10415.29015862461"/>
    <n v="27705.709841375392"/>
    <n v="38121"/>
    <n v="640322.33855785627"/>
  </r>
  <r>
    <x v="20"/>
    <x v="3"/>
    <n v="1453.107858174445"/>
    <n v="4314.0909684150583"/>
    <n v="8058.6303197680218"/>
    <n v="5767.1988265895034"/>
    <n v="26660"/>
    <n v="263359.9421452512"/>
    <n v="13825.829146357526"/>
    <n v="37002.170853642478"/>
    <n v="50828"/>
    <n v="631025.87754558912"/>
  </r>
  <r>
    <x v="20"/>
    <x v="4"/>
    <n v="1763.8625153388139"/>
    <n v="5343.2251127951595"/>
    <n v="9971.5004877823831"/>
    <n v="7107.0876281339733"/>
    <n v="33325"/>
    <n v="258034.8309467957"/>
    <n v="17078.588115916355"/>
    <n v="46456.411884083645"/>
    <n v="63535"/>
    <n v="621571.63651514798"/>
  </r>
  <r>
    <x v="20"/>
    <x v="5"/>
    <n v="2066.7316780935002"/>
    <n v="6396.912216078299"/>
    <n v="11925.934113992733"/>
    <n v="8463.6438941717988"/>
    <n v="39990"/>
    <n v="252726.38721283351"/>
    <n v="20389.578008164532"/>
    <n v="55852.421991835465"/>
    <n v="76242"/>
    <n v="612175.62640739628"/>
  </r>
  <r>
    <x v="20"/>
    <x v="6"/>
    <n v="2351.3154017698575"/>
    <n v="7440.9768880805887"/>
    <n v="13858.392311448872"/>
    <n v="9792.2922898504457"/>
    <n v="46655"/>
    <n v="247390.03560851212"/>
    <n v="23650.684601299319"/>
    <n v="65298.315398700681"/>
    <n v="88949"/>
    <n v="602729.73300053098"/>
  </r>
  <r>
    <x v="20"/>
    <x v="7"/>
    <n v="2591.7560563503721"/>
    <n v="8375.2661231347956"/>
    <n v="15583.882940647814"/>
    <n v="10967.022179485168"/>
    <n v="53320"/>
    <n v="241899.76549814685"/>
    <n v="26550.905120132982"/>
    <n v="75105.094879867014"/>
    <n v="101656"/>
    <n v="592922.9535193647"/>
  </r>
  <r>
    <x v="20"/>
    <x v="8"/>
    <n v="2839.3445676416259"/>
    <n v="9399.4076392802381"/>
    <n v="17471.041301891746"/>
    <n v="12238.752206921865"/>
    <n v="59985"/>
    <n v="236506.49552558354"/>
    <n v="29709.793508813611"/>
    <n v="84653.2064911864"/>
    <n v="114363.00000000001"/>
    <n v="583374.84190804535"/>
  </r>
  <r>
    <x v="20"/>
    <x v="9"/>
    <n v="3060.9695167771742"/>
    <n v="10381.049983818686"/>
    <n v="19275.70702731721"/>
    <n v="13442.019500595859"/>
    <n v="66650"/>
    <n v="231044.76281925751"/>
    <n v="32717.72652791307"/>
    <n v="94352.273472086934"/>
    <n v="127070"/>
    <n v="573675.77492714475"/>
  </r>
  <r>
    <x v="20"/>
    <x v="10"/>
    <n v="3271.2694031621622"/>
    <n v="11385.412550512803"/>
    <n v="21117.747671315312"/>
    <n v="14656.681953674964"/>
    <n v="73315"/>
    <n v="225594.42527233664"/>
    <n v="35774.429624990276"/>
    <n v="104002.57037500972"/>
    <n v="139777"/>
    <n v="564025.47802422196"/>
  </r>
  <r>
    <x v="20"/>
    <x v="11"/>
    <n v="3456.6188739951399"/>
    <n v="12347.813347435247"/>
    <n v="22878.51635398882"/>
    <n v="15804.432221430387"/>
    <n v="79980"/>
    <n v="220077.17554009205"/>
    <n v="38682.948575419206"/>
    <n v="113801.05142458077"/>
    <n v="152483.99999999997"/>
    <n v="554226.996974651"/>
  </r>
  <r>
    <x v="21"/>
    <x v="0"/>
    <n v="172.62451584133177"/>
    <n v="984.37847633368904"/>
    <n v="1796.4443687699586"/>
    <n v="1157.0029921750208"/>
    <n v="6665"/>
    <n v="214569.17853226708"/>
    <n v="2953.4473609449797"/>
    <n v="9753.5526390550203"/>
    <n v="12707"/>
    <n v="544473.44433559594"/>
  </r>
  <r>
    <x v="21"/>
    <x v="1"/>
    <n v="326.27886259621948"/>
    <n v="1958.7701478954241"/>
    <n v="3570.0639325668681"/>
    <n v="2285.0490104916435"/>
    <n v="13330"/>
    <n v="209032.22455058369"/>
    <n v="5855.1129430585115"/>
    <n v="19558.88705694149"/>
    <n v="25414"/>
    <n v="534668.10991770937"/>
  </r>
  <r>
    <x v="21"/>
    <x v="2"/>
    <n v="456.5218753885888"/>
    <n v="2892.0143706932845"/>
    <n v="5264.262689586516"/>
    <n v="3348.5362460818733"/>
    <n v="19995"/>
    <n v="203430.71178617392"/>
    <n v="8612.7989356683902"/>
    <n v="29508.20106433161"/>
    <n v="38121"/>
    <n v="524718.79591031931"/>
  </r>
  <r>
    <x v="21"/>
    <x v="3"/>
    <n v="571.91334226192919"/>
    <n v="3846.1111033993661"/>
    <n v="6991.560244317503"/>
    <n v="4418.0244456612954"/>
    <n v="26660"/>
    <n v="197835.19998575334"/>
    <n v="11409.584689978798"/>
    <n v="39418.415310021199"/>
    <n v="50828"/>
    <n v="514808.58166462969"/>
  </r>
  <r>
    <x v="21"/>
    <x v="4"/>
    <n v="664.93309266728272"/>
    <n v="4759.611808811941"/>
    <n v="8640.690249271438"/>
    <n v="5424.5449014792239"/>
    <n v="33325"/>
    <n v="192176.72044157129"/>
    <n v="14065.235150750661"/>
    <n v="49469.764849249339"/>
    <n v="63535"/>
    <n v="504757.23212540161"/>
  </r>
  <r>
    <x v="21"/>
    <x v="5"/>
    <n v="741.66482936209184"/>
    <n v="5693.2031100769436"/>
    <n v="10321.17446318152"/>
    <n v="6434.8679394390356"/>
    <n v="39990"/>
    <n v="186522.0434795311"/>
    <n v="16756.042402620555"/>
    <n v="59485.957597379442"/>
    <n v="76242"/>
    <n v="494741.03937727143"/>
  </r>
  <r>
    <x v="21"/>
    <x v="6"/>
    <n v="798.92226367208912"/>
    <n v="6616.5406051720756"/>
    <n v="11978.210451264084"/>
    <n v="7415.4628688441644"/>
    <n v="46655"/>
    <n v="180837.63840893621"/>
    <n v="19393.673320108246"/>
    <n v="69555.326679891747"/>
    <n v="88949"/>
    <n v="484671.67029475915"/>
  </r>
  <r>
    <x v="21"/>
    <x v="7"/>
    <n v="834.1719979629903"/>
    <n v="7470.6652399438626"/>
    <n v="13506.287526148481"/>
    <n v="8304.8372379068533"/>
    <n v="53320"/>
    <n v="175062.0127779989"/>
    <n v="21811.124764055334"/>
    <n v="79844.875235944666"/>
    <n v="101656"/>
    <n v="474382.12173870625"/>
  </r>
  <r>
    <x v="21"/>
    <x v="8"/>
    <n v="852.16036434374996"/>
    <n v="8373.0234388225599"/>
    <n v="15115.481635226826"/>
    <n v="9225.1838031663101"/>
    <n v="59985"/>
    <n v="169317.35934325837"/>
    <n v="24340.665438393138"/>
    <n v="90022.334561606855"/>
    <n v="114363"/>
    <n v="464204.66241304402"/>
  </r>
  <r>
    <x v="21"/>
    <x v="9"/>
    <n v="852.16036434374996"/>
    <n v="9236.1913667197405"/>
    <n v="16649.703521609081"/>
    <n v="10088.351731063491"/>
    <n v="62869"/>
    <n v="167637.91519901771"/>
    <n v="26738.055252672573"/>
    <n v="96550.944747327419"/>
    <n v="123289"/>
    <n v="458017.44015518564"/>
  </r>
  <r>
    <x v="21"/>
    <x v="10"/>
    <n v="852.16036434374996"/>
    <n v="10117.507518707123"/>
    <n v="18210.831581393981"/>
    <n v="10969.667883050874"/>
    <n v="65753"/>
    <n v="165635.23135100509"/>
    <n v="29180.499464444852"/>
    <n v="103034.50053555514"/>
    <n v="132215"/>
    <n v="451533.88436695788"/>
  </r>
  <r>
    <x v="21"/>
    <x v="11"/>
    <n v="852.16036434374996"/>
    <n v="10960.20512040251"/>
    <n v="19698.287861057801"/>
    <n v="11812.36548474626"/>
    <n v="68637"/>
    <n v="163593.92895270049"/>
    <n v="31510.653345804061"/>
    <n v="109630.34665419594"/>
    <n v="141141"/>
    <n v="444938.03824831708"/>
  </r>
  <r>
    <x v="22"/>
    <x v="0"/>
    <n v="0"/>
    <n v="860.05586374612858"/>
    <n v="1512.5521799199685"/>
    <n v="860.05586374612858"/>
    <n v="2884"/>
    <n v="161569.98481644661"/>
    <n v="2372.6080436660968"/>
    <n v="6553.3919563339023"/>
    <n v="8926"/>
    <n v="438384.6462919832"/>
  </r>
  <r>
    <x v="22"/>
    <x v="1"/>
    <n v="0"/>
    <n v="1709.4713263879898"/>
    <n v="3000.7533037924218"/>
    <n v="1709.4713263879898"/>
    <n v="5768"/>
    <n v="159535.40027908847"/>
    <n v="4710.2246301804116"/>
    <n v="13141.775369819587"/>
    <n v="17852"/>
    <n v="431796.26287849754"/>
  </r>
  <r>
    <x v="22"/>
    <x v="2"/>
    <n v="0"/>
    <n v="2521.1349930133797"/>
    <n v="4417.2557094808544"/>
    <n v="2521.1349930133797"/>
    <n v="8652"/>
    <n v="157463.06394571386"/>
    <n v="6938.3907024942346"/>
    <n v="19839.609297505765"/>
    <n v="26778"/>
    <n v="425098.42895081139"/>
  </r>
  <r>
    <x v="22"/>
    <x v="3"/>
    <n v="0"/>
    <n v="3348.959303713189"/>
    <n v="5856.1074266027799"/>
    <n v="3348.959303713189"/>
    <n v="11536"/>
    <n v="155406.88825641366"/>
    <n v="9205.066730315968"/>
    <n v="26498.933269684032"/>
    <n v="35704"/>
    <n v="418439.10497863311"/>
  </r>
  <r>
    <x v="22"/>
    <x v="4"/>
    <n v="0"/>
    <n v="4139.6184584862303"/>
    <n v="7224.595589768518"/>
    <n v="4139.6184584862303"/>
    <n v="14420"/>
    <n v="153313.54741118671"/>
    <n v="11364.214048254747"/>
    <n v="33265.785951745253"/>
    <n v="44630"/>
    <n v="411672.25229657185"/>
  </r>
  <r>
    <x v="22"/>
    <x v="5"/>
    <n v="0"/>
    <n v="4945.6276807528775"/>
    <n v="8613.5744571564392"/>
    <n v="4945.6276807528775"/>
    <n v="17304"/>
    <n v="151235.55663345335"/>
    <n v="13559.202137909317"/>
    <n v="39996.79786209068"/>
    <n v="53556"/>
    <n v="404941.24038622645"/>
  </r>
  <r>
    <x v="22"/>
    <x v="6"/>
    <n v="0"/>
    <n v="5740.7123646540658"/>
    <n v="9977.5379180552518"/>
    <n v="5740.7123646540658"/>
    <n v="20188"/>
    <n v="149146.64131735454"/>
    <n v="15718.250282709318"/>
    <n v="46763.749717290681"/>
    <n v="62482"/>
    <n v="398174.28853102645"/>
  </r>
  <r>
    <x v="22"/>
    <x v="7"/>
    <n v="0"/>
    <n v="6448.9341693971855"/>
    <n v="11186.788882223778"/>
    <n v="6448.9341693971855"/>
    <n v="23072"/>
    <n v="146970.86312209765"/>
    <n v="17635.723051620964"/>
    <n v="53772.276948379033"/>
    <n v="71408"/>
    <n v="391165.76129993808"/>
  </r>
  <r>
    <x v="22"/>
    <x v="8"/>
    <n v="0"/>
    <n v="7221.5982495204544"/>
    <n v="12499.620796454947"/>
    <n v="7221.5982495204544"/>
    <n v="25956"/>
    <n v="144859.52720222092"/>
    <n v="19721.219045975402"/>
    <n v="60612.780954024594"/>
    <n v="80334"/>
    <n v="384325.25729429256"/>
  </r>
  <r>
    <x v="22"/>
    <x v="9"/>
    <n v="0"/>
    <n v="7958.5958988753155"/>
    <n v="13745.498663427123"/>
    <n v="7958.5958988753155"/>
    <n v="28840"/>
    <n v="142712.52485157578"/>
    <n v="21704.094562302438"/>
    <n v="67555.905437697555"/>
    <n v="89260"/>
    <n v="377382.13281061954"/>
  </r>
  <r>
    <x v="22"/>
    <x v="10"/>
    <n v="0"/>
    <n v="8708.8727863758322"/>
    <n v="15007.121051640908"/>
    <n v="8708.8727863758322"/>
    <n v="31724"/>
    <n v="140578.8017390763"/>
    <n v="23715.99383801674"/>
    <n v="74470.006161983256"/>
    <n v="98186"/>
    <n v="370468.03208633384"/>
  </r>
  <r>
    <x v="22"/>
    <x v="11"/>
    <n v="0"/>
    <n v="9424.0915119360088"/>
    <n v="16203.174882954449"/>
    <n v="9424.0915119360088"/>
    <n v="34608"/>
    <n v="138410.02046463647"/>
    <n v="25627.266394890459"/>
    <n v="81484.733605109534"/>
    <n v="107112"/>
    <n v="363453.30464320758"/>
  </r>
  <r>
    <x v="23"/>
    <x v="0"/>
    <n v="0"/>
    <n v="727.65750210846829"/>
    <n v="1209.8696891605753"/>
    <n v="727.65750210846829"/>
    <n v="2884"/>
    <n v="136253.67796674493"/>
    <n v="1937.5271912690437"/>
    <n v="6988.4728087309568"/>
    <n v="8926"/>
    <n v="356464.83183447662"/>
  </r>
  <r>
    <x v="23"/>
    <x v="1"/>
    <n v="0"/>
    <n v="1443.9785504656925"/>
    <n v="2393.7610514472872"/>
    <n v="1443.9785504656925"/>
    <n v="5768"/>
    <n v="134085.99901510216"/>
    <n v="3837.7396019129797"/>
    <n v="14014.260398087019"/>
    <n v="17852"/>
    <n v="349439.0442451206"/>
  </r>
  <r>
    <x v="23"/>
    <x v="2"/>
    <n v="0"/>
    <n v="2126.1640303863628"/>
    <n v="3514.1868949864788"/>
    <n v="2126.1640303863628"/>
    <n v="8652"/>
    <n v="131884.18449502284"/>
    <n v="5640.3509253728416"/>
    <n v="21137.649074627159"/>
    <n v="26778"/>
    <n v="342315.65556858043"/>
  </r>
  <r>
    <x v="23"/>
    <x v="3"/>
    <n v="0"/>
    <n v="2819.5135142973199"/>
    <n v="4645.5010749526209"/>
    <n v="2819.5135142973199"/>
    <n v="11536"/>
    <n v="129693.53397893379"/>
    <n v="7465.0145892499404"/>
    <n v="28238.985410750061"/>
    <n v="35704"/>
    <n v="335214.31923245755"/>
  </r>
  <r>
    <x v="23"/>
    <x v="4"/>
    <n v="0"/>
    <n v="3479.3515762120596"/>
    <n v="5714.7722289154744"/>
    <n v="3479.3515762120596"/>
    <n v="14420"/>
    <n v="127469.37204084852"/>
    <n v="9194.1238051275341"/>
    <n v="35435.876194872471"/>
    <n v="44630.000000000007"/>
    <n v="328017.42844833509"/>
  </r>
  <r>
    <x v="23"/>
    <x v="5"/>
    <n v="0"/>
    <n v="4149.4912419906468"/>
    <n v="6792.9515469659154"/>
    <n v="4149.4912419906468"/>
    <n v="17304"/>
    <n v="125255.51170662711"/>
    <n v="10942.442788956563"/>
    <n v="42613.557211043444"/>
    <n v="53556.000000000007"/>
    <n v="320839.74743216415"/>
  </r>
  <r>
    <x v="23"/>
    <x v="6"/>
    <n v="0"/>
    <n v="4807.9920677820082"/>
    <n v="7844.4445490596727"/>
    <n v="4807.9920677820082"/>
    <n v="20188"/>
    <n v="123030.01253241846"/>
    <n v="12652.436616841682"/>
    <n v="49829.563383158325"/>
    <n v="62482.000000000007"/>
    <n v="313623.74126004922"/>
  </r>
  <r>
    <x v="23"/>
    <x v="7"/>
    <n v="0"/>
    <n v="5392.1992396208789"/>
    <n v="8769.9468087770765"/>
    <n v="5392.1992396208789"/>
    <n v="23072"/>
    <n v="120730.21970425734"/>
    <n v="14162.146048397955"/>
    <n v="57245.853951602054"/>
    <n v="71408.000000000015"/>
    <n v="306207.45069160551"/>
  </r>
  <r>
    <x v="23"/>
    <x v="8"/>
    <n v="0"/>
    <n v="6026.9094275400548"/>
    <n v="9767.1028919728942"/>
    <n v="6026.9094275400548"/>
    <n v="25956"/>
    <n v="118480.92989217651"/>
    <n v="15794.012319512949"/>
    <n v="64539.987680487058"/>
    <n v="80334"/>
    <n v="298913.31696272054"/>
  </r>
  <r>
    <x v="23"/>
    <x v="9"/>
    <n v="0"/>
    <n v="6629.7014461969638"/>
    <n v="10705.845640046766"/>
    <n v="6629.7014461969638"/>
    <n v="28840"/>
    <n v="116199.72191083342"/>
    <n v="17335.547086243729"/>
    <n v="71924.452913756279"/>
    <n v="89260"/>
    <n v="291528.85172945133"/>
  </r>
  <r>
    <x v="23"/>
    <x v="10"/>
    <n v="0"/>
    <n v="7240.5936280454525"/>
    <n v="11648.443863178474"/>
    <n v="7240.5936280454525"/>
    <n v="31724"/>
    <n v="113926.61409268191"/>
    <n v="18889.037491223928"/>
    <n v="79296.962508776094"/>
    <n v="98186.000000000029"/>
    <n v="284156.34213443147"/>
  </r>
  <r>
    <x v="23"/>
    <x v="11"/>
    <n v="0"/>
    <n v="7820.2147852238368"/>
    <n v="12534.104831812125"/>
    <n v="7820.2147852238368"/>
    <n v="34608"/>
    <n v="111622.23524986028"/>
    <n v="20354.319617035962"/>
    <n v="86757.68038296407"/>
    <n v="107112.00000000003"/>
    <n v="276695.62426024355"/>
  </r>
  <r>
    <x v="24"/>
    <x v="0"/>
    <n v="0"/>
    <n v="586.82714307111485"/>
    <n v="887.46167467143846"/>
    <n v="586.82714307111485"/>
    <n v="2884"/>
    <n v="109325.0623929314"/>
    <n v="1474.2888177425534"/>
    <n v="7451.711182257447"/>
    <n v="8926"/>
    <n v="269243.9130779861"/>
  </r>
  <r>
    <x v="24"/>
    <x v="1"/>
    <n v="0"/>
    <n v="1161.5774505390491"/>
    <n v="1747.2117039845421"/>
    <n v="1161.5774505390491"/>
    <n v="5768"/>
    <n v="107015.81270039934"/>
    <n v="2908.7891545235912"/>
    <n v="14943.210845476409"/>
    <n v="17852"/>
    <n v="261752.41341476716"/>
  </r>
  <r>
    <x v="24"/>
    <x v="2"/>
    <n v="0"/>
    <n v="1706.0387222777931"/>
    <n v="2552.2659635916225"/>
    <n v="1706.0387222777931"/>
    <n v="8652"/>
    <n v="104676.27397213809"/>
    <n v="4258.3046858694161"/>
    <n v="22519.695314130586"/>
    <n v="26778"/>
    <n v="254175.92894611298"/>
  </r>
  <r>
    <x v="24"/>
    <x v="3"/>
    <n v="0"/>
    <n v="2256.349139058987"/>
    <n v="3356.0006840174606"/>
    <n v="2256.349139058987"/>
    <n v="11536"/>
    <n v="102342.58438891929"/>
    <n v="5612.3498230764471"/>
    <n v="30091.650176923555"/>
    <n v="35704"/>
    <n v="246603.97408332"/>
  </r>
  <r>
    <x v="24"/>
    <x v="4"/>
    <n v="0"/>
    <n v="2777.034561552749"/>
    <n v="4106.5551471124381"/>
    <n v="2777.034561552749"/>
    <n v="14420"/>
    <n v="99979.269811413047"/>
    <n v="6883.5897086651876"/>
    <n v="37746.410291334811"/>
    <n v="44630"/>
    <n v="238949.21396890873"/>
  </r>
  <r>
    <x v="24"/>
    <x v="5"/>
    <n v="0"/>
    <n v="3302.6516049530792"/>
    <n v="4853.6804112775171"/>
    <n v="3302.6516049530792"/>
    <n v="17304"/>
    <n v="97620.886854813376"/>
    <n v="8156.3320162305963"/>
    <n v="45399.667983769403"/>
    <n v="53556"/>
    <n v="231295.95627647414"/>
  </r>
  <r>
    <x v="24"/>
    <x v="6"/>
    <n v="0"/>
    <n v="3815.8700153248637"/>
    <n v="5572.3395584723803"/>
    <n v="3815.8700153248637"/>
    <n v="20188"/>
    <n v="95250.105265185164"/>
    <n v="9388.209573797245"/>
    <n v="53093.790426202759"/>
    <n v="62482"/>
    <n v="223601.83383404079"/>
  </r>
  <r>
    <x v="24"/>
    <x v="7"/>
    <n v="0"/>
    <n v="4268.1644877786139"/>
    <n v="6195.6014864598865"/>
    <n v="4268.1644877786139"/>
    <n v="23072"/>
    <n v="92818.399737638916"/>
    <n v="10463.7659742385"/>
    <n v="60944.2340257615"/>
    <n v="71408"/>
    <n v="215751.39023448204"/>
  </r>
  <r>
    <x v="24"/>
    <x v="8"/>
    <n v="0"/>
    <n v="4756.1349734130117"/>
    <n v="6856.5094515337369"/>
    <n v="4756.1349734130117"/>
    <n v="25956"/>
    <n v="90422.370223273319"/>
    <n v="11612.644424946749"/>
    <n v="68721.355575053254"/>
    <n v="80334"/>
    <n v="207974.2686851903"/>
  </r>
  <r>
    <x v="24"/>
    <x v="9"/>
    <n v="0"/>
    <n v="5216.1742652064868"/>
    <n v="7468.1013835314916"/>
    <n v="5216.1742652064868"/>
    <n v="28840"/>
    <n v="87998.4095150668"/>
    <n v="12684.275648737977"/>
    <n v="76575.724351262019"/>
    <n v="89260"/>
    <n v="200119.89990898152"/>
  </r>
  <r>
    <x v="24"/>
    <x v="10"/>
    <n v="0"/>
    <n v="5678.8048077228204"/>
    <n v="8070.8849468191047"/>
    <n v="5678.8048077228204"/>
    <n v="31724"/>
    <n v="85577.04005758313"/>
    <n v="13749.689754541925"/>
    <n v="84436.31024545808"/>
    <n v="98186"/>
    <n v="192259.31401478546"/>
  </r>
  <r>
    <x v="24"/>
    <x v="11"/>
    <n v="0"/>
    <n v="6114.1926526185243"/>
    <n v="8625.9250515991789"/>
    <n v="6114.1926526185243"/>
    <n v="34608"/>
    <n v="83128.427902478827"/>
    <n v="14740.117704217704"/>
    <n v="92371.882295782314"/>
    <n v="107112.00000000001"/>
    <n v="184323.74196446122"/>
  </r>
  <r>
    <x v="25"/>
    <x v="0"/>
    <n v="0"/>
    <n v="437.02778164949757"/>
    <n v="544.04264324336464"/>
    <n v="437.02778164949757"/>
    <n v="2884"/>
    <n v="80681.455684128319"/>
    <n v="981.07042489286221"/>
    <n v="7944.9295751071368"/>
    <n v="8925.9999999999982"/>
    <n v="176378.81238935411"/>
  </r>
  <r>
    <x v="25"/>
    <x v="1"/>
    <n v="0"/>
    <n v="861.19119346394643"/>
    <n v="1058.5273639629934"/>
    <n v="861.19119346394643"/>
    <n v="5768"/>
    <n v="78221.619095942762"/>
    <n v="1919.7185574269397"/>
    <n v="15932.281442573059"/>
    <n v="17852"/>
    <n v="168391.46052188816"/>
  </r>
  <r>
    <x v="25"/>
    <x v="2"/>
    <n v="0"/>
    <n v="1259.1570747274141"/>
    <n v="1527.6575800393503"/>
    <n v="1259.1570747274141"/>
    <n v="8652"/>
    <n v="75735.584977206236"/>
    <n v="2786.8146547667643"/>
    <n v="23991.185345233236"/>
    <n v="26778"/>
    <n v="160332.55661922798"/>
  </r>
  <r>
    <x v="25"/>
    <x v="3"/>
    <n v="0"/>
    <n v="1657.3187569541565"/>
    <n v="1982.4648059383619"/>
    <n v="1657.3187569541565"/>
    <n v="11536"/>
    <n v="73249.746659432974"/>
    <n v="3639.7835628925186"/>
    <n v="32064.216437107483"/>
    <n v="35704"/>
    <n v="152259.52552735375"/>
  </r>
  <r>
    <x v="25"/>
    <x v="4"/>
    <n v="0"/>
    <n v="2029.9893858488606"/>
    <n v="2393.5321211991331"/>
    <n v="2029.9893858488606"/>
    <n v="14420"/>
    <n v="70738.417288327677"/>
    <n v="4423.5215070479935"/>
    <n v="40206.47849295201"/>
    <n v="44630"/>
    <n v="144117.26347150921"/>
  </r>
  <r>
    <x v="25"/>
    <x v="5"/>
    <n v="0"/>
    <n v="2401.8796569024826"/>
    <n v="2788.0288605560022"/>
    <n v="2401.8796569024826"/>
    <n v="17304"/>
    <n v="68226.307559381297"/>
    <n v="5189.9085174584852"/>
    <n v="48366.091482541524"/>
    <n v="53556.000000000007"/>
    <n v="135957.6504819197"/>
  </r>
  <r>
    <x v="25"/>
    <x v="6"/>
    <n v="0"/>
    <n v="2760.5631132742546"/>
    <n v="3152.1636940269532"/>
    <n v="2760.5631132742546"/>
    <n v="20188"/>
    <n v="65700.991015753068"/>
    <n v="5912.7268073012074"/>
    <n v="56569.273192698805"/>
    <n v="62482.000000000015"/>
    <n v="127754.46877176243"/>
  </r>
  <r>
    <x v="25"/>
    <x v="7"/>
    <n v="0"/>
    <n v="3083.6859871711818"/>
    <n v="3464.2501847576555"/>
    <n v="3083.6859871711818"/>
    <n v="23072"/>
    <n v="63140.113889649991"/>
    <n v="6547.9361719288372"/>
    <n v="64860.063828071172"/>
    <n v="71408.000000000015"/>
    <n v="119463.67813639005"/>
  </r>
  <r>
    <x v="25"/>
    <x v="8"/>
    <n v="0"/>
    <n v="3415.6299996173443"/>
    <n v="3767.0549248162256"/>
    <n v="3415.6299996173443"/>
    <n v="25956"/>
    <n v="60588.057902096152"/>
    <n v="7182.6849244335699"/>
    <n v="73151.315075566439"/>
    <n v="80334.000000000015"/>
    <n v="111172.42688889478"/>
  </r>
  <r>
    <x v="25"/>
    <x v="9"/>
    <n v="0"/>
    <n v="3723.8821188617076"/>
    <n v="4030.2322308598709"/>
    <n v="3723.8821188617076"/>
    <n v="28840"/>
    <n v="58012.310021340512"/>
    <n v="7754.114349721578"/>
    <n v="81505.885650278433"/>
    <n v="89260.000000000015"/>
    <n v="102817.85631418281"/>
  </r>
  <r>
    <x v="25"/>
    <x v="10"/>
    <n v="0"/>
    <n v="4028.8679317382839"/>
    <n v="4271.1142130254721"/>
    <n v="4028.8679317382839"/>
    <n v="31724"/>
    <n v="55433.29583421709"/>
    <n v="8299.9821447637551"/>
    <n v="89886.017855236249"/>
    <n v="98186"/>
    <n v="94437.724109224975"/>
  </r>
  <r>
    <x v="25"/>
    <x v="11"/>
    <n v="0"/>
    <n v="4310.8943162975747"/>
    <n v="4474.0441015028418"/>
    <n v="4310.8943162975747"/>
    <n v="34608"/>
    <n v="52831.322218776382"/>
    <n v="8784.9384178004166"/>
    <n v="98327.061582199589"/>
    <n v="107112"/>
    <n v="85996.680382261635"/>
  </r>
  <r>
    <x v="26"/>
    <x v="0"/>
    <n v="0"/>
    <n v="277.74801152221914"/>
    <n v="178.30241732659479"/>
    <n v="277.74801152221914"/>
    <n v="2884"/>
    <n v="50225.070230298603"/>
    <n v="456.05042884881391"/>
    <n v="8469.9495711511863"/>
    <n v="8926"/>
    <n v="77526.73081111045"/>
  </r>
  <r>
    <x v="26"/>
    <x v="1"/>
    <n v="0"/>
    <n v="541.79427800145197"/>
    <n v="325.0806325532443"/>
    <n v="541.79427800145197"/>
    <n v="5768"/>
    <n v="47605.116496777839"/>
    <n v="866.87491055469627"/>
    <n v="16985.125089445304"/>
    <n v="17852"/>
    <n v="69011.555292816338"/>
  </r>
  <r>
    <x v="26"/>
    <x v="2"/>
    <n v="0"/>
    <n v="783.99345973985317"/>
    <n v="436.45276207016786"/>
    <n v="783.99345973985317"/>
    <n v="8652"/>
    <n v="44963.315678516243"/>
    <n v="1220.4462218100211"/>
    <n v="25557.55377818998"/>
    <n v="26778"/>
    <n v="60439.126604071658"/>
  </r>
  <r>
    <x v="26"/>
    <x v="3"/>
    <n v="0"/>
    <n v="1020.3773130426061"/>
    <n v="519.6532655748731"/>
    <n v="1020.3773130426061"/>
    <n v="11536"/>
    <n v="42315.699531818995"/>
    <n v="1540.0305786174793"/>
    <n v="34163.969421382521"/>
    <n v="35704"/>
    <n v="51832.710960879122"/>
  </r>
  <r>
    <x v="26"/>
    <x v="4"/>
    <n v="0"/>
    <n v="1235.6656802496962"/>
    <n v="569.16779900990093"/>
    <n v="1235.6656802496962"/>
    <n v="14420"/>
    <n v="39646.987899026084"/>
    <n v="1804.833479259597"/>
    <n v="42825.1665207404"/>
    <n v="44630"/>
    <n v="43171.513861521235"/>
  </r>
  <r>
    <x v="26"/>
    <x v="5"/>
    <n v="0"/>
    <n v="1444.1002147139184"/>
    <n v="588.11622995840571"/>
    <n v="1444.1002147139184"/>
    <n v="17304"/>
    <n v="36971.422433490305"/>
    <n v="2032.2164446723241"/>
    <n v="51523.783555327675"/>
    <n v="53556"/>
    <n v="34472.89682693396"/>
  </r>
  <r>
    <x v="26"/>
    <x v="6"/>
    <n v="0"/>
    <n v="1638.4686051457663"/>
    <n v="588.11622995840571"/>
    <n v="1638.4686051457663"/>
    <n v="20188"/>
    <n v="34281.790823922151"/>
    <n v="2226.5848351041723"/>
    <n v="54213.415164895829"/>
    <n v="56440"/>
    <n v="34281.790823922151"/>
  </r>
  <r>
    <x v="26"/>
    <x v="7"/>
    <n v="0"/>
    <n v="1801.2554540663741"/>
    <n v="588.11622995840571"/>
    <n v="1801.2554540663741"/>
    <n v="23072"/>
    <n v="31560.577672842759"/>
    <n v="2389.3716840247798"/>
    <n v="56934.62831597522"/>
    <n v="59324"/>
    <n v="31560.577672842759"/>
  </r>
  <r>
    <x v="26"/>
    <x v="8"/>
    <n v="0"/>
    <n v="1967.1776252894369"/>
    <n v="588.11622995840571"/>
    <n v="1967.1776252894369"/>
    <n v="25956"/>
    <n v="28842.499844065824"/>
    <n v="2555.2938552478427"/>
    <n v="59652.706144752156"/>
    <n v="62208"/>
    <n v="28842.499844065824"/>
  </r>
  <r>
    <x v="26"/>
    <x v="9"/>
    <n v="0"/>
    <n v="2113.9187820303418"/>
    <n v="588.11622995840571"/>
    <n v="2113.9187820303418"/>
    <n v="28840"/>
    <n v="26105.241000806727"/>
    <n v="2702.0350119887476"/>
    <n v="62389.964988011248"/>
    <n v="65091.999999999993"/>
    <n v="26105.241000806727"/>
  </r>
  <r>
    <x v="26"/>
    <x v="10"/>
    <n v="0"/>
    <n v="2251.1608284863637"/>
    <n v="588.11622995840571"/>
    <n v="2251.1608284863637"/>
    <n v="31724"/>
    <n v="23358.483047262751"/>
    <n v="2839.2770584447694"/>
    <n v="65136.722941555228"/>
    <n v="67976"/>
    <n v="23358.483047262751"/>
  </r>
  <r>
    <x v="26"/>
    <x v="11"/>
    <n v="0"/>
    <n v="2370.0011107295609"/>
    <n v="588.11622995840571"/>
    <n v="2370.0011107295609"/>
    <n v="34608"/>
    <n v="20593.323329505947"/>
    <n v="2958.1173406879666"/>
    <n v="67901.882659312032"/>
    <n v="70860"/>
    <n v="20593.323329505947"/>
  </r>
  <r>
    <x v="27"/>
    <x v="0"/>
    <n v="0"/>
    <n v="108.26446064928484"/>
    <n v="0"/>
    <n v="108.26446064928484"/>
    <n v="2884"/>
    <n v="17817.58779015523"/>
    <n v="108.26446064928484"/>
    <n v="2775.735539350715"/>
    <n v="2884"/>
    <n v="17817.58779015523"/>
  </r>
  <r>
    <x v="27"/>
    <x v="1"/>
    <n v="0"/>
    <n v="201.93615711648724"/>
    <n v="0"/>
    <n v="201.93615711648724"/>
    <n v="5768"/>
    <n v="15027.259486622432"/>
    <n v="201.93615711648724"/>
    <n v="5566.0638428835127"/>
    <n v="5768"/>
    <n v="15027.259486622432"/>
  </r>
  <r>
    <x v="27"/>
    <x v="2"/>
    <n v="0"/>
    <n v="278.38991291554987"/>
    <n v="0"/>
    <n v="278.38991291554987"/>
    <n v="8652"/>
    <n v="12219.713242421494"/>
    <n v="278.38991291554987"/>
    <n v="8373.6100870844493"/>
    <n v="8652"/>
    <n v="12219.713242421494"/>
  </r>
  <r>
    <x v="27"/>
    <x v="3"/>
    <n v="0"/>
    <n v="342.63212590426934"/>
    <n v="0"/>
    <n v="342.63212590426934"/>
    <n v="11536"/>
    <n v="9399.9554554102142"/>
    <n v="342.63212590426934"/>
    <n v="11193.367874095729"/>
    <n v="11535.999999999998"/>
    <n v="9399.9554554102142"/>
  </r>
  <r>
    <x v="27"/>
    <x v="4"/>
    <n v="0"/>
    <n v="390.45600886508242"/>
    <n v="0"/>
    <n v="390.45600886508242"/>
    <n v="14420"/>
    <n v="6563.7793383710268"/>
    <n v="390.45600886508242"/>
    <n v="14029.543991134917"/>
    <n v="14420"/>
    <n v="6563.7793383710268"/>
  </r>
  <r>
    <x v="27"/>
    <x v="5"/>
    <n v="0"/>
    <n v="424.96350522782257"/>
    <n v="0"/>
    <n v="424.96350522782257"/>
    <n v="17304"/>
    <n v="3714.2868347337671"/>
    <n v="424.96350522782257"/>
    <n v="16879.036494772176"/>
    <n v="17303.999999999996"/>
    <n v="3714.2868347337671"/>
  </r>
  <r>
    <x v="27"/>
    <x v="6"/>
    <n v="0"/>
    <n v="444.49047785020787"/>
    <n v="0"/>
    <n v="444.49047785020787"/>
    <n v="20188"/>
    <n v="849.81380735615221"/>
    <n v="444.49047785020787"/>
    <n v="19743.50952214979"/>
    <n v="20188"/>
    <n v="849.81380735615221"/>
  </r>
  <r>
    <x v="27"/>
    <x v="7"/>
    <n v="0"/>
    <n v="448.52581289379606"/>
    <n v="0"/>
    <n v="448.52581289379606"/>
    <n v="23072"/>
    <n v="-2030.1508576002598"/>
    <n v="448.52581289379606"/>
    <n v="22623.474187106203"/>
    <n v="23072"/>
    <n v="-2030.1508576002598"/>
  </r>
  <r>
    <x v="27"/>
    <x v="8"/>
    <n v="0"/>
    <n v="448.52581289379606"/>
    <n v="0"/>
    <n v="448.52581289379606"/>
    <n v="23072"/>
    <n v="0"/>
    <n v="448.52581289379606"/>
    <n v="22623.474187106203"/>
    <n v="23072"/>
    <n v="0"/>
  </r>
  <r>
    <x v="27"/>
    <x v="9"/>
    <n v="0"/>
    <n v="448.52581289379606"/>
    <n v="0"/>
    <n v="448.52581289379606"/>
    <n v="23072"/>
    <n v="0"/>
    <n v="448.52581289379606"/>
    <n v="22623.474187106203"/>
    <n v="23072"/>
    <n v="0"/>
  </r>
  <r>
    <x v="27"/>
    <x v="10"/>
    <n v="0"/>
    <n v="448.52581289379606"/>
    <n v="0"/>
    <n v="448.52581289379606"/>
    <n v="23072"/>
    <n v="0"/>
    <n v="448.52581289379606"/>
    <n v="22623.474187106203"/>
    <n v="23072"/>
    <n v="0"/>
  </r>
  <r>
    <x v="27"/>
    <x v="11"/>
    <n v="0"/>
    <n v="448.52581289379606"/>
    <n v="0"/>
    <n v="448.52581289379606"/>
    <n v="23072"/>
    <n v="0"/>
    <n v="448.52581289379606"/>
    <n v="22623.474187106203"/>
    <n v="23072"/>
    <n v="0"/>
  </r>
  <r>
    <x v="28"/>
    <x v="0"/>
    <n v="0"/>
    <n v="0"/>
    <n v="0"/>
    <n v="0"/>
    <n v="0"/>
    <n v="0"/>
    <n v="0"/>
    <n v="0"/>
    <n v="0"/>
    <n v="0"/>
  </r>
  <r>
    <x v="28"/>
    <x v="1"/>
    <n v="0"/>
    <n v="0"/>
    <n v="0"/>
    <n v="0"/>
    <n v="0"/>
    <n v="0"/>
    <n v="0"/>
    <n v="0"/>
    <n v="0"/>
    <n v="0"/>
  </r>
  <r>
    <x v="28"/>
    <x v="2"/>
    <n v="0"/>
    <n v="0"/>
    <n v="0"/>
    <n v="0"/>
    <n v="0"/>
    <n v="0"/>
    <n v="0"/>
    <n v="0"/>
    <n v="0"/>
    <n v="0"/>
  </r>
  <r>
    <x v="28"/>
    <x v="3"/>
    <n v="0"/>
    <n v="0"/>
    <n v="0"/>
    <n v="0"/>
    <n v="0"/>
    <n v="0"/>
    <n v="0"/>
    <n v="0"/>
    <n v="0"/>
    <n v="0"/>
  </r>
  <r>
    <x v="28"/>
    <x v="4"/>
    <n v="0"/>
    <n v="0"/>
    <n v="0"/>
    <n v="0"/>
    <n v="0"/>
    <n v="0"/>
    <n v="0"/>
    <n v="0"/>
    <n v="0"/>
    <n v="0"/>
  </r>
  <r>
    <x v="28"/>
    <x v="5"/>
    <n v="0"/>
    <n v="0"/>
    <n v="0"/>
    <n v="0"/>
    <n v="0"/>
    <n v="0"/>
    <n v="0"/>
    <n v="0"/>
    <n v="0"/>
    <n v="0"/>
  </r>
  <r>
    <x v="28"/>
    <x v="6"/>
    <n v="0"/>
    <n v="0"/>
    <n v="0"/>
    <n v="0"/>
    <n v="0"/>
    <n v="0"/>
    <n v="0"/>
    <n v="0"/>
    <n v="0"/>
    <n v="0"/>
  </r>
  <r>
    <x v="28"/>
    <x v="7"/>
    <n v="0"/>
    <n v="0"/>
    <n v="0"/>
    <n v="0"/>
    <n v="0"/>
    <n v="0"/>
    <n v="0"/>
    <n v="0"/>
    <n v="0"/>
    <n v="0"/>
  </r>
  <r>
    <x v="28"/>
    <x v="8"/>
    <n v="0"/>
    <n v="0"/>
    <n v="0"/>
    <n v="0"/>
    <n v="0"/>
    <n v="0"/>
    <n v="0"/>
    <n v="0"/>
    <n v="0"/>
    <n v="0"/>
  </r>
  <r>
    <x v="28"/>
    <x v="9"/>
    <n v="0"/>
    <n v="0"/>
    <n v="0"/>
    <n v="0"/>
    <n v="0"/>
    <n v="0"/>
    <n v="0"/>
    <n v="0"/>
    <n v="0"/>
    <n v="0"/>
  </r>
  <r>
    <x v="28"/>
    <x v="10"/>
    <n v="0"/>
    <n v="0"/>
    <n v="0"/>
    <n v="0"/>
    <n v="0"/>
    <n v="0"/>
    <n v="0"/>
    <n v="0"/>
    <n v="0"/>
    <n v="0"/>
  </r>
  <r>
    <x v="28"/>
    <x v="11"/>
    <n v="0"/>
    <n v="0"/>
    <n v="0"/>
    <n v="0"/>
    <n v="0"/>
    <n v="0"/>
    <n v="0"/>
    <n v="0"/>
    <n v="0"/>
    <n v="0"/>
  </r>
  <r>
    <x v="29"/>
    <x v="0"/>
    <n v="0"/>
    <n v="0"/>
    <n v="0"/>
    <n v="0"/>
    <n v="0"/>
    <n v="0"/>
    <n v="0"/>
    <n v="0"/>
    <n v="0"/>
    <n v="0"/>
  </r>
  <r>
    <x v="29"/>
    <x v="1"/>
    <n v="0"/>
    <n v="0"/>
    <n v="0"/>
    <n v="0"/>
    <n v="0"/>
    <n v="0"/>
    <n v="0"/>
    <n v="0"/>
    <n v="0"/>
    <n v="0"/>
  </r>
  <r>
    <x v="29"/>
    <x v="2"/>
    <n v="0"/>
    <n v="0"/>
    <n v="0"/>
    <n v="0"/>
    <n v="0"/>
    <n v="0"/>
    <n v="0"/>
    <n v="0"/>
    <n v="0"/>
    <n v="0"/>
  </r>
  <r>
    <x v="29"/>
    <x v="3"/>
    <n v="0"/>
    <n v="0"/>
    <n v="0"/>
    <n v="0"/>
    <n v="0"/>
    <n v="0"/>
    <n v="0"/>
    <n v="0"/>
    <n v="0"/>
    <n v="0"/>
  </r>
  <r>
    <x v="29"/>
    <x v="4"/>
    <n v="0"/>
    <n v="0"/>
    <n v="0"/>
    <n v="0"/>
    <n v="0"/>
    <n v="0"/>
    <n v="0"/>
    <n v="0"/>
    <n v="0"/>
    <n v="0"/>
  </r>
  <r>
    <x v="29"/>
    <x v="5"/>
    <n v="0"/>
    <n v="0"/>
    <n v="0"/>
    <n v="0"/>
    <n v="0"/>
    <n v="0"/>
    <n v="0"/>
    <n v="0"/>
    <n v="0"/>
    <n v="0"/>
  </r>
  <r>
    <x v="29"/>
    <x v="6"/>
    <n v="0"/>
    <n v="0"/>
    <n v="0"/>
    <n v="0"/>
    <n v="0"/>
    <n v="0"/>
    <n v="0"/>
    <n v="0"/>
    <n v="0"/>
    <n v="0"/>
  </r>
  <r>
    <x v="29"/>
    <x v="7"/>
    <n v="0"/>
    <n v="0"/>
    <n v="0"/>
    <n v="0"/>
    <n v="0"/>
    <n v="0"/>
    <n v="0"/>
    <n v="0"/>
    <n v="0"/>
    <n v="0"/>
  </r>
  <r>
    <x v="29"/>
    <x v="8"/>
    <n v="0"/>
    <n v="0"/>
    <n v="0"/>
    <n v="0"/>
    <n v="0"/>
    <n v="0"/>
    <n v="0"/>
    <n v="0"/>
    <n v="0"/>
    <n v="0"/>
  </r>
  <r>
    <x v="29"/>
    <x v="9"/>
    <n v="0"/>
    <n v="0"/>
    <n v="0"/>
    <n v="0"/>
    <n v="0"/>
    <n v="0"/>
    <n v="0"/>
    <n v="0"/>
    <n v="0"/>
    <n v="0"/>
  </r>
  <r>
    <x v="29"/>
    <x v="10"/>
    <n v="0"/>
    <n v="0"/>
    <n v="0"/>
    <n v="0"/>
    <n v="0"/>
    <n v="0"/>
    <n v="0"/>
    <n v="0"/>
    <n v="0"/>
    <n v="0"/>
  </r>
</pivotCacheRecords>
</file>

<file path=xl/pivotCache/pivotCacheRecords2.xml><?xml version="1.0" encoding="utf-8"?>
<pivotCacheRecords xmlns="http://schemas.openxmlformats.org/spreadsheetml/2006/main" xmlns:r="http://schemas.openxmlformats.org/officeDocument/2006/relationships" count="19">
  <r>
    <x v="0"/>
    <x v="0"/>
    <s v="Mercer"/>
    <m/>
    <n v="213500"/>
    <n v="7.1999999999999995E-2"/>
    <n v="213500"/>
    <n v="228872"/>
    <n v="245350.78400000001"/>
    <n v="263016.04044800001"/>
    <n v="281953.19536025601"/>
    <n v="302253.82542619447"/>
    <n v="324016.10085688048"/>
    <n v="347345.26011857588"/>
    <n v="372354.11884711339"/>
    <n v="399163.61540410557"/>
    <n v="427903.3957132012"/>
    <n v="458712.44020455173"/>
    <n v="491739.73589927948"/>
    <n v="527144.99688402761"/>
    <n v="565099.43665967765"/>
    <n v="605786.59609917447"/>
    <n v="649403.23101831507"/>
    <n v="696160.26365163375"/>
    <n v="746283.80263455142"/>
    <n v="800016.23642423912"/>
    <n v="857617.40544678434"/>
    <n v="919365.85863895284"/>
    <n v="985560.20046095748"/>
    <n v="1056520.5348941465"/>
    <n v="1132590.0134065251"/>
    <n v="1214136.4943717951"/>
    <n v="1301554.3219665645"/>
    <n v="1395266.2331481571"/>
    <n v="1495725.4019348244"/>
    <n v="1603417.6308741318"/>
  </r>
  <r>
    <x v="0"/>
    <x v="0"/>
    <s v="ART"/>
    <m/>
    <n v="213200"/>
    <n v="7.1999999999999995E-2"/>
    <n v="213200"/>
    <n v="228550.40000000002"/>
    <n v="245006.02880000003"/>
    <n v="262646.46287360007"/>
    <n v="281557.00820049929"/>
    <n v="301829.11279093527"/>
    <n v="323560.80891188263"/>
    <n v="346857.18715353822"/>
    <n v="371830.90462859301"/>
    <n v="398602.72976185172"/>
    <n v="427302.12630470505"/>
    <n v="458067.87939864385"/>
    <n v="491048.76671534625"/>
    <n v="526404.27791885124"/>
    <n v="564305.3859290086"/>
    <n v="604935.37371589721"/>
    <n v="648490.72062344186"/>
    <n v="695182.05250832974"/>
    <n v="745235.16028892947"/>
    <n v="798892.09182973241"/>
    <n v="856412.32244147314"/>
    <n v="918074.00965725922"/>
    <n v="984175.33835258195"/>
    <n v="1055035.962713968"/>
    <n v="1130998.5520293738"/>
    <n v="1212430.4477754887"/>
    <n v="1299725.4400153239"/>
    <n v="1393305.6716964273"/>
    <n v="1493623.6800585701"/>
    <n v="1601164.5850227873"/>
  </r>
  <r>
    <x v="1"/>
    <x v="1"/>
    <m/>
    <m/>
    <n v="10888"/>
    <n v="0.06"/>
    <n v="10888"/>
    <n v="11541.28"/>
    <n v="12233.756800000001"/>
    <n v="12967.782208000002"/>
    <n v="13745.849140480002"/>
    <n v="14570.600088908803"/>
    <n v="15444.836094243332"/>
    <n v="16371.526259897933"/>
    <n v="17353.817835491809"/>
    <n v="18395.046905621319"/>
    <n v="19498.7497199586"/>
    <n v="20668.674703156117"/>
    <n v="21908.795185345487"/>
    <n v="23223.322896466216"/>
    <n v="24616.722270254191"/>
    <n v="26093.725606469445"/>
    <n v="27659.349142857613"/>
    <n v="29318.910091429072"/>
    <n v="31078.044696914818"/>
    <n v="32942.727378729709"/>
    <n v="34919.291021453493"/>
    <n v="37014.448482740707"/>
    <n v="39235.315391705153"/>
    <n v="41589.434315207465"/>
    <n v="44084.800374119914"/>
    <n v="46729.888396567112"/>
    <n v="49533.681700361143"/>
    <n v="52505.702602382815"/>
    <n v="55656.044758525786"/>
    <n v="58995.407444037337"/>
  </r>
  <r>
    <x v="1"/>
    <x v="2"/>
    <s v="4/10 Abraham Street, Rooty Hill, New South Wales, 2766"/>
    <n v="424500"/>
    <n v="850000"/>
    <n v="0.06"/>
    <n v="850000"/>
    <n v="901000"/>
    <n v="955060"/>
    <n v="1012363.6000000001"/>
    <n v="1073105.4160000002"/>
    <n v="1137491.7409600003"/>
    <n v="1205741.2454176005"/>
    <n v="1278085.7201426567"/>
    <n v="1354770.8633512161"/>
    <n v="1436057.1151522892"/>
    <n v="1522220.5420614267"/>
    <n v="1613553.7745851125"/>
    <n v="1710367.0010602192"/>
    <n v="1812989.0211238326"/>
    <n v="1921768.3623912625"/>
    <n v="2037074.4641347383"/>
    <n v="2159298.9319828227"/>
    <n v="2288856.8679017923"/>
    <n v="2426188.2799759"/>
    <n v="2571759.5767744542"/>
    <n v="2726065.1513809217"/>
    <n v="2889629.0604637773"/>
    <n v="3063006.804091604"/>
    <n v="3246787.2123371004"/>
    <n v="3441594.4450773266"/>
    <n v="3648090.1117819664"/>
    <n v="3866975.5184888844"/>
    <n v="4098994.0495982179"/>
    <n v="4344933.6925741108"/>
    <n v="4605629.7141285576"/>
  </r>
  <r>
    <x v="1"/>
    <x v="2"/>
    <s v="4/304 Great Western Highway Way, Wentworthville, New South Wales, 2145"/>
    <n v="617500"/>
    <n v="565000"/>
    <n v="1.4999999999999999E-2"/>
    <n v="565000"/>
    <n v="573475"/>
    <n v="582077.125"/>
    <n v="590808.28187499999"/>
    <n v="599670.40610312496"/>
    <n v="608665.46219467174"/>
    <n v="617795.44412759179"/>
    <n v="627062.37578950566"/>
    <n v="636468.31142634817"/>
    <n v="646015.33609774336"/>
    <n v="655705.56613920943"/>
    <n v="665541.14963129757"/>
    <n v="675524.26687576692"/>
    <n v="685657.13087890332"/>
    <n v="695941.98784208682"/>
    <n v="706381.11765971803"/>
    <n v="716976.83442461374"/>
    <n v="727731.48694098287"/>
    <n v="738647.45924509759"/>
    <n v="749727.17113377398"/>
    <n v="760973.07870078052"/>
    <n v="772387.67488129216"/>
    <n v="783973.49000451143"/>
    <n v="795733.09235457901"/>
    <n v="807669.08873989759"/>
    <n v="819784.125070996"/>
    <n v="832080.88694706082"/>
    <n v="844562.10025126662"/>
    <n v="857230.53175503551"/>
    <n v="870088.98973136093"/>
  </r>
  <r>
    <x v="1"/>
    <x v="2"/>
    <s v="403/335 Anketell Street, Greenway, Australian Capital Territory, 2900"/>
    <n v="506000"/>
    <n v="515000"/>
    <n v="0.03"/>
    <n v="515000"/>
    <n v="530450"/>
    <n v="546363.5"/>
    <n v="562754.40500000003"/>
    <n v="579637.03714999999"/>
    <n v="597026.14826449996"/>
    <n v="614936.93271243502"/>
    <n v="633385.04069380811"/>
    <n v="652386.59191462235"/>
    <n v="671958.18967206101"/>
    <n v="692116.93536222284"/>
    <n v="712880.44342308957"/>
    <n v="734266.85672578227"/>
    <n v="756294.86242755572"/>
    <n v="778983.70830038236"/>
    <n v="802353.21954939386"/>
    <n v="826423.81613587565"/>
    <n v="851216.5306199519"/>
    <n v="876753.0265385505"/>
    <n v="903055.61733470706"/>
    <n v="930147.28585474833"/>
    <n v="958051.70443039085"/>
    <n v="986793.25556330255"/>
    <n v="1016397.0532302016"/>
    <n v="1046888.9648271076"/>
    <n v="1078295.6337719208"/>
    <n v="1110644.5027850785"/>
    <n v="1143963.8378686309"/>
    <n v="1178282.7530046899"/>
    <n v="1213631.2355948307"/>
  </r>
  <r>
    <x v="2"/>
    <x v="2"/>
    <s v="8 Shane Street, Colyton, New South Wales, 2760"/>
    <n v="961500"/>
    <n v="1200000"/>
    <n v="0.06"/>
    <n v="1200000"/>
    <n v="1272000"/>
    <n v="1348320"/>
    <n v="1429219.2000000002"/>
    <n v="1514972.3520000002"/>
    <n v="1605870.6931200002"/>
    <n v="1702222.9347072004"/>
    <n v="1804356.3107896326"/>
    <n v="1912617.6894370106"/>
    <n v="2027374.7508032313"/>
    <n v="2149017.2358514252"/>
    <n v="2277958.2700025109"/>
    <n v="2414635.7662026617"/>
    <n v="2559513.9121748214"/>
    <n v="2713084.746905311"/>
    <n v="2875869.8317196299"/>
    <n v="3048422.0216228077"/>
    <n v="3231327.3429201762"/>
    <n v="3425206.9834953868"/>
    <n v="3630719.40250511"/>
    <n v="3848562.566655417"/>
    <n v="4079476.3206547424"/>
    <n v="4324244.899894027"/>
    <n v="4583699.593887669"/>
    <n v="4858721.5695209298"/>
    <n v="5150244.8636921858"/>
    <n v="5459259.5555137172"/>
    <n v="5786815.1288445406"/>
    <n v="6134024.0365752131"/>
    <n v="6502065.4787697261"/>
  </r>
  <r>
    <x v="0"/>
    <x v="3"/>
    <s v="Jeff Offset WW xx9474"/>
    <m/>
    <n v="38331.49"/>
    <m/>
    <m/>
    <m/>
    <m/>
    <m/>
    <m/>
    <m/>
    <m/>
    <m/>
    <m/>
    <m/>
    <m/>
    <m/>
    <m/>
    <m/>
    <m/>
    <m/>
    <m/>
    <m/>
    <m/>
    <m/>
    <m/>
    <m/>
    <m/>
    <m/>
    <m/>
    <m/>
    <m/>
    <m/>
    <m/>
    <m/>
  </r>
  <r>
    <x v="1"/>
    <x v="3"/>
    <s v="RH Offset xx5182"/>
    <m/>
    <n v="60679.23"/>
    <m/>
    <m/>
    <m/>
    <m/>
    <m/>
    <m/>
    <m/>
    <m/>
    <m/>
    <m/>
    <m/>
    <m/>
    <m/>
    <m/>
    <m/>
    <m/>
    <m/>
    <m/>
    <m/>
    <m/>
    <m/>
    <m/>
    <m/>
    <m/>
    <m/>
    <m/>
    <m/>
    <m/>
    <m/>
    <m/>
    <m/>
  </r>
  <r>
    <x v="1"/>
    <x v="3"/>
    <s v="RH Offset xx5190"/>
    <m/>
    <n v="21747.040000000001"/>
    <m/>
    <m/>
    <m/>
    <m/>
    <m/>
    <m/>
    <m/>
    <m/>
    <m/>
    <m/>
    <m/>
    <m/>
    <m/>
    <m/>
    <m/>
    <m/>
    <m/>
    <m/>
    <m/>
    <m/>
    <m/>
    <m/>
    <m/>
    <m/>
    <m/>
    <m/>
    <m/>
    <m/>
    <m/>
    <m/>
    <m/>
  </r>
  <r>
    <x v="3"/>
    <x v="3"/>
    <s v="Tin - Cash xx5865"/>
    <m/>
    <n v="936.68"/>
    <m/>
    <m/>
    <m/>
    <m/>
    <m/>
    <m/>
    <m/>
    <m/>
    <m/>
    <m/>
    <m/>
    <m/>
    <m/>
    <m/>
    <m/>
    <m/>
    <m/>
    <m/>
    <m/>
    <m/>
    <m/>
    <m/>
    <m/>
    <m/>
    <m/>
    <m/>
    <m/>
    <m/>
    <m/>
    <m/>
    <m/>
  </r>
  <r>
    <x v="3"/>
    <x v="3"/>
    <s v="Tin - Rent and Salary xx1575"/>
    <m/>
    <n v="3323"/>
    <m/>
    <m/>
    <m/>
    <m/>
    <m/>
    <m/>
    <m/>
    <m/>
    <m/>
    <m/>
    <m/>
    <m/>
    <m/>
    <m/>
    <m/>
    <m/>
    <m/>
    <m/>
    <m/>
    <m/>
    <m/>
    <m/>
    <m/>
    <m/>
    <m/>
    <m/>
    <m/>
    <m/>
    <m/>
    <m/>
    <m/>
  </r>
  <r>
    <x v="1"/>
    <x v="3"/>
    <s v="WW Offset xx6867"/>
    <m/>
    <n v="47864.37"/>
    <m/>
    <m/>
    <m/>
    <m/>
    <m/>
    <m/>
    <m/>
    <m/>
    <m/>
    <m/>
    <m/>
    <m/>
    <m/>
    <m/>
    <m/>
    <m/>
    <m/>
    <m/>
    <m/>
    <m/>
    <m/>
    <m/>
    <m/>
    <m/>
    <m/>
    <m/>
    <m/>
    <m/>
    <m/>
    <m/>
    <m/>
  </r>
  <r>
    <x v="1"/>
    <x v="3"/>
    <s v="BD Offset xx1893"/>
    <m/>
    <n v="36081.46"/>
    <m/>
    <m/>
    <m/>
    <m/>
    <m/>
    <m/>
    <m/>
    <m/>
    <m/>
    <m/>
    <m/>
    <m/>
    <m/>
    <m/>
    <m/>
    <m/>
    <m/>
    <m/>
    <m/>
    <m/>
    <m/>
    <m/>
    <m/>
    <m/>
    <m/>
    <m/>
    <m/>
    <m/>
    <m/>
    <m/>
    <m/>
  </r>
  <r>
    <x v="2"/>
    <x v="3"/>
    <s v="Magiting Inv Trustee xx2243"/>
    <m/>
    <n v="979.42"/>
    <m/>
    <m/>
    <m/>
    <m/>
    <m/>
    <m/>
    <m/>
    <m/>
    <m/>
    <m/>
    <m/>
    <m/>
    <m/>
    <m/>
    <m/>
    <m/>
    <m/>
    <m/>
    <m/>
    <m/>
    <m/>
    <m/>
    <m/>
    <m/>
    <m/>
    <m/>
    <m/>
    <m/>
    <m/>
    <m/>
    <m/>
  </r>
  <r>
    <x v="0"/>
    <x v="4"/>
    <s v="WBC Shares (Tradeable)"/>
    <m/>
    <n v="6617"/>
    <m/>
    <m/>
    <m/>
    <m/>
    <m/>
    <m/>
    <m/>
    <m/>
    <m/>
    <m/>
    <m/>
    <m/>
    <m/>
    <m/>
    <m/>
    <m/>
    <m/>
    <m/>
    <m/>
    <m/>
    <m/>
    <m/>
    <m/>
    <m/>
    <m/>
    <m/>
    <m/>
    <m/>
    <m/>
    <m/>
    <m/>
  </r>
  <r>
    <x v="0"/>
    <x v="4"/>
    <s v="CBA Shares (ESS)"/>
    <m/>
    <n v="30123"/>
    <m/>
    <m/>
    <m/>
    <m/>
    <m/>
    <m/>
    <m/>
    <m/>
    <m/>
    <m/>
    <m/>
    <m/>
    <m/>
    <m/>
    <m/>
    <m/>
    <m/>
    <m/>
    <m/>
    <m/>
    <m/>
    <m/>
    <m/>
    <m/>
    <m/>
    <m/>
    <m/>
    <m/>
    <m/>
    <m/>
    <m/>
  </r>
  <r>
    <x v="0"/>
    <x v="4"/>
    <s v="CBA Shares (Renounceable Rights Allotment)"/>
    <m/>
    <n v="325"/>
    <m/>
    <m/>
    <m/>
    <m/>
    <m/>
    <m/>
    <m/>
    <m/>
    <m/>
    <m/>
    <m/>
    <m/>
    <m/>
    <m/>
    <m/>
    <m/>
    <m/>
    <m/>
    <m/>
    <m/>
    <m/>
    <m/>
    <m/>
    <m/>
    <m/>
    <m/>
    <m/>
    <m/>
    <m/>
    <m/>
    <m/>
  </r>
  <r>
    <x v="1"/>
    <x v="5"/>
    <s v="Futurity / ASG Education Bond Fund xx3689"/>
    <m/>
    <n v="51148.45"/>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count="23">
  <r>
    <x v="0"/>
    <n v="1"/>
    <s v="PAYG"/>
    <s v="PAYG"/>
    <n v="190026"/>
    <n v="2.5000000000000001E-2"/>
    <n v="190026"/>
    <n v="194776.65"/>
    <n v="199646.06624999997"/>
    <n v="204637.21790624995"/>
    <n v="209753.14835390617"/>
    <n v="214996.97706275381"/>
    <n v="220371.90148932263"/>
    <n v="225881.19902655567"/>
    <n v="231528.22900221954"/>
    <n v="237316.43472727502"/>
    <n v="243249.34559545686"/>
    <n v="249330.57923534326"/>
    <n v="255563.84371622681"/>
    <n v="261952.93980913245"/>
    <n v="268501.76330436073"/>
    <n v="275214.30738696974"/>
    <n v="282094.66507164395"/>
    <n v="289147.03169843502"/>
    <n v="296375.70749089587"/>
    <n v="303785.10017816827"/>
    <n v="311379.72768262244"/>
    <n v="319164.22087468795"/>
    <n v="327143.32639655512"/>
    <n v="335321.90955646895"/>
    <n v="343704.95729538065"/>
    <n v="352297.58122776513"/>
    <n v="361105.02075845923"/>
    <n v="370132.64627742069"/>
    <n v="379385.96243435616"/>
    <n v="388870.61149521504"/>
  </r>
  <r>
    <x v="1"/>
    <n v="1"/>
    <s v="PAYG"/>
    <s v="PAYG"/>
    <n v="85000"/>
    <n v="2.5000000000000001E-2"/>
    <n v="85000"/>
    <n v="87124.999999999985"/>
    <n v="89303.124999999971"/>
    <n v="91535.703124999956"/>
    <n v="93824.095703124942"/>
    <n v="96169.698095703061"/>
    <n v="98573.940548095634"/>
    <n v="101038.28906179802"/>
    <n v="103564.24628834295"/>
    <n v="106153.35244555151"/>
    <n v="108807.1862566903"/>
    <n v="111527.36591310755"/>
    <n v="114315.55006093523"/>
    <n v="117173.4388124586"/>
    <n v="120102.77478277005"/>
    <n v="123105.3441523393"/>
    <n v="126182.97775614777"/>
    <n v="129337.55220005145"/>
    <n v="132570.99100505273"/>
    <n v="135885.26578017903"/>
    <n v="139282.3974246835"/>
    <n v="142764.45736030058"/>
    <n v="146333.56879430808"/>
    <n v="149991.90801416576"/>
    <n v="153741.70571451989"/>
    <n v="157585.24835738286"/>
    <n v="161524.87956631742"/>
    <n v="165563.00155547535"/>
    <n v="169702.07659436221"/>
    <n v="173944.62850922125"/>
  </r>
  <r>
    <x v="0"/>
    <n v="1"/>
    <s v="PAYG"/>
    <s v="Jeff - STVR 2025"/>
    <n v="23287.5"/>
    <n v="2.5000000000000001E-2"/>
    <n v="23287.5"/>
    <n v="23869.687499999996"/>
    <n v="24466.429687499993"/>
    <n v="25078.090429687491"/>
    <n v="25705.042690429676"/>
    <n v="26347.668757690415"/>
    <n v="27006.360476632672"/>
    <n v="27681.519488548485"/>
    <n v="28373.557475762194"/>
    <n v="29082.896412656246"/>
    <n v="29809.968822972649"/>
    <n v="30555.218043546964"/>
    <n v="31319.098494635637"/>
    <n v="32102.075957001525"/>
    <n v="32904.627855926563"/>
    <n v="33727.243552324726"/>
    <n v="34570.424641132842"/>
    <n v="35434.68525716116"/>
    <n v="36320.552388590186"/>
    <n v="37228.566198304936"/>
    <n v="38159.280353262555"/>
    <n v="39113.262362094116"/>
    <n v="40091.093921146465"/>
    <n v="41093.371269175121"/>
    <n v="42120.705550904495"/>
    <n v="43173.723189677105"/>
    <n v="44253.066269419025"/>
    <n v="45359.392926154498"/>
    <n v="46493.377749308354"/>
    <n v="47655.712193041058"/>
  </r>
  <r>
    <x v="0"/>
    <n v="0.5"/>
    <s v="Rental Income"/>
    <s v="Black Diamond"/>
    <n v="16120"/>
    <n v="0.03"/>
    <n v="16120"/>
    <n v="16603.600000000002"/>
    <n v="17101.708000000002"/>
    <n v="17614.759240000003"/>
    <n v="18143.202017200005"/>
    <n v="18687.498077716005"/>
    <n v="19248.123020047486"/>
    <n v="19825.566710648909"/>
    <n v="20420.333711968378"/>
    <n v="21032.943723327429"/>
    <n v="21663.932035027254"/>
    <n v="22313.849996078072"/>
    <n v="22983.265495960415"/>
    <n v="23672.763460839229"/>
    <n v="24382.946364664407"/>
    <n v="25114.434755604339"/>
    <n v="25867.867798272469"/>
    <n v="26643.903832220643"/>
    <n v="27443.220947187263"/>
    <n v="28266.51757560288"/>
    <n v="29114.513102870966"/>
    <n v="29987.948495957095"/>
    <n v="30887.586950835808"/>
    <n v="31814.214559360884"/>
    <n v="32768.640996141708"/>
    <n v="33751.700226025961"/>
    <n v="34764.251232806739"/>
    <n v="35807.178769790939"/>
    <n v="36881.39413288467"/>
    <n v="37987.835956871211"/>
  </r>
  <r>
    <x v="1"/>
    <n v="0.5"/>
    <s v="Rental Income"/>
    <s v="Black Diamond"/>
    <n v="16120"/>
    <n v="0.03"/>
    <n v="16120"/>
    <n v="16603.600000000002"/>
    <n v="17101.708000000002"/>
    <n v="17614.759240000003"/>
    <n v="18143.202017200005"/>
    <n v="18687.498077716005"/>
    <n v="19248.123020047486"/>
    <n v="19825.566710648909"/>
    <n v="20420.333711968378"/>
    <n v="21032.943723327429"/>
    <n v="21663.932035027254"/>
    <n v="22313.849996078072"/>
    <n v="22983.265495960415"/>
    <n v="23672.763460839229"/>
    <n v="24382.946364664407"/>
    <n v="25114.434755604339"/>
    <n v="25867.867798272469"/>
    <n v="26643.903832220643"/>
    <n v="27443.220947187263"/>
    <n v="28266.51757560288"/>
    <n v="29114.513102870966"/>
    <n v="29987.948495957095"/>
    <n v="30887.586950835808"/>
    <n v="31814.214559360884"/>
    <n v="32768.640996141708"/>
    <n v="33751.700226025961"/>
    <n v="34764.251232806739"/>
    <n v="35807.178769790939"/>
    <n v="36881.39413288467"/>
    <n v="37987.835956871211"/>
  </r>
  <r>
    <x v="0"/>
    <n v="0.99"/>
    <s v="Rental Income"/>
    <s v="Wentworthville"/>
    <n v="35263.800000000003"/>
    <n v="0.03"/>
    <n v="35263.800000000003"/>
    <n v="36321.714000000007"/>
    <n v="37411.365420000009"/>
    <n v="38533.706382600009"/>
    <n v="39689.717574078008"/>
    <n v="40880.409101300349"/>
    <n v="42106.821374339357"/>
    <n v="43370.026015569536"/>
    <n v="44671.126796036624"/>
    <n v="46011.260599917725"/>
    <n v="47391.598417915258"/>
    <n v="48813.346370452717"/>
    <n v="50277.746761566297"/>
    <n v="51786.079164413284"/>
    <n v="53339.661539345681"/>
    <n v="54939.851385526053"/>
    <n v="56588.04692709184"/>
    <n v="58285.688334904597"/>
    <n v="60034.258984951739"/>
    <n v="61835.286754500296"/>
    <n v="63690.345357135309"/>
    <n v="65601.055717849376"/>
    <n v="67569.087389384862"/>
    <n v="69596.160011066415"/>
    <n v="71684.044811398402"/>
    <n v="73834.566155740351"/>
    <n v="76049.603140412568"/>
    <n v="78331.091234624953"/>
    <n v="80681.023971663701"/>
    <n v="83101.454690813611"/>
  </r>
  <r>
    <x v="1"/>
    <n v="0.01"/>
    <s v="Rental Income"/>
    <s v="Wentworthville"/>
    <n v="356.2"/>
    <n v="0.03"/>
    <n v="356.2"/>
    <n v="366.88600000000002"/>
    <n v="377.89258000000001"/>
    <n v="389.22935740000003"/>
    <n v="400.90623812200005"/>
    <n v="412.93342526566005"/>
    <n v="425.32142802362984"/>
    <n v="438.08107086433876"/>
    <n v="451.22350299026891"/>
    <n v="464.76020807997702"/>
    <n v="478.70301432237636"/>
    <n v="493.06410475204768"/>
    <n v="507.8560278946091"/>
    <n v="523.0917087314474"/>
    <n v="538.78445999339078"/>
    <n v="554.9479937931925"/>
    <n v="571.59643360698828"/>
    <n v="588.74432661519791"/>
    <n v="606.40665641365388"/>
    <n v="624.59885610606352"/>
    <n v="643.33682178924539"/>
    <n v="662.6369264429228"/>
    <n v="682.51603423621054"/>
    <n v="702.99151526329683"/>
    <n v="724.0812607211958"/>
    <n v="745.80369854283174"/>
    <n v="768.17780949911673"/>
    <n v="791.22314378409021"/>
    <n v="814.95983809761299"/>
    <n v="839.40863324054135"/>
  </r>
  <r>
    <x v="0"/>
    <n v="1"/>
    <s v="SG Fleet Lease"/>
    <s v="Carnival"/>
    <n v="-26436.02"/>
    <m/>
    <n v="-26436.02"/>
    <n v="-26436.02"/>
    <n v="-26436.02"/>
    <n v="-26436.02"/>
    <n v="-26436.02"/>
    <m/>
    <m/>
    <m/>
    <m/>
    <m/>
    <m/>
    <m/>
    <m/>
    <m/>
    <m/>
    <m/>
    <m/>
    <m/>
    <m/>
    <m/>
    <m/>
    <m/>
    <m/>
    <m/>
    <m/>
    <m/>
    <m/>
    <m/>
    <m/>
    <m/>
  </r>
  <r>
    <x v="0"/>
    <n v="-0.5"/>
    <s v="Rental Running Costs"/>
    <s v="Black Diamond"/>
    <n v="-4997.2"/>
    <n v="0.03"/>
    <n v="-4997.2"/>
    <n v="-5147.116"/>
    <n v="-5301.5294800000001"/>
    <n v="-5460.5753644000006"/>
    <n v="-5624.3926253320005"/>
    <n v="-5793.124404091961"/>
    <n v="-5966.9181362147201"/>
    <n v="-6145.9256803011622"/>
    <n v="-6330.3034507101975"/>
    <n v="-6520.2125542315034"/>
    <n v="-6715.8189308584488"/>
    <n v="-6917.2934987842027"/>
    <n v="-7124.8123037477289"/>
    <n v="-7338.5566728601607"/>
    <n v="-7558.7133730459655"/>
    <n v="-7785.4747742373447"/>
    <n v="-8019.0390174644654"/>
    <n v="-8259.610187988399"/>
    <n v="-8507.3984936280503"/>
    <n v="-8762.6204484368918"/>
    <n v="-9025.4990618899992"/>
    <n v="-9296.2640337467001"/>
    <n v="-9575.1519547591015"/>
    <n v="-9862.4065134018747"/>
    <n v="-10158.278708803931"/>
    <n v="-10463.02707006805"/>
    <n v="-10776.917882170092"/>
    <n v="-11100.225418635195"/>
    <n v="-11433.232181194251"/>
    <n v="-11776.229146630079"/>
  </r>
  <r>
    <x v="1"/>
    <n v="-0.5"/>
    <s v="Rental Running Costs"/>
    <s v="Black Diamond"/>
    <n v="-4997.2"/>
    <n v="0.03"/>
    <n v="-4997.2"/>
    <n v="-5147.116"/>
    <n v="-5301.5294800000001"/>
    <n v="-5460.5753644000006"/>
    <n v="-5624.3926253320005"/>
    <n v="-5793.124404091961"/>
    <n v="-5966.9181362147201"/>
    <n v="-6145.9256803011622"/>
    <n v="-6330.3034507101975"/>
    <n v="-6520.2125542315034"/>
    <n v="-6715.8189308584488"/>
    <n v="-6917.2934987842027"/>
    <n v="-7124.8123037477289"/>
    <n v="-7338.5566728601607"/>
    <n v="-7558.7133730459655"/>
    <n v="-7785.4747742373447"/>
    <n v="-8019.0390174644654"/>
    <n v="-8259.610187988399"/>
    <n v="-8507.3984936280503"/>
    <n v="-8762.6204484368918"/>
    <n v="-9025.4990618899992"/>
    <n v="-9296.2640337467001"/>
    <n v="-9575.1519547591015"/>
    <n v="-9862.4065134018747"/>
    <n v="-10158.278708803931"/>
    <n v="-10463.02707006805"/>
    <n v="-10776.917882170092"/>
    <n v="-11100.225418635195"/>
    <n v="-11433.232181194251"/>
    <n v="-11776.229146630079"/>
  </r>
  <r>
    <x v="0"/>
    <n v="-0.99"/>
    <s v="Rental Running Costs"/>
    <s v="Wentworthville"/>
    <n v="-10931.778"/>
    <n v="0.03"/>
    <n v="-10931.778"/>
    <n v="-11259.73134"/>
    <n v="-11597.523280200001"/>
    <n v="-11945.448978606002"/>
    <n v="-12303.812447964183"/>
    <n v="-12672.926821403109"/>
    <n v="-13053.114626045202"/>
    <n v="-13444.708064826558"/>
    <n v="-13848.049306771356"/>
    <n v="-14263.490785974496"/>
    <n v="-14691.395509553731"/>
    <n v="-15132.137374840344"/>
    <n v="-15586.101496085555"/>
    <n v="-16053.684540968123"/>
    <n v="-16535.295077197166"/>
    <n v="-17031.353929513083"/>
    <n v="-17542.294547398476"/>
    <n v="-18068.56338382043"/>
    <n v="-18610.620285335044"/>
    <n v="-19168.938893895094"/>
    <n v="-19744.007060711949"/>
    <n v="-20336.327272533308"/>
    <n v="-20946.417090709307"/>
    <n v="-21574.809603430585"/>
    <n v="-22222.053891533502"/>
    <n v="-22888.715508279507"/>
    <n v="-23575.376973527891"/>
    <n v="-24282.638282733729"/>
    <n v="-25011.117431215742"/>
    <n v="-25761.450954152213"/>
  </r>
  <r>
    <x v="1"/>
    <n v="-0.01"/>
    <s v="Rental Running Costs"/>
    <s v="Wentworthville"/>
    <n v="-110.422"/>
    <n v="0.03"/>
    <n v="-110.422"/>
    <n v="-113.73466000000001"/>
    <n v="-117.14669980000001"/>
    <n v="-120.66110079400001"/>
    <n v="-124.28093381782001"/>
    <n v="-128.00936183235461"/>
    <n v="-131.84964268732526"/>
    <n v="-135.80513196794502"/>
    <n v="-139.87928592698336"/>
    <n v="-144.07566450479285"/>
    <n v="-148.39793443993665"/>
    <n v="-152.84987247313475"/>
    <n v="-157.4353686473288"/>
    <n v="-162.15842970674868"/>
    <n v="-167.02318259795115"/>
    <n v="-172.03387807588967"/>
    <n v="-177.19489441816637"/>
    <n v="-182.51074125071136"/>
    <n v="-187.9860634882327"/>
    <n v="-193.62564539287968"/>
    <n v="-199.43441475466608"/>
    <n v="-205.41744719730607"/>
    <n v="-211.57997061322527"/>
    <n v="-217.92736973162204"/>
    <n v="-224.46519082357071"/>
    <n v="-231.19914654827784"/>
    <n v="-238.13512094472617"/>
    <n v="-245.27917457306796"/>
    <n v="-252.63754981026"/>
    <n v="-260.21667630456778"/>
  </r>
  <r>
    <x v="0"/>
    <n v="-0.5"/>
    <s v="Rental Interest Expense"/>
    <s v="Black Diamond"/>
    <m/>
    <m/>
    <n v="0"/>
    <n v="-14060.28933466257"/>
    <n v="-13892.390057310336"/>
    <n v="-13636.434799252322"/>
    <n v="-13402.860154873091"/>
    <n v="-13154.409942777773"/>
    <n v="-12926.101936397856"/>
    <n v="-12611.323481802629"/>
    <n v="-12312.463014727286"/>
    <n v="-11994.569149881156"/>
    <n v="-11688.916953092436"/>
    <n v="-11298.824341310687"/>
    <n v="-10916.37530710477"/>
    <n v="-10509.569406076247"/>
    <n v="-10104.88973616769"/>
    <n v="-9618.3688000746733"/>
    <n v="-9128.8973180171706"/>
    <n v="-8608.2530766227537"/>
    <n v="-8076.7837877309303"/>
    <n v="-7466.8010474189541"/>
    <n v="-6840.3035971300151"/>
    <n v="-6173.9066737176236"/>
    <n v="-5480.1025602012551"/>
    <n v="-4712.0457559680044"/>
    <n v="-3910.1073926119184"/>
    <n v="-3057.0963263092622"/>
    <n v="-2155.4471581487874"/>
    <n v="-1185.0005553647804"/>
    <n v="-224.26290644689803"/>
    <n v="0"/>
  </r>
  <r>
    <x v="1"/>
    <n v="-0.5"/>
    <s v="Rental Interest Expense"/>
    <s v="Black Diamond"/>
    <m/>
    <m/>
    <n v="0"/>
    <n v="-14060.28933466257"/>
    <n v="-13892.390057310336"/>
    <n v="-13636.434799252322"/>
    <n v="-13402.860154873091"/>
    <n v="-13154.409942777773"/>
    <n v="-12926.101936397856"/>
    <n v="-12611.323481802629"/>
    <n v="-12312.463014727286"/>
    <n v="-11994.569149881156"/>
    <n v="-11688.916953092436"/>
    <n v="-11298.824341310687"/>
    <n v="-10916.37530710477"/>
    <n v="-10509.569406076247"/>
    <n v="-10104.88973616769"/>
    <n v="-9618.3688000746733"/>
    <n v="-9128.8973180171706"/>
    <n v="-8608.2530766227537"/>
    <n v="-8076.7837877309303"/>
    <n v="-7466.8010474189541"/>
    <n v="-6840.3035971300151"/>
    <n v="-6173.9066737176236"/>
    <n v="-5480.1025602012551"/>
    <n v="-4712.0457559680044"/>
    <n v="-3910.1073926119184"/>
    <n v="-3057.0963263092622"/>
    <n v="-2155.4471581487874"/>
    <n v="-1185.0005553647804"/>
    <n v="-224.26290644689803"/>
    <n v="0"/>
  </r>
  <r>
    <x v="0"/>
    <n v="-0.99"/>
    <s v="Rental Interest Expense"/>
    <s v="Wentworthville"/>
    <m/>
    <m/>
    <n v="0"/>
    <n v="-32834.777581143702"/>
    <n v="-32154.64649170496"/>
    <n v="-31252.348743384093"/>
    <n v="-30382.012468864868"/>
    <n v="-29456.247463107346"/>
    <n v="-28550.818489379955"/>
    <n v="-27429.136192828348"/>
    <n v="-26315.312628239895"/>
    <n v="-25130.553462302916"/>
    <n v="-23936.664811611714"/>
    <n v="-22534.093965603457"/>
    <n v="-21108.521956239627"/>
    <n v="-19592.160156674861"/>
    <n v="-18028.942759303267"/>
    <n v="-16266.736843951458"/>
    <n v="-14442.018362538796"/>
    <n v="-12501.089821574558"/>
    <n v="-10465.003132521595"/>
    <n v="-8242.3392050794646"/>
    <n v="-5906.5743694056746"/>
    <n v="-3422.0526852551884"/>
    <n v="-843.63876070031245"/>
    <n v="0"/>
    <n v="0"/>
    <n v="0"/>
    <n v="0"/>
    <n v="0"/>
    <n v="0"/>
    <n v="0"/>
  </r>
  <r>
    <x v="1"/>
    <n v="-0.01"/>
    <s v="Rental Interest Expense"/>
    <s v="Wentworthville"/>
    <m/>
    <m/>
    <n v="0"/>
    <n v="-331.66442001155258"/>
    <n v="-324.79440900712081"/>
    <n v="-315.68029033721308"/>
    <n v="-306.88901483701886"/>
    <n v="-297.53785316270046"/>
    <n v="-288.39210595333293"/>
    <n v="-277.06198174574087"/>
    <n v="-265.8112386690899"/>
    <n v="-253.84397436669613"/>
    <n v="-241.78449304658298"/>
    <n v="-227.61711076367129"/>
    <n v="-213.21739349736995"/>
    <n v="-197.90060764318042"/>
    <n v="-182.11053292225523"/>
    <n v="-164.31047317122685"/>
    <n v="-145.87897335897776"/>
    <n v="-126.27363456135917"/>
    <n v="-105.70710234870297"/>
    <n v="-83.255951566459245"/>
    <n v="-59.662367367734085"/>
    <n v="-34.5661887399514"/>
    <n v="-8.5216036434374995"/>
    <n v="0"/>
    <n v="0"/>
    <n v="0"/>
    <n v="0"/>
    <n v="0"/>
    <n v="0"/>
    <n v="0"/>
  </r>
  <r>
    <x v="2"/>
    <n v="1"/>
    <s v="Rental Income"/>
    <s v="Shane St (Main)"/>
    <n v="36400"/>
    <n v="0.03"/>
    <n v="36400"/>
    <n v="37492"/>
    <n v="38616.76"/>
    <n v="39775.262800000004"/>
    <n v="40968.520684000003"/>
    <n v="42197.576304520007"/>
    <n v="43463.503593655609"/>
    <n v="44767.408701465276"/>
    <n v="46110.430962509236"/>
    <n v="47493.743891384511"/>
    <n v="48918.55620812605"/>
    <n v="50386.112894369835"/>
    <n v="51897.69628120093"/>
    <n v="53454.627169636959"/>
    <n v="55058.265984726066"/>
    <n v="56710.013964267848"/>
    <n v="58411.314383195888"/>
    <n v="60163.653814691766"/>
    <n v="61968.563429132519"/>
    <n v="63827.620332006496"/>
    <n v="65742.448941966693"/>
    <n v="67714.722410225702"/>
    <n v="69746.164082532472"/>
    <n v="71838.549005008448"/>
    <n v="73993.705475158698"/>
    <n v="76213.516639413458"/>
    <n v="78499.922138595866"/>
    <n v="80854.91980275375"/>
    <n v="83280.56739683637"/>
    <n v="85778.984418741456"/>
  </r>
  <r>
    <x v="2"/>
    <n v="1"/>
    <s v="Rental Income"/>
    <s v="Shane St (Granny)"/>
    <n v="23920"/>
    <n v="0.03"/>
    <n v="23920"/>
    <n v="24637.600000000002"/>
    <n v="25376.728000000003"/>
    <n v="26138.029840000003"/>
    <n v="26922.170735200005"/>
    <n v="27729.835857256006"/>
    <n v="28561.730932973689"/>
    <n v="29418.582860962899"/>
    <n v="30301.140346791788"/>
    <n v="31210.174557195543"/>
    <n v="32146.479793911411"/>
    <n v="33110.874187728754"/>
    <n v="34104.200413360617"/>
    <n v="35127.326425761436"/>
    <n v="36181.146218534283"/>
    <n v="37266.580605090312"/>
    <n v="38384.578023243019"/>
    <n v="39536.115363940313"/>
    <n v="40722.198824858526"/>
    <n v="41943.864789604282"/>
    <n v="43202.180733292415"/>
    <n v="44498.246155291185"/>
    <n v="45833.19353994992"/>
    <n v="47208.189346148421"/>
    <n v="48624.435026532876"/>
    <n v="50083.168077328861"/>
    <n v="51585.663119648729"/>
    <n v="53133.23301323819"/>
    <n v="54727.230003635341"/>
    <n v="56369.046903744405"/>
  </r>
  <r>
    <x v="3"/>
    <n v="1"/>
    <s v="Self Employed Income"/>
    <s v="F1 Tax - Company Income"/>
    <n v="40000"/>
    <n v="0.05"/>
    <n v="40000"/>
    <n v="42000"/>
    <n v="44100"/>
    <n v="46305"/>
    <n v="48620.25"/>
    <n v="51051.262500000004"/>
    <n v="53603.825625000005"/>
    <n v="56284.016906250006"/>
    <n v="59098.217751562508"/>
    <n v="62053.128639140639"/>
    <n v="65155.785071097671"/>
    <n v="68413.574324652553"/>
    <n v="71834.253040885189"/>
    <n v="75425.965692929458"/>
    <n v="79197.263977575931"/>
    <n v="83157.127176454727"/>
    <n v="87314.983535277468"/>
    <n v="91680.732712041339"/>
    <n v="96264.769347643407"/>
    <n v="101078.00781502559"/>
    <n v="106131.90820577687"/>
    <n v="111438.50361606572"/>
    <n v="117010.428796869"/>
    <n v="122860.95023671247"/>
    <n v="129003.99774854809"/>
    <n v="135454.19763597549"/>
    <n v="142226.90751777426"/>
    <n v="149338.25289366298"/>
    <n v="156805.16553834613"/>
    <n v="164645.42381526344"/>
  </r>
  <r>
    <x v="3"/>
    <n v="0.33"/>
    <s v="Self Employed Income"/>
    <s v="Gravitax - Company Income"/>
    <n v="13200"/>
    <n v="0.05"/>
    <n v="13200"/>
    <n v="13860"/>
    <n v="14553"/>
    <n v="15280.650000000001"/>
    <n v="16044.682500000003"/>
    <n v="16846.916625000002"/>
    <n v="17689.262456250002"/>
    <n v="18573.725579062502"/>
    <n v="19502.411858015628"/>
    <n v="20477.532450916409"/>
    <n v="21501.40907346223"/>
    <n v="22576.479527135343"/>
    <n v="23705.303503492112"/>
    <n v="24890.568678666717"/>
    <n v="26135.097112600055"/>
    <n v="27441.851968230058"/>
    <n v="28813.944566641563"/>
    <n v="30254.641794973642"/>
    <n v="31767.373884722325"/>
    <n v="33355.742578958445"/>
    <n v="35023.529707906368"/>
    <n v="36774.706193301688"/>
    <n v="38613.441502966773"/>
    <n v="40544.11357811511"/>
    <n v="42571.31925702087"/>
    <n v="44699.885219871918"/>
    <n v="46934.879480865515"/>
    <n v="49281.623454908789"/>
    <n v="51745.704627654231"/>
    <n v="54332.989859036948"/>
  </r>
  <r>
    <x v="2"/>
    <n v="-1"/>
    <s v="Rental Running Costs"/>
    <s v="Shane St (Main)"/>
    <n v="-11284"/>
    <n v="0.03"/>
    <n v="-11284"/>
    <n v="-11622.52"/>
    <n v="-11971.195600000001"/>
    <n v="-12330.331468000002"/>
    <n v="-12700.241412040003"/>
    <n v="-13081.248654401203"/>
    <n v="-13473.686114033238"/>
    <n v="-13877.896697454236"/>
    <n v="-14294.233598377863"/>
    <n v="-14723.0606063292"/>
    <n v="-15164.752424519076"/>
    <n v="-15619.694997254648"/>
    <n v="-16088.285847172288"/>
    <n v="-16570.934422587459"/>
    <n v="-17068.062455265084"/>
    <n v="-17580.104328923037"/>
    <n v="-18107.507458790729"/>
    <n v="-18650.732682554451"/>
    <n v="-19210.254663031086"/>
    <n v="-19786.562302922019"/>
    <n v="-20380.15917200968"/>
    <n v="-20991.563947169972"/>
    <n v="-21621.310865585074"/>
    <n v="-22269.950191552627"/>
    <n v="-22938.048697299208"/>
    <n v="-23626.190158218185"/>
    <n v="-24334.975862964733"/>
    <n v="-25065.025138853674"/>
    <n v="-25816.975893019284"/>
    <n v="-26591.485169809865"/>
  </r>
  <r>
    <x v="2"/>
    <n v="-1"/>
    <s v="Rental Running Costs"/>
    <s v="Shane St (Granny)"/>
    <n v="-7415.2"/>
    <n v="0.03"/>
    <n v="-7415.2"/>
    <n v="-7637.6559999999999"/>
    <n v="-7866.78568"/>
    <n v="-8102.7892504000001"/>
    <n v="-8345.8729279119998"/>
    <n v="-8596.2491157493605"/>
    <n v="-8854.1365892218419"/>
    <n v="-9119.7606868984967"/>
    <n v="-9393.3535075054515"/>
    <n v="-9675.1541127306155"/>
    <n v="-9965.4087361125348"/>
    <n v="-10264.370998195911"/>
    <n v="-10572.302128141788"/>
    <n v="-10889.471191986042"/>
    <n v="-11216.155327745624"/>
    <n v="-11552.639987577993"/>
    <n v="-11899.219187205334"/>
    <n v="-12256.195762821493"/>
    <n v="-12623.881635706139"/>
    <n v="-13002.598084777323"/>
    <n v="-13392.676027320642"/>
    <n v="-13794.456308140261"/>
    <n v="-14208.289997384469"/>
    <n v="-14634.538697306003"/>
    <n v="-15073.574858225184"/>
    <n v="-15525.78210397194"/>
    <n v="-15991.555567091098"/>
    <n v="-16471.30223410383"/>
    <n v="-16965.441301126946"/>
    <n v="-17474.404540160755"/>
  </r>
  <r>
    <x v="2"/>
    <n v="-1"/>
    <s v="Rental Interest Expense"/>
    <s v="Shane St"/>
    <m/>
    <m/>
    <n v="0"/>
    <n v="-58439.736841674821"/>
    <n v="-57683.849756812117"/>
    <n v="-56557.367694580025"/>
    <n v="-55518.141166607165"/>
    <n v="-54411.189255885278"/>
    <n v="-53380.661014373138"/>
    <n v="-51985.84895033294"/>
    <n v="-50648.700989097189"/>
    <n v="-49224.412394872204"/>
    <n v="-47840.28217496568"/>
    <n v="-46099.993778610748"/>
    <n v="-44379.270356606336"/>
    <n v="-42546.40906165156"/>
    <n v="-40707.014377198604"/>
    <n v="-38521.923329685094"/>
    <n v="-36307.344422049762"/>
    <n v="-33948.443559469655"/>
    <n v="-31522.893408296957"/>
    <n v="-28765.116535528516"/>
    <n v="-25914.696012272103"/>
    <n v="-22878.51635398882"/>
    <n v="-19698.287861057801"/>
    <n v="-16203.174882954449"/>
    <n v="-12534.104831812125"/>
    <n v="-8625.9250515991789"/>
    <n v="-4474.0441015028418"/>
    <n v="-588.1162299584057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ForecastIncome" cacheId="41" applyNumberFormats="0" applyBorderFormats="0" applyFontFormats="0" applyPatternFormats="0" applyAlignmentFormats="0" applyWidthHeightFormats="1" dataCaption="Values" updatedVersion="4" minRefreshableVersion="3" useAutoFormatting="1" rowGrandTotals="0" colGrandTotals="0" itemPrintTitles="1" createdVersion="4" indent="0" showHeaders="0" compact="0" compactData="0" multipleFieldFilters="0">
  <location ref="C12:AG15" firstHeaderRow="0" firstDataRow="1" firstDataCol="1"/>
  <pivotFields count="36">
    <pivotField axis="axisRow" compact="0" outline="0" multipleItemSelectionAllowed="1" showAll="0">
      <items count="5">
        <item h="1" x="3"/>
        <item x="0"/>
        <item x="2"/>
        <item x="1"/>
        <item t="default"/>
      </items>
      <extLst>
        <ext xmlns:x14="http://schemas.microsoft.com/office/spreadsheetml/2009/9/main" uri="{2946ED86-A175-432a-8AC1-64E0C546D7DE}">
          <x14:pivotField fillDownLabels="1"/>
        </ext>
      </extLst>
    </pivotField>
    <pivotField compact="0" numFmtId="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s>
  <rowFields count="1">
    <field x="0"/>
  </rowFields>
  <rowItems count="3">
    <i>
      <x v="1"/>
    </i>
    <i>
      <x v="2"/>
    </i>
    <i>
      <x v="3"/>
    </i>
  </rowItems>
  <colFields count="1">
    <field x="-2"/>
  </colFields>
  <colItems count="3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colItems>
  <dataFields count="30">
    <dataField name="Sum of 2026" fld="6" baseField="0" baseItem="0"/>
    <dataField name="Sum of 2027" fld="7" baseField="0" baseItem="0"/>
    <dataField name="Sum of 2028" fld="8" baseField="0" baseItem="0"/>
    <dataField name="Sum of 2029" fld="9" baseField="0" baseItem="0"/>
    <dataField name="Sum of 2030" fld="10" baseField="0" baseItem="0"/>
    <dataField name="Sum of 2031" fld="11" baseField="0" baseItem="0"/>
    <dataField name="Sum of 2032" fld="12" baseField="0" baseItem="0"/>
    <dataField name="Sum of 2033" fld="13" baseField="0" baseItem="0"/>
    <dataField name="Sum of 2034" fld="14" baseField="0" baseItem="0"/>
    <dataField name="Sum of 2035" fld="15" baseField="0" baseItem="0"/>
    <dataField name="Sum of 2036" fld="16" baseField="0" baseItem="0"/>
    <dataField name="Sum of 2037" fld="17" baseField="0" baseItem="0"/>
    <dataField name="Sum of 2038" fld="18" baseField="0" baseItem="0"/>
    <dataField name="Sum of 2039" fld="19" baseField="0" baseItem="0"/>
    <dataField name="Sum of 2040" fld="20" baseField="0" baseItem="0"/>
    <dataField name="Sum of 2041" fld="21" baseField="0" baseItem="0"/>
    <dataField name="Sum of 2042" fld="22" baseField="0" baseItem="0"/>
    <dataField name="Sum of 2043" fld="23" baseField="0" baseItem="0"/>
    <dataField name="Sum of 2044" fld="24" baseField="0" baseItem="0"/>
    <dataField name="Sum of 2045" fld="25" baseField="0" baseItem="0"/>
    <dataField name="Sum of 2046" fld="26" baseField="0" baseItem="0"/>
    <dataField name="Sum of 2047" fld="27" baseField="0" baseItem="0"/>
    <dataField name="Sum of 2048" fld="28" baseField="0" baseItem="0"/>
    <dataField name="Sum of 2049" fld="29" baseField="0" baseItem="0"/>
    <dataField name="Sum of 2050" fld="30" baseField="0" baseItem="0"/>
    <dataField name="Sum of 2051" fld="31" baseField="0" baseItem="0"/>
    <dataField name="Sum of 2052" fld="32" baseField="0" baseItem="0"/>
    <dataField name="Sum of 2053" fld="33" baseField="0" baseItem="0"/>
    <dataField name="Sum of 2054" fld="34" baseField="0" baseItem="0"/>
    <dataField name="Sum of 2055" fld="35" baseField="0" baseItem="0"/>
  </dataFields>
  <formats count="13">
    <format dxfId="77">
      <pivotArea outline="0" collapsedLevelsAreSubtotals="1" fieldPosition="0"/>
    </format>
    <format dxfId="76">
      <pivotArea dataOnly="0" labelOnly="1" outline="0" fieldPosition="0">
        <references count="1">
          <reference field="0" count="0"/>
        </references>
      </pivotArea>
    </format>
    <format dxfId="75">
      <pivotArea dataOnly="0" labelOnly="1" outline="0" fieldPosition="0">
        <references count="1">
          <reference field="0" count="0"/>
        </references>
      </pivotArea>
    </format>
    <format dxfId="74">
      <pivotArea dataOnly="0" labelOnly="1" outline="0" fieldPosition="0">
        <references count="1">
          <reference field="0" count="0"/>
        </references>
      </pivotArea>
    </format>
    <format dxfId="73">
      <pivotArea dataOnly="0" labelOnly="1" outline="0" fieldPosition="0">
        <references count="1">
          <reference field="0" count="0"/>
        </references>
      </pivotArea>
    </format>
    <format dxfId="72">
      <pivotArea dataOnly="0" labelOnly="1" outline="0" fieldPosition="0">
        <references count="1">
          <reference field="0" count="0"/>
        </references>
      </pivotArea>
    </format>
    <format dxfId="71">
      <pivotArea dataOnly="0" labelOnly="1" outline="0" fieldPosition="0">
        <references count="1">
          <reference field="0" count="0"/>
        </references>
      </pivotArea>
    </format>
    <format dxfId="70">
      <pivotArea dataOnly="0" labelOnly="1" outline="0" fieldPosition="0">
        <references count="1">
          <reference field="0" count="0"/>
        </references>
      </pivotArea>
    </format>
    <format dxfId="69">
      <pivotArea dataOnly="0" labelOnly="1" outline="0" fieldPosition="0">
        <references count="1">
          <reference field="0" count="0"/>
        </references>
      </pivotArea>
    </format>
    <format dxfId="68">
      <pivotArea dataOnly="0" labelOnly="1" outline="0" fieldPosition="0">
        <references count="1">
          <reference field="0" count="0"/>
        </references>
      </pivotArea>
    </format>
    <format dxfId="67">
      <pivotArea dataOnly="0" labelOnly="1" outline="0" fieldPosition="0">
        <references count="1">
          <reference field="0" count="0"/>
        </references>
      </pivotArea>
    </format>
    <format dxfId="66">
      <pivotArea dataOnly="0" labelOnly="1" outline="0" fieldPosition="0">
        <references count="1">
          <reference field="0" count="0"/>
        </references>
      </pivotArea>
    </format>
    <format dxfId="65">
      <pivotArea dataOnly="0" labelOnly="1" outline="0" fieldPosition="0">
        <references count="1">
          <reference field="0" count="0"/>
        </references>
      </pivotArea>
    </format>
  </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ForecastAsset" cacheId="38"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location ref="B37:AG40" firstHeaderRow="0" firstDataRow="1" firstDataCol="2"/>
  <pivotFields count="36">
    <pivotField axis="axisRow" compact="0" outline="0" showAll="0" defaultSubtotal="0">
      <items count="4">
        <item x="0"/>
        <item x="1"/>
        <item x="2"/>
        <item x="3"/>
      </items>
    </pivotField>
    <pivotField axis="axisRow" compact="0" outline="0" showAll="0" defaultSubtotal="0">
      <items count="6">
        <item h="1" x="3"/>
        <item h="1" x="5"/>
        <item x="2"/>
        <item h="1" x="4"/>
        <item h="1" x="1"/>
        <item x="0"/>
      </items>
    </pivotField>
    <pivotField compact="0" outline="0" showAll="0" defaultSubtotal="0"/>
    <pivotField compact="0" outline="0" showAll="0" defaultSubtotal="0"/>
    <pivotField compact="0" numFmtId="8"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2">
    <field x="0"/>
    <field x="1"/>
  </rowFields>
  <rowItems count="3">
    <i>
      <x/>
      <x v="5"/>
    </i>
    <i>
      <x v="1"/>
      <x v="2"/>
    </i>
    <i>
      <x v="2"/>
      <x v="2"/>
    </i>
  </rowItems>
  <colFields count="1">
    <field x="-2"/>
  </colFields>
  <colItems count="3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colItems>
  <dataFields count="30">
    <dataField name="Sum of 2026" fld="6" baseField="1" baseItem="5"/>
    <dataField name="Sum of 2027" fld="7" baseField="1" baseItem="5"/>
    <dataField name="Sum of 2028" fld="8" baseField="1" baseItem="5"/>
    <dataField name="Sum of 2029" fld="9" baseField="1" baseItem="0"/>
    <dataField name="Sum of 2030" fld="10" baseField="1" baseItem="0"/>
    <dataField name="Sum of 2031" fld="11" baseField="1" baseItem="0"/>
    <dataField name="Sum of 2032" fld="12" baseField="1" baseItem="0"/>
    <dataField name="Sum of 2033" fld="13" baseField="1" baseItem="0"/>
    <dataField name="Sum of 2034" fld="14" baseField="1" baseItem="0"/>
    <dataField name="Sum of 2035" fld="15" baseField="1" baseItem="0"/>
    <dataField name="Sum of 2036" fld="16" baseField="1" baseItem="0"/>
    <dataField name="Sum of 2037" fld="17" baseField="1" baseItem="0"/>
    <dataField name="Sum of 2038" fld="18" baseField="1" baseItem="0"/>
    <dataField name="Sum of 2039" fld="19" baseField="1" baseItem="0"/>
    <dataField name="Sum of 2040" fld="20" baseField="1" baseItem="0"/>
    <dataField name="Sum of 2041" fld="21" baseField="1" baseItem="0"/>
    <dataField name="Sum of 2042" fld="22" baseField="1" baseItem="0"/>
    <dataField name="Sum of 2043" fld="23" baseField="1" baseItem="0"/>
    <dataField name="Sum of 2045" fld="25" baseField="1" baseItem="0"/>
    <dataField name="Sum of 2044" fld="24" baseField="1" baseItem="0"/>
    <dataField name="Sum of 2046" fld="26" baseField="1" baseItem="0"/>
    <dataField name="Sum of 2047" fld="27" baseField="1" baseItem="0"/>
    <dataField name="Sum of 2048" fld="28" baseField="1" baseItem="0"/>
    <dataField name="Sum of 2049" fld="29" baseField="1" baseItem="0"/>
    <dataField name="Sum of 2050" fld="30" baseField="1" baseItem="0"/>
    <dataField name="Sum of 2051" fld="31" baseField="1" baseItem="0"/>
    <dataField name="Sum of 2052" fld="32" baseField="1" baseItem="0"/>
    <dataField name="Sum of 2053" fld="33" baseField="1" baseItem="0"/>
    <dataField name="Sum of 2054" fld="34" baseField="1" baseItem="0"/>
    <dataField name="Sum of 2055" fld="35" baseField="1" baseItem="0"/>
  </dataFields>
  <formats count="5">
    <format dxfId="82">
      <pivotArea outline="0" collapsedLevelsAreSubtotals="1" fieldPosition="0"/>
    </format>
    <format dxfId="81">
      <pivotArea outline="0" collapsedLevelsAreSubtotals="1" fieldPosition="0"/>
    </format>
    <format dxfId="80">
      <pivotArea dataOnly="0" labelOnly="1" outline="0" fieldPosition="0">
        <references count="1">
          <reference field="0" count="1">
            <x v="1"/>
          </reference>
        </references>
      </pivotArea>
    </format>
    <format dxfId="79">
      <pivotArea dataOnly="0" labelOnly="1" outline="0" fieldPosition="0">
        <references count="2">
          <reference field="0" count="1" selected="0">
            <x v="1"/>
          </reference>
          <reference field="1" count="0"/>
        </references>
      </pivotArea>
    </format>
    <format dxfId="78">
      <pivotArea dataOnly="0" outline="0" fieldPosition="0">
        <references count="2">
          <reference field="0" count="1">
            <x v="1"/>
          </reference>
          <reference field="1" count="0" defaultSubtotal="1" sumSubtotal="1" countASubtotal="1" avgSubtotal="1" maxSubtotal="1" minSubtotal="1" productSubtotal="1" countSubtotal="1" stdDevSubtotal="1" stdDevPSubtotal="1" varSubtotal="1" varPSubtotal="1"/>
        </references>
      </pivotArea>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AllRepayments" cacheId="3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AY48:CB50" firstHeaderRow="1" firstDataRow="2" firstDataCol="1" rowPageCount="1" colPageCount="1"/>
  <pivotFields count="12">
    <pivotField axis="axisCol"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showAll="0">
      <items count="13">
        <item x="6"/>
        <item x="7"/>
        <item x="8"/>
        <item x="9"/>
        <item x="10"/>
        <item x="11"/>
        <item x="0"/>
        <item x="1"/>
        <item x="2"/>
        <item x="3"/>
        <item x="4"/>
        <item x="5"/>
        <item t="default"/>
      </items>
    </pivotField>
    <pivotField numFmtId="43" showAll="0" defaultSubtotal="0"/>
    <pivotField numFmtId="43" showAll="0" defaultSubtotal="0"/>
    <pivotField numFmtId="43" showAll="0" defaultSubtotal="0"/>
    <pivotField numFmtId="43" showAll="0" defaultSubtotal="0"/>
    <pivotField numFmtId="8" showAll="0" defaultSubtotal="0"/>
    <pivotField numFmtId="43" showAll="0" defaultSubtotal="0"/>
    <pivotField numFmtId="43" showAll="0" defaultSubtotal="0"/>
    <pivotField dataField="1" numFmtId="164" showAll="0" defaultSubtotal="0"/>
    <pivotField showAll="0" defaultSubtotal="0"/>
    <pivotField numFmtId="43" showAll="0" defaultSubtotal="0"/>
  </pivotFields>
  <rowItems count="1">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colItems>
  <pageFields count="1">
    <pageField fld="1" item="5" hier="-1"/>
  </pageFields>
  <dataFields count="1">
    <dataField name="Sum of Total Principal" fld="9" baseField="0" baseItem="0"/>
  </dataFields>
  <formats count="6">
    <format dxfId="18">
      <pivotArea outline="0" collapsedLevelsAreSubtotals="1" fieldPosition="0"/>
    </format>
    <format dxfId="19">
      <pivotArea outline="0" collapsedLevelsAreSubtotals="1" fieldPosition="0">
        <references count="1">
          <reference field="0" count="1" selected="0">
            <x v="0"/>
          </reference>
        </references>
      </pivotArea>
    </format>
    <format dxfId="20">
      <pivotArea outline="0" collapsedLevelsAreSubtotals="1" fieldPosition="0">
        <references count="1">
          <reference field="0" count="29" selected="0">
            <x v="1"/>
            <x v="2"/>
            <x v="3"/>
            <x v="4"/>
            <x v="5"/>
            <x v="6"/>
            <x v="7"/>
            <x v="8"/>
            <x v="9"/>
            <x v="10"/>
            <x v="11"/>
            <x v="12"/>
            <x v="13"/>
            <x v="14"/>
            <x v="15"/>
            <x v="16"/>
            <x v="17"/>
            <x v="18"/>
            <x v="19"/>
            <x v="20"/>
            <x v="21"/>
            <x v="22"/>
            <x v="23"/>
            <x v="24"/>
            <x v="25"/>
            <x v="26"/>
            <x v="27"/>
            <x v="28"/>
            <x v="29"/>
          </reference>
        </references>
      </pivotArea>
    </format>
    <format dxfId="21">
      <pivotArea dataOnly="0" labelOnly="1" fieldPosition="0">
        <references count="1">
          <reference field="0" count="0"/>
        </references>
      </pivotArea>
    </format>
    <format dxfId="22">
      <pivotArea dataOnly="0" labelOnly="1" fieldPosition="0">
        <references count="1">
          <reference field="0" count="0"/>
        </references>
      </pivotArea>
    </format>
    <format dxfId="23">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3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AY17:CB19" firstHeaderRow="1" firstDataRow="2" firstDataCol="1" rowPageCount="1" colPageCount="1"/>
  <pivotFields count="12">
    <pivotField axis="axisCol"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showAll="0">
      <items count="13">
        <item x="6"/>
        <item x="7"/>
        <item x="8"/>
        <item x="9"/>
        <item x="10"/>
        <item x="11"/>
        <item x="0"/>
        <item x="1"/>
        <item x="2"/>
        <item x="3"/>
        <item x="4"/>
        <item x="5"/>
        <item t="default"/>
      </items>
    </pivotField>
    <pivotField numFmtId="43" showAll="0" defaultSubtotal="0"/>
    <pivotField numFmtId="43" showAll="0" defaultSubtotal="0"/>
    <pivotField numFmtId="43" showAll="0" defaultSubtotal="0"/>
    <pivotField numFmtId="43" showAll="0" defaultSubtotal="0"/>
    <pivotField numFmtId="8" showAll="0" defaultSubtotal="0"/>
    <pivotField numFmtId="43" showAll="0" defaultSubtotal="0"/>
    <pivotField numFmtId="43" showAll="0" defaultSubtotal="0"/>
    <pivotField numFmtId="164" showAll="0" defaultSubtotal="0"/>
    <pivotField dataField="1" showAll="0" defaultSubtotal="0"/>
    <pivotField numFmtId="43" showAll="0" defaultSubtotal="0"/>
  </pivotFields>
  <rowItems count="1">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colItems>
  <pageFields count="1">
    <pageField fld="1" item="5" hier="-1"/>
  </pageFields>
  <dataFields count="1">
    <dataField name="Sum of Total Repayments" fld="10" baseField="0" baseItem="0"/>
  </dataFields>
  <formats count="6">
    <format dxfId="41">
      <pivotArea outline="0" collapsedLevelsAreSubtotals="1" fieldPosition="0"/>
    </format>
    <format dxfId="40">
      <pivotArea outline="0" collapsedLevelsAreSubtotals="1" fieldPosition="0">
        <references count="1">
          <reference field="0" count="1" selected="0">
            <x v="0"/>
          </reference>
        </references>
      </pivotArea>
    </format>
    <format dxfId="39">
      <pivotArea outline="0" collapsedLevelsAreSubtotals="1" fieldPosition="0">
        <references count="1">
          <reference field="0" count="29" selected="0">
            <x v="1"/>
            <x v="2"/>
            <x v="3"/>
            <x v="4"/>
            <x v="5"/>
            <x v="6"/>
            <x v="7"/>
            <x v="8"/>
            <x v="9"/>
            <x v="10"/>
            <x v="11"/>
            <x v="12"/>
            <x v="13"/>
            <x v="14"/>
            <x v="15"/>
            <x v="16"/>
            <x v="17"/>
            <x v="18"/>
            <x v="19"/>
            <x v="20"/>
            <x v="21"/>
            <x v="22"/>
            <x v="23"/>
            <x v="24"/>
            <x v="25"/>
            <x v="26"/>
            <x v="27"/>
            <x v="28"/>
            <x v="29"/>
          </reference>
        </references>
      </pivotArea>
    </format>
    <format dxfId="38">
      <pivotArea dataOnly="0" labelOnly="1" fieldPosition="0">
        <references count="1">
          <reference field="0" count="0"/>
        </references>
      </pivotArea>
    </format>
    <format dxfId="37">
      <pivotArea dataOnly="0" labelOnly="1" fieldPosition="0">
        <references count="1">
          <reference field="0" count="0"/>
        </references>
      </pivotArea>
    </format>
    <format dxfId="36">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InterestBD" cacheId="3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AY36:CB38" firstHeaderRow="1" firstDataRow="2" firstDataCol="1" rowPageCount="1" colPageCount="1"/>
  <pivotFields count="12">
    <pivotField axis="axisCol"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showAll="0">
      <items count="13">
        <item x="6"/>
        <item x="7"/>
        <item x="8"/>
        <item x="9"/>
        <item x="10"/>
        <item x="11"/>
        <item x="0"/>
        <item x="1"/>
        <item x="2"/>
        <item x="3"/>
        <item x="4"/>
        <item x="5"/>
        <item t="default"/>
      </items>
    </pivotField>
    <pivotField numFmtId="43" showAll="0" defaultSubtotal="0"/>
    <pivotField dataField="1" numFmtId="43" showAll="0" defaultSubtotal="0"/>
    <pivotField numFmtId="43" showAll="0" defaultSubtotal="0"/>
    <pivotField numFmtId="43" showAll="0" defaultSubtotal="0"/>
    <pivotField numFmtId="8" showAll="0" defaultSubtotal="0"/>
    <pivotField numFmtId="43" showAll="0" defaultSubtotal="0"/>
    <pivotField numFmtId="43" showAll="0" defaultSubtotal="0"/>
    <pivotField numFmtId="164" showAll="0" defaultSubtotal="0"/>
    <pivotField showAll="0" defaultSubtotal="0"/>
    <pivotField numFmtId="43" showAll="0" defaultSubtotal="0"/>
  </pivotFields>
  <rowItems count="1">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colItems>
  <pageFields count="1">
    <pageField fld="1" item="5" hier="-1"/>
  </pageFields>
  <dataFields count="1">
    <dataField name="Sum of BD Interest" fld="3" baseField="0" baseItem="0" numFmtId="164"/>
  </dataFields>
  <formats count="4">
    <format dxfId="45">
      <pivotArea dataOnly="0" labelOnly="1" fieldPosition="0">
        <references count="1">
          <reference field="0" count="0"/>
        </references>
      </pivotArea>
    </format>
    <format dxfId="44">
      <pivotArea dataOnly="0" labelOnly="1" fieldPosition="0">
        <references count="1">
          <reference field="0" count="0"/>
        </references>
      </pivotArea>
    </format>
    <format dxfId="43">
      <pivotArea dataOnly="0" labelOnly="1" fieldPosition="0">
        <references count="1">
          <reference field="0" count="0"/>
        </references>
      </pivotArea>
    </format>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Interest308" cacheId="3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AY30:CB32" firstHeaderRow="1" firstDataRow="2" firstDataCol="1" rowPageCount="1" colPageCount="1"/>
  <pivotFields count="12">
    <pivotField axis="axisCol"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showAll="0">
      <items count="13">
        <item x="6"/>
        <item x="7"/>
        <item x="8"/>
        <item x="9"/>
        <item x="10"/>
        <item x="11"/>
        <item x="0"/>
        <item x="1"/>
        <item x="2"/>
        <item x="3"/>
        <item x="4"/>
        <item x="5"/>
        <item t="default"/>
      </items>
    </pivotField>
    <pivotField dataField="1" numFmtId="43" showAll="0" defaultSubtotal="0"/>
    <pivotField numFmtId="43" showAll="0" defaultSubtotal="0"/>
    <pivotField numFmtId="43" showAll="0" defaultSubtotal="0"/>
    <pivotField numFmtId="43" showAll="0" defaultSubtotal="0"/>
    <pivotField numFmtId="8" showAll="0" defaultSubtotal="0"/>
    <pivotField numFmtId="43" showAll="0" defaultSubtotal="0"/>
    <pivotField numFmtId="43" showAll="0" defaultSubtotal="0"/>
    <pivotField numFmtId="164" showAll="0" defaultSubtotal="0"/>
    <pivotField showAll="0" defaultSubtotal="0"/>
    <pivotField numFmtId="43" showAll="0" defaultSubtotal="0"/>
  </pivotFields>
  <rowItems count="1">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colItems>
  <pageFields count="1">
    <pageField fld="1" item="5" hier="-1"/>
  </pageFields>
  <dataFields count="1">
    <dataField name="Sum of 308 Interest" fld="2" baseField="0" baseItem="0" numFmtId="164"/>
  </dataFields>
  <formats count="5">
    <format dxfId="50">
      <pivotArea dataOnly="0" labelOnly="1" fieldPosition="0">
        <references count="1">
          <reference field="0" count="0"/>
        </references>
      </pivotArea>
    </format>
    <format dxfId="49">
      <pivotArea dataOnly="0" labelOnly="1" fieldPosition="0">
        <references count="1">
          <reference field="0" count="0"/>
        </references>
      </pivotArea>
    </format>
    <format dxfId="48">
      <pivotArea dataOnly="0" labelOnly="1" fieldPosition="0">
        <references count="1">
          <reference field="0" count="0"/>
        </references>
      </pivotArea>
    </format>
    <format dxfId="47">
      <pivotArea outline="0" collapsedLevelsAreSubtotals="1"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InterestShane" cacheId="3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AY42:CB44" firstHeaderRow="1" firstDataRow="2" firstDataCol="1" rowPageCount="1" colPageCount="1"/>
  <pivotFields count="12">
    <pivotField axis="axisCol"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showAll="0">
      <items count="13">
        <item x="6"/>
        <item x="7"/>
        <item x="8"/>
        <item x="9"/>
        <item x="10"/>
        <item x="11"/>
        <item x="0"/>
        <item x="1"/>
        <item x="2"/>
        <item x="3"/>
        <item x="4"/>
        <item x="5"/>
        <item t="default"/>
      </items>
    </pivotField>
    <pivotField numFmtId="43" showAll="0" defaultSubtotal="0"/>
    <pivotField numFmtId="43" showAll="0" defaultSubtotal="0"/>
    <pivotField dataField="1" numFmtId="43" showAll="0" defaultSubtotal="0"/>
    <pivotField numFmtId="43" showAll="0" defaultSubtotal="0"/>
    <pivotField numFmtId="8" showAll="0" defaultSubtotal="0"/>
    <pivotField numFmtId="43" showAll="0" defaultSubtotal="0"/>
    <pivotField numFmtId="43" showAll="0" defaultSubtotal="0"/>
    <pivotField numFmtId="164" showAll="0" defaultSubtotal="0"/>
    <pivotField showAll="0" defaultSubtotal="0"/>
    <pivotField numFmtId="43" showAll="0" defaultSubtotal="0"/>
  </pivotFields>
  <rowItems count="1">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colItems>
  <pageFields count="1">
    <pageField fld="1" item="5" hier="-1"/>
  </pageFields>
  <dataFields count="1">
    <dataField name="Sum of Shane Interest" fld="4" baseField="0" baseItem="0"/>
  </dataFields>
  <formats count="6">
    <format dxfId="56">
      <pivotArea outline="0" collapsedLevelsAreSubtotals="1" fieldPosition="0"/>
    </format>
    <format dxfId="55">
      <pivotArea outline="0" collapsedLevelsAreSubtotals="1" fieldPosition="0">
        <references count="1">
          <reference field="0" count="1" selected="0">
            <x v="0"/>
          </reference>
        </references>
      </pivotArea>
    </format>
    <format dxfId="54">
      <pivotArea outline="0" collapsedLevelsAreSubtotals="1" fieldPosition="0">
        <references count="1">
          <reference field="0" count="29" selected="0">
            <x v="1"/>
            <x v="2"/>
            <x v="3"/>
            <x v="4"/>
            <x v="5"/>
            <x v="6"/>
            <x v="7"/>
            <x v="8"/>
            <x v="9"/>
            <x v="10"/>
            <x v="11"/>
            <x v="12"/>
            <x v="13"/>
            <x v="14"/>
            <x v="15"/>
            <x v="16"/>
            <x v="17"/>
            <x v="18"/>
            <x v="19"/>
            <x v="20"/>
            <x v="21"/>
            <x v="22"/>
            <x v="23"/>
            <x v="24"/>
            <x v="25"/>
            <x v="26"/>
            <x v="27"/>
            <x v="28"/>
            <x v="29"/>
          </reference>
        </references>
      </pivotArea>
    </format>
    <format dxfId="53">
      <pivotArea dataOnly="0" labelOnly="1" fieldPosition="0">
        <references count="1">
          <reference field="0" count="0"/>
        </references>
      </pivotArea>
    </format>
    <format dxfId="52">
      <pivotArea dataOnly="0" labelOnly="1" fieldPosition="0">
        <references count="1">
          <reference field="0" count="0"/>
        </references>
      </pivotArea>
    </format>
    <format dxfId="51">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Interest" cacheId="3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AY24:CB26" firstHeaderRow="1" firstDataRow="2" firstDataCol="1" rowPageCount="1" colPageCount="1"/>
  <pivotFields count="12">
    <pivotField axis="axisCol"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showAll="0">
      <items count="13">
        <item x="6"/>
        <item x="7"/>
        <item x="8"/>
        <item x="9"/>
        <item x="10"/>
        <item x="11"/>
        <item x="0"/>
        <item x="1"/>
        <item x="2"/>
        <item x="3"/>
        <item x="4"/>
        <item x="5"/>
        <item t="default"/>
      </items>
    </pivotField>
    <pivotField numFmtId="43" showAll="0" defaultSubtotal="0"/>
    <pivotField numFmtId="43" showAll="0" defaultSubtotal="0"/>
    <pivotField numFmtId="43" showAll="0" defaultSubtotal="0"/>
    <pivotField dataField="1" numFmtId="43" showAll="0" defaultSubtotal="0"/>
    <pivotField numFmtId="8" showAll="0" defaultSubtotal="0"/>
    <pivotField numFmtId="43" showAll="0" defaultSubtotal="0"/>
    <pivotField numFmtId="43" showAll="0" defaultSubtotal="0"/>
    <pivotField numFmtId="164" showAll="0" defaultSubtotal="0"/>
    <pivotField showAll="0" defaultSubtotal="0"/>
    <pivotField numFmtId="43" showAll="0" defaultSubtotal="0"/>
  </pivotFields>
  <rowItems count="1">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colItems>
  <pageFields count="1">
    <pageField fld="1" item="5" hier="-1"/>
  </pageFields>
  <dataFields count="1">
    <dataField name="Sum of Personal Interest" fld="5" baseField="0" baseItem="0"/>
  </dataFields>
  <formats count="4">
    <format dxfId="60">
      <pivotArea dataOnly="0" labelOnly="1" fieldPosition="0">
        <references count="1">
          <reference field="0" count="0"/>
        </references>
      </pivotArea>
    </format>
    <format dxfId="59">
      <pivotArea dataOnly="0" labelOnly="1" fieldPosition="0">
        <references count="1">
          <reference field="0" count="0"/>
        </references>
      </pivotArea>
    </format>
    <format dxfId="58">
      <pivotArea dataOnly="0" labelOnly="1" fieldPosition="0">
        <references count="1">
          <reference field="0" count="0"/>
        </references>
      </pivotArea>
    </format>
    <format dxfId="57">
      <pivotArea outline="0" collapsedLevelsAreSubtotals="1" fieldPosition="0">
        <references count="1">
          <reference field="0" count="29" selected="0">
            <x v="0"/>
            <x v="1"/>
            <x v="2"/>
            <x v="3"/>
            <x v="4"/>
            <x v="5"/>
            <x v="6"/>
            <x v="7"/>
            <x v="8"/>
            <x v="9"/>
            <x v="10"/>
            <x v="11"/>
            <x v="12"/>
            <x v="13"/>
            <x v="14"/>
            <x v="15"/>
            <x v="16"/>
            <x v="17"/>
            <x v="18"/>
            <x v="19"/>
            <x v="20"/>
            <x v="21"/>
            <x v="22"/>
            <x v="23"/>
            <x v="24"/>
            <x v="25"/>
            <x v="26"/>
            <x v="27"/>
            <x v="2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Debts" cacheId="3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AY11:CB13" firstHeaderRow="1" firstDataRow="2" firstDataCol="1" rowPageCount="1" colPageCount="1"/>
  <pivotFields count="12">
    <pivotField axis="axisCol"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showAll="0">
      <items count="13">
        <item x="6"/>
        <item x="7"/>
        <item x="8"/>
        <item x="9"/>
        <item x="10"/>
        <item x="11"/>
        <item x="0"/>
        <item x="1"/>
        <item x="2"/>
        <item x="3"/>
        <item x="4"/>
        <item x="5"/>
        <item t="default"/>
      </items>
    </pivotField>
    <pivotField numFmtId="43" showAll="0" defaultSubtotal="0"/>
    <pivotField numFmtId="43" showAll="0" defaultSubtotal="0"/>
    <pivotField numFmtId="43" showAll="0" defaultSubtotal="0"/>
    <pivotField numFmtId="43" showAll="0" defaultSubtotal="0"/>
    <pivotField numFmtId="8" showAll="0" defaultSubtotal="0"/>
    <pivotField numFmtId="43" showAll="0" defaultSubtotal="0"/>
    <pivotField numFmtId="43" showAll="0" defaultSubtotal="0"/>
    <pivotField numFmtId="164" showAll="0" defaultSubtotal="0"/>
    <pivotField showAll="0" defaultSubtotal="0"/>
    <pivotField dataField="1" numFmtId="43" showAll="0" defaultSubtotal="0"/>
  </pivotFields>
  <rowItems count="1">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colItems>
  <pageFields count="1">
    <pageField fld="1" item="5" hier="-1"/>
  </pageFields>
  <dataFields count="1">
    <dataField name="Sum of Total Owing" fld="11" baseField="0" baseItem="0"/>
  </dataFields>
  <formats count="4">
    <format dxfId="64">
      <pivotArea dataOnly="0" labelOnly="1" fieldPosition="0">
        <references count="1">
          <reference field="0" count="0"/>
        </references>
      </pivotArea>
    </format>
    <format dxfId="63">
      <pivotArea dataOnly="0" labelOnly="1" fieldPosition="0">
        <references count="1">
          <reference field="0" count="0"/>
        </references>
      </pivotArea>
    </format>
    <format dxfId="62">
      <pivotArea dataOnly="0" labelOnly="1" fieldPosition="0">
        <references count="1">
          <reference field="0" count="0"/>
        </references>
      </pivotArea>
    </format>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RepaymentsTab" displayName="RepaymentsTab" ref="D8:N368" totalsRowShown="0" headerRowDxfId="35" headerRowCellStyle="Comma">
  <tableColumns count="11">
    <tableColumn id="1" name="Payment #" dataDxfId="34">
      <calculatedColumnFormula>D8+1</calculatedColumnFormula>
    </tableColumn>
    <tableColumn id="2" name="Financial Year" dataDxfId="33">
      <calculatedColumnFormula>IF(MONTH(EDATE($E$5,D9))&lt;7,YEAR(EDATE($E$5,D9)),YEAR(EDATE($E$5,D9))+1)</calculatedColumnFormula>
    </tableColumn>
    <tableColumn id="3" name="Payment Date" dataDxfId="32" dataCellStyle="Bad">
      <calculatedColumnFormula>EDATE($E$5,D9)</calculatedColumnFormula>
    </tableColumn>
    <tableColumn id="12" name="Month" dataDxfId="31" dataCellStyle="Bad">
      <calculatedColumnFormula>MONTH(F9)</calculatedColumnFormula>
    </tableColumn>
    <tableColumn id="4" name="# of Days" dataDxfId="30" dataCellStyle="Bad">
      <calculatedColumnFormula>DAY(EOMONTH(F9,0))</calculatedColumnFormula>
    </tableColumn>
    <tableColumn id="5" name="Loan Type" dataDxfId="29" dataCellStyle="Percent"/>
    <tableColumn id="6" name="Starting Balance" dataDxfId="28" dataCellStyle="Comma">
      <calculatedColumnFormula>N8</calculatedColumnFormula>
    </tableColumn>
    <tableColumn id="7" name="Monthly Interest" dataDxfId="27" dataCellStyle="Comma">
      <calculatedColumnFormula>J9*#REF!/365*H9</calculatedColumnFormula>
    </tableColumn>
    <tableColumn id="8" name="Monthly Principal" dataDxfId="26" dataCellStyle="Comma">
      <calculatedColumnFormula>IF(I9="IO",0,IF(J9=0,0,#REF!-K9))</calculatedColumnFormula>
    </tableColumn>
    <tableColumn id="11" name="Offset" dataDxfId="25" dataCellStyle="Comma">
      <calculatedColumnFormula>$K$6-K9</calculatedColumnFormula>
    </tableColumn>
    <tableColumn id="9" name="Ending Balance" dataDxfId="24" dataCellStyle="Comma">
      <calculatedColumnFormula>IF(I9="IO",J9,IF(J9-K9-L9&lt;0,0,J9-K9-L9))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comments" Target="../comments4.xml"/><Relationship Id="rId5" Type="http://schemas.openxmlformats.org/officeDocument/2006/relationships/pivotTable" Target="../pivotTables/pivotTable7.xml"/><Relationship Id="rId10" Type="http://schemas.openxmlformats.org/officeDocument/2006/relationships/table" Target="../tables/table1.xml"/><Relationship Id="rId4" Type="http://schemas.openxmlformats.org/officeDocument/2006/relationships/pivotTable" Target="../pivotTables/pivotTable6.xml"/><Relationship Id="rId9"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G49"/>
  <sheetViews>
    <sheetView tabSelected="1" topLeftCell="A4" zoomScale="85" zoomScaleNormal="85" workbookViewId="0">
      <selection activeCell="F21" sqref="F21"/>
    </sheetView>
  </sheetViews>
  <sheetFormatPr defaultRowHeight="14.5"/>
  <cols>
    <col min="1" max="1" width="2.1796875" customWidth="1"/>
    <col min="2" max="3" width="13.36328125" customWidth="1"/>
    <col min="4" max="4" width="2.81640625" hidden="1" customWidth="1"/>
    <col min="5" max="24" width="11.453125" customWidth="1"/>
    <col min="25" max="33" width="13.1796875" customWidth="1"/>
    <col min="34" max="34" width="13.453125" customWidth="1"/>
  </cols>
  <sheetData>
    <row r="2" spans="3:33">
      <c r="E2" t="s">
        <v>108</v>
      </c>
      <c r="F2" s="22">
        <v>0.03</v>
      </c>
      <c r="H2" t="s">
        <v>109</v>
      </c>
    </row>
    <row r="3" spans="3:33">
      <c r="E3" t="s">
        <v>198</v>
      </c>
      <c r="F3" s="21">
        <v>0.28999999999999998</v>
      </c>
    </row>
    <row r="4" spans="3:33">
      <c r="E4" t="s">
        <v>199</v>
      </c>
      <c r="F4" s="21">
        <v>0.19</v>
      </c>
    </row>
    <row r="5" spans="3:33">
      <c r="F5" s="21"/>
      <c r="R5" s="14" t="s">
        <v>2</v>
      </c>
      <c r="Y5" s="17">
        <v>67</v>
      </c>
      <c r="AG5" s="19">
        <v>75</v>
      </c>
    </row>
    <row r="6" spans="3:33">
      <c r="D6" s="15">
        <v>2026</v>
      </c>
      <c r="E6" s="15">
        <f>D6+1</f>
        <v>2027</v>
      </c>
      <c r="F6" s="15">
        <f t="shared" ref="F6:AG6" si="0">E6+1</f>
        <v>2028</v>
      </c>
      <c r="G6" s="15">
        <f t="shared" si="0"/>
        <v>2029</v>
      </c>
      <c r="H6" s="15">
        <f t="shared" si="0"/>
        <v>2030</v>
      </c>
      <c r="I6" s="15">
        <f t="shared" si="0"/>
        <v>2031</v>
      </c>
      <c r="J6" s="15">
        <f t="shared" si="0"/>
        <v>2032</v>
      </c>
      <c r="K6" s="15">
        <f t="shared" si="0"/>
        <v>2033</v>
      </c>
      <c r="L6" s="15">
        <f t="shared" si="0"/>
        <v>2034</v>
      </c>
      <c r="M6" s="15">
        <f t="shared" si="0"/>
        <v>2035</v>
      </c>
      <c r="N6" s="15">
        <f t="shared" si="0"/>
        <v>2036</v>
      </c>
      <c r="O6" s="15">
        <f t="shared" si="0"/>
        <v>2037</v>
      </c>
      <c r="P6" s="15">
        <f t="shared" si="0"/>
        <v>2038</v>
      </c>
      <c r="Q6" s="15">
        <f t="shared" si="0"/>
        <v>2039</v>
      </c>
      <c r="R6" s="14">
        <f t="shared" si="0"/>
        <v>2040</v>
      </c>
      <c r="S6" s="15">
        <f t="shared" si="0"/>
        <v>2041</v>
      </c>
      <c r="T6" s="15">
        <f t="shared" si="0"/>
        <v>2042</v>
      </c>
      <c r="U6" s="15">
        <f t="shared" si="0"/>
        <v>2043</v>
      </c>
      <c r="V6" s="15">
        <f t="shared" si="0"/>
        <v>2044</v>
      </c>
      <c r="W6" s="15">
        <f t="shared" si="0"/>
        <v>2045</v>
      </c>
      <c r="X6" s="15">
        <f t="shared" si="0"/>
        <v>2046</v>
      </c>
      <c r="Y6" s="17">
        <f t="shared" si="0"/>
        <v>2047</v>
      </c>
      <c r="Z6" s="15">
        <f t="shared" si="0"/>
        <v>2048</v>
      </c>
      <c r="AA6" s="15">
        <f t="shared" si="0"/>
        <v>2049</v>
      </c>
      <c r="AB6" s="15">
        <f t="shared" si="0"/>
        <v>2050</v>
      </c>
      <c r="AC6" s="15">
        <f t="shared" si="0"/>
        <v>2051</v>
      </c>
      <c r="AD6" s="15">
        <f t="shared" si="0"/>
        <v>2052</v>
      </c>
      <c r="AE6" s="15">
        <f t="shared" si="0"/>
        <v>2053</v>
      </c>
      <c r="AF6" s="15">
        <f t="shared" si="0"/>
        <v>2054</v>
      </c>
      <c r="AG6" s="19">
        <f t="shared" si="0"/>
        <v>2055</v>
      </c>
    </row>
    <row r="7" spans="3:33">
      <c r="C7" s="125" t="s">
        <v>141</v>
      </c>
      <c r="D7" s="126">
        <f>SUM(D13:D20)</f>
        <v>66980.624799999991</v>
      </c>
      <c r="E7" s="126">
        <f>SUM(E13:E32)</f>
        <v>17535.608984408231</v>
      </c>
      <c r="F7" s="126">
        <f t="shared" ref="F7:AG7" si="1">SUM(F13:F32)</f>
        <v>21110.789485995803</v>
      </c>
      <c r="G7" s="126">
        <f t="shared" si="1"/>
        <v>14609.613100045477</v>
      </c>
      <c r="H7" s="126">
        <f t="shared" si="1"/>
        <v>18198.014687832852</v>
      </c>
      <c r="I7" s="126">
        <f t="shared" si="1"/>
        <v>35232.925012226275</v>
      </c>
      <c r="J7" s="126">
        <f t="shared" si="1"/>
        <v>57674.491587065233</v>
      </c>
      <c r="K7" s="126">
        <f t="shared" si="1"/>
        <v>79574.155604194151</v>
      </c>
      <c r="L7" s="126">
        <f t="shared" si="1"/>
        <v>84616.975122593198</v>
      </c>
      <c r="M7" s="126">
        <f t="shared" si="1"/>
        <v>99762.778219472035</v>
      </c>
      <c r="N7" s="126">
        <f t="shared" si="1"/>
        <v>105051.06654600006</v>
      </c>
      <c r="O7" s="126">
        <f t="shared" si="1"/>
        <v>110370.64500001117</v>
      </c>
      <c r="P7" s="126">
        <f t="shared" si="1"/>
        <v>115832.72895021443</v>
      </c>
      <c r="Q7" s="126">
        <f t="shared" si="1"/>
        <v>121402.39789610167</v>
      </c>
      <c r="R7" s="126">
        <f t="shared" si="1"/>
        <v>127111.46240746157</v>
      </c>
      <c r="S7" s="126">
        <f t="shared" si="1"/>
        <v>132870.32361982201</v>
      </c>
      <c r="T7" s="126">
        <f t="shared" si="1"/>
        <v>138768.47016791257</v>
      </c>
      <c r="U7" s="126">
        <f t="shared" si="1"/>
        <v>144777.64762813968</v>
      </c>
      <c r="V7" s="126">
        <f t="shared" si="1"/>
        <v>150919.76036415543</v>
      </c>
      <c r="W7" s="126">
        <f t="shared" si="1"/>
        <v>157132.79985542409</v>
      </c>
      <c r="X7" s="126">
        <f t="shared" si="1"/>
        <v>163478.37516291198</v>
      </c>
      <c r="Y7" s="126">
        <f t="shared" si="1"/>
        <v>169936.70349042962</v>
      </c>
      <c r="Z7" s="126">
        <f t="shared" si="1"/>
        <v>187878.42779205786</v>
      </c>
      <c r="AA7" s="126">
        <f t="shared" si="1"/>
        <v>229159.47723263979</v>
      </c>
      <c r="AB7" s="126">
        <f t="shared" si="1"/>
        <v>236831.762182337</v>
      </c>
      <c r="AC7" s="126">
        <f t="shared" si="1"/>
        <v>244671.82860232922</v>
      </c>
      <c r="AD7" s="126">
        <f t="shared" si="1"/>
        <v>252685.84270443782</v>
      </c>
      <c r="AE7" s="126">
        <f t="shared" si="1"/>
        <v>297118.97964399488</v>
      </c>
      <c r="AF7" s="126">
        <f t="shared" si="1"/>
        <v>353305.75679258443</v>
      </c>
      <c r="AG7" s="126">
        <f t="shared" si="1"/>
        <v>385420.80080648861</v>
      </c>
    </row>
    <row r="8" spans="3:33">
      <c r="C8" s="127" t="s">
        <v>138</v>
      </c>
      <c r="D8" s="128">
        <f>D7+SUM(D38:D47)+D33</f>
        <v>3623680.6247999999</v>
      </c>
      <c r="E8" s="128">
        <f>E7+SUM(E38:E47)+E33</f>
        <v>1789442.3563272841</v>
      </c>
      <c r="F8" s="128">
        <f t="shared" ref="F8:AG8" si="2">F7+SUM(F38:F47)+F33</f>
        <v>2031405.6690234023</v>
      </c>
      <c r="G8" s="128">
        <f t="shared" si="2"/>
        <v>2277646.0284571899</v>
      </c>
      <c r="H8" s="128">
        <f t="shared" si="2"/>
        <v>2548873.8157838257</v>
      </c>
      <c r="I8" s="128">
        <f t="shared" si="2"/>
        <v>2846362.5457396554</v>
      </c>
      <c r="J8" s="128">
        <f t="shared" si="2"/>
        <v>3148352.5208092812</v>
      </c>
      <c r="K8" s="128">
        <f t="shared" si="2"/>
        <v>3466639.9186920249</v>
      </c>
      <c r="L8" s="128">
        <f t="shared" si="2"/>
        <v>3785648.5722421492</v>
      </c>
      <c r="M8" s="128">
        <f t="shared" si="2"/>
        <v>4133423.6844941028</v>
      </c>
      <c r="N8" s="128">
        <f t="shared" si="2"/>
        <v>4490893.4719757298</v>
      </c>
      <c r="O8" s="128">
        <f t="shared" si="2"/>
        <v>4869685.8527051574</v>
      </c>
      <c r="P8" s="128">
        <f t="shared" si="2"/>
        <v>5270966.6125686578</v>
      </c>
      <c r="Q8" s="128">
        <f t="shared" si="2"/>
        <v>5696086.4808053579</v>
      </c>
      <c r="R8" s="128">
        <f t="shared" si="2"/>
        <v>6146331.1247946955</v>
      </c>
      <c r="S8" s="128">
        <f t="shared" si="2"/>
        <v>6623601.2526109219</v>
      </c>
      <c r="T8" s="128">
        <f t="shared" si="2"/>
        <v>7129445.3156943563</v>
      </c>
      <c r="U8" s="128">
        <f t="shared" si="2"/>
        <v>7665605.1687207222</v>
      </c>
      <c r="V8" s="128">
        <f t="shared" si="2"/>
        <v>8729679.6616972592</v>
      </c>
      <c r="W8" s="128">
        <f t="shared" si="2"/>
        <v>8340497.0035779122</v>
      </c>
      <c r="X8" s="128">
        <f t="shared" si="2"/>
        <v>9475228.1372438055</v>
      </c>
      <c r="Y8" s="128">
        <f t="shared" si="2"/>
        <v>10152694.335242195</v>
      </c>
      <c r="Z8" s="128">
        <f t="shared" si="2"/>
        <v>10870694.377910724</v>
      </c>
      <c r="AA8" s="128">
        <f t="shared" si="2"/>
        <v>11619879.622007098</v>
      </c>
      <c r="AB8" s="128">
        <f t="shared" si="2"/>
        <v>12378598.771523254</v>
      </c>
      <c r="AC8" s="128">
        <f t="shared" si="2"/>
        <v>13183329.76310222</v>
      </c>
      <c r="AD8" s="128">
        <f t="shared" si="2"/>
        <v>14036929.388038805</v>
      </c>
      <c r="AE8" s="128">
        <f t="shared" si="2"/>
        <v>14939432.67772173</v>
      </c>
      <c r="AF8" s="128">
        <f t="shared" si="2"/>
        <v>15857125.852695027</v>
      </c>
      <c r="AG8" s="128">
        <f t="shared" si="2"/>
        <v>16781418.434927884</v>
      </c>
    </row>
    <row r="10" spans="3:33">
      <c r="F10" s="104"/>
    </row>
    <row r="12" spans="3:33">
      <c r="D12" t="s">
        <v>157</v>
      </c>
      <c r="E12" t="s">
        <v>158</v>
      </c>
      <c r="F12" t="s">
        <v>159</v>
      </c>
      <c r="G12" t="s">
        <v>160</v>
      </c>
      <c r="H12" t="s">
        <v>161</v>
      </c>
      <c r="I12" t="s">
        <v>162</v>
      </c>
      <c r="J12" t="s">
        <v>163</v>
      </c>
      <c r="K12" t="s">
        <v>164</v>
      </c>
      <c r="L12" t="s">
        <v>165</v>
      </c>
      <c r="M12" t="s">
        <v>166</v>
      </c>
      <c r="N12" t="s">
        <v>167</v>
      </c>
      <c r="O12" t="s">
        <v>168</v>
      </c>
      <c r="P12" t="s">
        <v>169</v>
      </c>
      <c r="Q12" t="s">
        <v>171</v>
      </c>
      <c r="R12" t="s">
        <v>172</v>
      </c>
      <c r="S12" t="s">
        <v>173</v>
      </c>
      <c r="T12" t="s">
        <v>170</v>
      </c>
      <c r="U12" t="s">
        <v>174</v>
      </c>
      <c r="V12" t="s">
        <v>175</v>
      </c>
      <c r="W12" t="s">
        <v>176</v>
      </c>
      <c r="X12" t="s">
        <v>177</v>
      </c>
      <c r="Y12" t="s">
        <v>178</v>
      </c>
      <c r="Z12" t="s">
        <v>179</v>
      </c>
      <c r="AA12" t="s">
        <v>180</v>
      </c>
      <c r="AB12" t="s">
        <v>181</v>
      </c>
      <c r="AC12" t="s">
        <v>182</v>
      </c>
      <c r="AD12" t="s">
        <v>183</v>
      </c>
      <c r="AE12" t="s">
        <v>184</v>
      </c>
      <c r="AF12" t="s">
        <v>185</v>
      </c>
      <c r="AG12" t="s">
        <v>186</v>
      </c>
    </row>
    <row r="13" spans="3:33">
      <c r="C13" s="148" t="s">
        <v>145</v>
      </c>
      <c r="D13" s="103">
        <v>222332.302</v>
      </c>
      <c r="E13" s="103">
        <v>181833.71724419377</v>
      </c>
      <c r="F13" s="103">
        <v>189243.46004828473</v>
      </c>
      <c r="G13" s="103">
        <v>197132.94607289511</v>
      </c>
      <c r="H13" s="103">
        <v>205142.01293857969</v>
      </c>
      <c r="I13" s="103">
        <v>239835.84436808043</v>
      </c>
      <c r="J13" s="103">
        <v>248236.25317230436</v>
      </c>
      <c r="K13" s="103">
        <v>257127.21782156383</v>
      </c>
      <c r="L13" s="103">
        <v>266187.11858553794</v>
      </c>
      <c r="M13" s="103">
        <v>275534.7095107864</v>
      </c>
      <c r="N13" s="103">
        <v>285082.04866625567</v>
      </c>
      <c r="O13" s="103">
        <v>295130.64446488232</v>
      </c>
      <c r="P13" s="103">
        <v>305408.14340521145</v>
      </c>
      <c r="Q13" s="103">
        <v>316019.88761480706</v>
      </c>
      <c r="R13" s="103">
        <v>326901.15811858332</v>
      </c>
      <c r="S13" s="103">
        <v>338293.9027326483</v>
      </c>
      <c r="T13" s="103">
        <v>349988.75519272225</v>
      </c>
      <c r="U13" s="103">
        <v>362073.79265271535</v>
      </c>
      <c r="V13" s="103">
        <v>374513.93411240948</v>
      </c>
      <c r="W13" s="103">
        <v>387474.77111174597</v>
      </c>
      <c r="X13" s="103">
        <v>400827.48240675358</v>
      </c>
      <c r="Y13" s="103">
        <v>414637.93678533571</v>
      </c>
      <c r="Z13" s="103">
        <v>428845.78429155232</v>
      </c>
      <c r="AA13" s="103">
        <v>441676.3935232709</v>
      </c>
      <c r="AB13" s="103">
        <v>453987.90866087587</v>
      </c>
      <c r="AC13" s="103">
        <v>466648.73189455172</v>
      </c>
      <c r="AD13" s="103">
        <v>479664.19938725082</v>
      </c>
      <c r="AE13" s="103">
        <v>493062.44495125732</v>
      </c>
      <c r="AF13" s="103">
        <v>506773.14576935605</v>
      </c>
      <c r="AG13" s="103">
        <v>520077.93423515867</v>
      </c>
    </row>
    <row r="14" spans="3:33">
      <c r="C14" s="148" t="s">
        <v>144</v>
      </c>
      <c r="D14" s="103">
        <v>41620.800000000003</v>
      </c>
      <c r="E14" s="103">
        <v>-15570.312841674815</v>
      </c>
      <c r="F14" s="103">
        <v>-13528.343036812112</v>
      </c>
      <c r="G14" s="103">
        <v>-11077.195772980027</v>
      </c>
      <c r="H14" s="103">
        <v>-8673.5640873591565</v>
      </c>
      <c r="I14" s="103">
        <v>-6161.2748642598308</v>
      </c>
      <c r="J14" s="103">
        <v>-3683.2491909989203</v>
      </c>
      <c r="K14" s="103">
        <v>-797.51477225750205</v>
      </c>
      <c r="L14" s="103">
        <v>2075.2832143205233</v>
      </c>
      <c r="M14" s="103">
        <v>5081.2913346480309</v>
      </c>
      <c r="N14" s="103">
        <v>8094.5926664401741</v>
      </c>
      <c r="O14" s="103">
        <v>11512.927308037275</v>
      </c>
      <c r="P14" s="103">
        <v>14962.03836264114</v>
      </c>
      <c r="Q14" s="103">
        <v>18575.13891917334</v>
      </c>
      <c r="R14" s="103">
        <v>22248.180043051034</v>
      </c>
      <c r="S14" s="103">
        <v>26321.926923172032</v>
      </c>
      <c r="T14" s="103">
        <v>30481.821338393085</v>
      </c>
      <c r="U14" s="103">
        <v>34844.397173786478</v>
      </c>
      <c r="V14" s="103">
        <v>39333.73254695686</v>
      </c>
      <c r="W14" s="103">
        <v>44217.208198382912</v>
      </c>
      <c r="X14" s="103">
        <v>49257.098463656686</v>
      </c>
      <c r="Y14" s="103">
        <v>54548.431956217843</v>
      </c>
      <c r="Z14" s="103">
        <v>60051.468898455038</v>
      </c>
      <c r="AA14" s="103">
        <v>65939.074579343782</v>
      </c>
      <c r="AB14" s="103">
        <v>72072.412114355073</v>
      </c>
      <c r="AC14" s="103">
        <v>78518.787402953007</v>
      </c>
      <c r="AD14" s="103">
        <v>85285.009726685908</v>
      </c>
      <c r="AE14" s="103">
        <v>91863.709213076057</v>
      </c>
      <c r="AF14" s="103">
        <v>95225.38020632547</v>
      </c>
      <c r="AG14" s="103">
        <v>98082.141612515232</v>
      </c>
    </row>
    <row r="15" spans="3:33">
      <c r="C15" s="148" t="s">
        <v>143</v>
      </c>
      <c r="D15" s="103">
        <v>96368.577999999994</v>
      </c>
      <c r="E15" s="103">
        <v>84442.681585325874</v>
      </c>
      <c r="F15" s="103">
        <v>87146.86493388252</v>
      </c>
      <c r="G15" s="103">
        <v>90006.340167616421</v>
      </c>
      <c r="H15" s="103">
        <v>92909.781229587024</v>
      </c>
      <c r="I15" s="103">
        <v>95897.048036819935</v>
      </c>
      <c r="J15" s="103">
        <v>98934.123174913504</v>
      </c>
      <c r="K15" s="103">
        <v>102131.82056749379</v>
      </c>
      <c r="L15" s="103">
        <v>105387.34651326804</v>
      </c>
      <c r="M15" s="103">
        <v>108738.35503397476</v>
      </c>
      <c r="N15" s="103">
        <v>112154.90299460251</v>
      </c>
      <c r="O15" s="103">
        <v>115737.69519060598</v>
      </c>
      <c r="P15" s="103">
        <v>119394.83121179305</v>
      </c>
      <c r="Q15" s="103">
        <v>123161.10886574292</v>
      </c>
      <c r="R15" s="103">
        <v>127011.76878269401</v>
      </c>
      <c r="S15" s="103">
        <v>131034.5389761777</v>
      </c>
      <c r="T15" s="103">
        <v>135151.43178476841</v>
      </c>
      <c r="U15" s="103">
        <v>139393.55271846405</v>
      </c>
      <c r="V15" s="103">
        <v>143742.74316145771</v>
      </c>
      <c r="W15" s="103">
        <v>148270.07911907282</v>
      </c>
      <c r="X15" s="103">
        <v>152915.34790820125</v>
      </c>
      <c r="Y15" s="103">
        <v>157704.88843929899</v>
      </c>
      <c r="Z15" s="103">
        <v>162628.31569016306</v>
      </c>
      <c r="AA15" s="103">
        <v>167716.73444968846</v>
      </c>
      <c r="AB15" s="103">
        <v>172941.57667914339</v>
      </c>
      <c r="AC15" s="103">
        <v>178331.42973902606</v>
      </c>
      <c r="AD15" s="103">
        <v>183886.80844735968</v>
      </c>
      <c r="AE15" s="103">
        <v>189630.89832047731</v>
      </c>
      <c r="AF15" s="103">
        <v>195488.29792789312</v>
      </c>
      <c r="AG15" s="103">
        <v>200735.42727639838</v>
      </c>
    </row>
    <row r="16" spans="3:33">
      <c r="C16" s="131"/>
      <c r="D16" s="103"/>
      <c r="E16" s="103"/>
      <c r="F16" s="103"/>
      <c r="G16" s="103"/>
      <c r="H16" s="103"/>
      <c r="I16" s="103"/>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row>
    <row r="17" spans="2:33">
      <c r="C17" s="122" t="s">
        <v>187</v>
      </c>
      <c r="D17" s="103">
        <f>-1*$F$3*D13</f>
        <v>-64476.367579999991</v>
      </c>
      <c r="E17" s="103">
        <f t="shared" ref="E17:AG17" si="3">-1*$F$3*E13</f>
        <v>-52731.778000816194</v>
      </c>
      <c r="F17" s="103">
        <f t="shared" si="3"/>
        <v>-54880.603414002566</v>
      </c>
      <c r="G17" s="103">
        <f t="shared" si="3"/>
        <v>-57168.554361139577</v>
      </c>
      <c r="H17" s="103">
        <f t="shared" si="3"/>
        <v>-59491.183752188103</v>
      </c>
      <c r="I17" s="103">
        <f t="shared" si="3"/>
        <v>-69552.394866743314</v>
      </c>
      <c r="J17" s="103">
        <f t="shared" si="3"/>
        <v>-71988.513419968265</v>
      </c>
      <c r="K17" s="103">
        <f t="shared" si="3"/>
        <v>-74566.893168253504</v>
      </c>
      <c r="L17" s="103">
        <f t="shared" si="3"/>
        <v>-77194.264389806005</v>
      </c>
      <c r="M17" s="103">
        <f t="shared" si="3"/>
        <v>-79905.065758128054</v>
      </c>
      <c r="N17" s="103">
        <f t="shared" si="3"/>
        <v>-82673.794113214142</v>
      </c>
      <c r="O17" s="103">
        <f t="shared" si="3"/>
        <v>-85587.886894815863</v>
      </c>
      <c r="P17" s="103">
        <f t="shared" si="3"/>
        <v>-88568.361587511317</v>
      </c>
      <c r="Q17" s="103">
        <f t="shared" si="3"/>
        <v>-91645.767408294036</v>
      </c>
      <c r="R17" s="103">
        <f t="shared" si="3"/>
        <v>-94801.335854389152</v>
      </c>
      <c r="S17" s="103">
        <f t="shared" si="3"/>
        <v>-98105.231792467996</v>
      </c>
      <c r="T17" s="103">
        <f t="shared" si="3"/>
        <v>-101496.73900588945</v>
      </c>
      <c r="U17" s="103">
        <f t="shared" si="3"/>
        <v>-105001.39986928744</v>
      </c>
      <c r="V17" s="103">
        <f t="shared" si="3"/>
        <v>-108609.04089259874</v>
      </c>
      <c r="W17" s="103">
        <f t="shared" si="3"/>
        <v>-112367.68362240633</v>
      </c>
      <c r="X17" s="103">
        <f t="shared" si="3"/>
        <v>-116239.96989795854</v>
      </c>
      <c r="Y17" s="103">
        <f t="shared" si="3"/>
        <v>-120245.00166774735</v>
      </c>
      <c r="Z17" s="103">
        <f t="shared" si="3"/>
        <v>-124365.27744455017</v>
      </c>
      <c r="AA17" s="103">
        <f t="shared" si="3"/>
        <v>-128086.15412174855</v>
      </c>
      <c r="AB17" s="103">
        <f t="shared" si="3"/>
        <v>-131656.493511654</v>
      </c>
      <c r="AC17" s="103">
        <f t="shared" si="3"/>
        <v>-135328.13224941998</v>
      </c>
      <c r="AD17" s="103">
        <f t="shared" si="3"/>
        <v>-139102.61782230274</v>
      </c>
      <c r="AE17" s="103">
        <f t="shared" si="3"/>
        <v>-142988.10903586462</v>
      </c>
      <c r="AF17" s="103">
        <f t="shared" si="3"/>
        <v>-146964.21227311325</v>
      </c>
      <c r="AG17" s="103">
        <f t="shared" si="3"/>
        <v>-150822.60092819601</v>
      </c>
    </row>
    <row r="18" spans="2:33">
      <c r="C18" s="122" t="s">
        <v>188</v>
      </c>
      <c r="D18" s="103">
        <f>-1*$F$3*D15</f>
        <v>-27946.887619999998</v>
      </c>
      <c r="E18" s="103">
        <f t="shared" ref="E18:AG18" si="4">-1*$F$3*E15</f>
        <v>-24488.377659744503</v>
      </c>
      <c r="F18" s="103">
        <f t="shared" si="4"/>
        <v>-25272.590830825928</v>
      </c>
      <c r="G18" s="103">
        <f t="shared" si="4"/>
        <v>-26101.838648608762</v>
      </c>
      <c r="H18" s="103">
        <f t="shared" si="4"/>
        <v>-26943.836556580234</v>
      </c>
      <c r="I18" s="103">
        <f t="shared" si="4"/>
        <v>-27810.143930677779</v>
      </c>
      <c r="J18" s="103">
        <f t="shared" si="4"/>
        <v>-28690.895720724915</v>
      </c>
      <c r="K18" s="103">
        <f t="shared" si="4"/>
        <v>-29618.227964573198</v>
      </c>
      <c r="L18" s="103">
        <f t="shared" si="4"/>
        <v>-30562.330488847729</v>
      </c>
      <c r="M18" s="103">
        <f t="shared" si="4"/>
        <v>-31534.122959852677</v>
      </c>
      <c r="N18" s="103">
        <f t="shared" si="4"/>
        <v>-32524.921868434725</v>
      </c>
      <c r="O18" s="103">
        <f t="shared" si="4"/>
        <v>-33563.931605275735</v>
      </c>
      <c r="P18" s="103">
        <f t="shared" si="4"/>
        <v>-34624.501051419982</v>
      </c>
      <c r="Q18" s="103">
        <f t="shared" si="4"/>
        <v>-35716.721571065442</v>
      </c>
      <c r="R18" s="103">
        <f t="shared" si="4"/>
        <v>-36833.412946981261</v>
      </c>
      <c r="S18" s="103">
        <f t="shared" si="4"/>
        <v>-38000.016303091528</v>
      </c>
      <c r="T18" s="103">
        <f t="shared" si="4"/>
        <v>-39193.915217582835</v>
      </c>
      <c r="U18" s="103">
        <f t="shared" si="4"/>
        <v>-40424.130288354572</v>
      </c>
      <c r="V18" s="103">
        <f t="shared" si="4"/>
        <v>-41685.395516822733</v>
      </c>
      <c r="W18" s="103">
        <f t="shared" si="4"/>
        <v>-42998.322944531115</v>
      </c>
      <c r="X18" s="103">
        <f t="shared" si="4"/>
        <v>-44345.450893378358</v>
      </c>
      <c r="Y18" s="103">
        <f t="shared" si="4"/>
        <v>-45734.417647396702</v>
      </c>
      <c r="Z18" s="103">
        <f t="shared" si="4"/>
        <v>-47162.21155014728</v>
      </c>
      <c r="AA18" s="103">
        <f t="shared" si="4"/>
        <v>-48637.85299040965</v>
      </c>
      <c r="AB18" s="103">
        <f t="shared" si="4"/>
        <v>-50153.057236951579</v>
      </c>
      <c r="AC18" s="103">
        <f t="shared" si="4"/>
        <v>-51716.114624317554</v>
      </c>
      <c r="AD18" s="103">
        <f t="shared" si="4"/>
        <v>-53327.174449734302</v>
      </c>
      <c r="AE18" s="103">
        <f t="shared" si="4"/>
        <v>-54992.960512938414</v>
      </c>
      <c r="AF18" s="103">
        <f t="shared" si="4"/>
        <v>-56691.606399089003</v>
      </c>
      <c r="AG18" s="103">
        <f t="shared" si="4"/>
        <v>-58213.273910155527</v>
      </c>
    </row>
    <row r="19" spans="2:33">
      <c r="C19" s="123" t="s">
        <v>140</v>
      </c>
      <c r="D19" s="1">
        <v>-105678</v>
      </c>
      <c r="E19" s="1">
        <f>-1*SUMPRODUCT((E6=Repayments!$AZ$49:$CC$49)*(Repayments!$AZ$50:$CC$50))</f>
        <v>-47853.327342875942</v>
      </c>
      <c r="F19" s="1">
        <f>-1*SUMPRODUCT((F6=Repayments!$AZ$49:$CC$49)*(Repayments!$AZ$50:$CC$50))</f>
        <v>-50558.09439453081</v>
      </c>
      <c r="G19" s="1">
        <f>-1*SUMPRODUCT((G6=Repayments!$AZ$49:$CC$49)*(Repayments!$AZ$50:$CC$50))</f>
        <v>-54110.983423137703</v>
      </c>
      <c r="H19" s="1">
        <f>-1*SUMPRODUCT((H6=Repayments!$AZ$49:$CC$49)*(Repayments!$AZ$50:$CC$50))</f>
        <v>-57551.961121568376</v>
      </c>
      <c r="I19" s="1">
        <f>-1*SUMPRODUCT((I6=Repayments!$AZ$49:$CC$49)*(Repayments!$AZ$50:$CC$50))</f>
        <v>-59567.122749476039</v>
      </c>
      <c r="J19" s="1">
        <f>-1*SUMPRODUCT((J6=Repayments!$AZ$49:$CC$49)*(Repayments!$AZ$50:$CC$50))</f>
        <v>-44411.924517497864</v>
      </c>
      <c r="K19" s="1">
        <f>-1*SUMPRODUCT((K6=Repayments!$AZ$49:$CC$49)*(Repayments!$AZ$50:$CC$50))</f>
        <v>-47569.305911487711</v>
      </c>
      <c r="L19" s="1">
        <f>-1*SUMPRODUCT((L6=Repayments!$AZ$49:$CC$49)*(Repayments!$AZ$50:$CC$50))</f>
        <v>-50629.249114539256</v>
      </c>
      <c r="M19" s="1">
        <f>-1*SUMPRODUCT((M6=Repayments!$AZ$49:$CC$49)*(Repayments!$AZ$50:$CC$50))</f>
        <v>-53886.051868695875</v>
      </c>
      <c r="N19" s="1">
        <f>-1*SUMPRODUCT((N6=Repayments!$AZ$49:$CC$49)*(Repayments!$AZ$50:$CC$50))</f>
        <v>-57087.434614191137</v>
      </c>
      <c r="O19" s="1">
        <f>-1*SUMPRODUCT((O6=Repayments!$AZ$49:$CC$49)*(Repayments!$AZ$50:$CC$50))</f>
        <v>-61024.646462400771</v>
      </c>
      <c r="P19" s="1">
        <f>-1*SUMPRODUCT((P6=Repayments!$AZ$49:$CC$49)*(Repayments!$AZ$50:$CC$50))</f>
        <v>-64950.239679447135</v>
      </c>
      <c r="Q19" s="1">
        <f>-1*SUMPRODUCT((Q6=Repayments!$AZ$49:$CC$49)*(Repayments!$AZ$50:$CC$50))</f>
        <v>-69128.391361877875</v>
      </c>
      <c r="R19" s="1">
        <f>-1*SUMPRODUCT((R6=Repayments!$AZ$49:$CC$49)*(Repayments!$AZ$50:$CC$50))</f>
        <v>-73356.152858240472</v>
      </c>
      <c r="S19" s="1">
        <f>-1*SUMPRODUCT((S6=Repayments!$AZ$49:$CC$49)*(Repayments!$AZ$50:$CC$50))</f>
        <v>-78294.291753042868</v>
      </c>
      <c r="T19" s="1">
        <f>-1*SUMPRODUCT((T6=Repayments!$AZ$49:$CC$49)*(Repayments!$AZ$50:$CC$50))</f>
        <v>-83330.963606018122</v>
      </c>
      <c r="U19" s="1">
        <f>-1*SUMPRODUCT((U6=Repayments!$AZ$49:$CC$49)*(Repayments!$AZ$50:$CC$50))</f>
        <v>-88691.686831148923</v>
      </c>
      <c r="V19" s="1">
        <f>-1*SUMPRODUCT((V6=Repayments!$AZ$49:$CC$49)*(Repayments!$AZ$50:$CC$50))</f>
        <v>-94236.828781370888</v>
      </c>
      <c r="W19" s="1">
        <f>-1*SUMPRODUCT((W6=Repayments!$AZ$49:$CC$49)*(Repayments!$AZ$50:$CC$50))</f>
        <v>-100459.68621298765</v>
      </c>
      <c r="X19" s="1">
        <f>-1*SUMPRODUCT((X6=Repayments!$AZ$49:$CC$49)*(Repayments!$AZ$50:$CC$50))</f>
        <v>-106922.46005669447</v>
      </c>
      <c r="Y19" s="1">
        <f>-1*SUMPRODUCT((Y6=Repayments!$AZ$49:$CC$49)*(Repayments!$AZ$50:$CC$50))</f>
        <v>-113801.05142458077</v>
      </c>
      <c r="Z19" s="1">
        <f>-1*SUMPRODUCT((Z6=Repayments!$AZ$49:$CC$49)*(Repayments!$AZ$50:$CC$50))</f>
        <v>-109630.34665419594</v>
      </c>
      <c r="AA19" s="1">
        <f>-1*SUMPRODUCT((AA6=Repayments!$AZ$49:$CC$49)*(Repayments!$AZ$50:$CC$50))</f>
        <v>-81484.733605109534</v>
      </c>
      <c r="AB19" s="1">
        <f>-1*SUMPRODUCT((AB6=Repayments!$AZ$49:$CC$49)*(Repayments!$AZ$50:$CC$50))</f>
        <v>-86757.68038296407</v>
      </c>
      <c r="AC19" s="1">
        <f>-1*SUMPRODUCT((AC6=Repayments!$AZ$49:$CC$49)*(Repayments!$AZ$50:$CC$50))</f>
        <v>-92371.882295782314</v>
      </c>
      <c r="AD19" s="1">
        <f>-1*SUMPRODUCT((AD6=Repayments!$AZ$49:$CC$49)*(Repayments!$AZ$50:$CC$50))</f>
        <v>-98327.061582199589</v>
      </c>
      <c r="AE19" s="1">
        <f>-1*SUMPRODUCT((AE6=Repayments!$AZ$49:$CC$49)*(Repayments!$AZ$50:$CC$50))</f>
        <v>-67901.882659312032</v>
      </c>
      <c r="AF19" s="1">
        <f>-1*SUMPRODUCT((AF6=Repayments!$AZ$49:$CC$49)*(Repayments!$AZ$50:$CC$50))</f>
        <v>-22623.474187106203</v>
      </c>
      <c r="AG19" s="1">
        <f>-1*SUMPRODUCT((AG6=Repayments!$AZ$49:$CC$49)*(Repayments!$AZ$50:$CC$50))</f>
        <v>0</v>
      </c>
    </row>
    <row r="20" spans="2:33">
      <c r="C20" s="124" t="s">
        <v>136</v>
      </c>
      <c r="D20" s="1">
        <f>-12*SUMPRODUCT((D6=Expenses!$J$2:$AM$2)*(Expenses!$J$3:$AM$41))</f>
        <v>-95239.799999999988</v>
      </c>
      <c r="E20" s="1">
        <f>-12*SUMPRODUCT((E6=Expenses!$J$2:$AM$2)*(Expenses!$J$3:$AM$41))</f>
        <v>-98096.994000000006</v>
      </c>
      <c r="F20" s="1">
        <f>-12*SUMPRODUCT((F6=Expenses!$J$2:$AM$2)*(Expenses!$J$3:$AM$41))</f>
        <v>-101039.90382000001</v>
      </c>
      <c r="G20" s="1">
        <f>-12*SUMPRODUCT((G6=Expenses!$J$2:$AM$2)*(Expenses!$J$3:$AM$41))</f>
        <v>-104071.10093459999</v>
      </c>
      <c r="H20" s="1">
        <f>-12*SUMPRODUCT((H6=Expenses!$J$2:$AM$2)*(Expenses!$J$3:$AM$41))</f>
        <v>-107193.23396263801</v>
      </c>
      <c r="I20" s="1">
        <f>-12*SUMPRODUCT((I6=Expenses!$J$2:$AM$2)*(Expenses!$J$3:$AM$41))</f>
        <v>-110409.03098151711</v>
      </c>
      <c r="J20" s="1">
        <f>-12*SUMPRODUCT((J6=Expenses!$J$2:$AM$2)*(Expenses!$J$3:$AM$41))</f>
        <v>-113721.30191096266</v>
      </c>
      <c r="K20" s="1">
        <f>-12*SUMPRODUCT((K6=Expenses!$J$2:$AM$2)*(Expenses!$J$3:$AM$41))</f>
        <v>-117132.94096829154</v>
      </c>
      <c r="L20" s="1">
        <f>-12*SUMPRODUCT((L6=Expenses!$J$2:$AM$2)*(Expenses!$J$3:$AM$41))</f>
        <v>-120646.9291973403</v>
      </c>
      <c r="M20" s="1">
        <f>-12*SUMPRODUCT((M6=Expenses!$J$2:$AM$2)*(Expenses!$J$3:$AM$41))</f>
        <v>-124266.33707326051</v>
      </c>
      <c r="N20" s="1">
        <f>-12*SUMPRODUCT((N6=Expenses!$J$2:$AM$2)*(Expenses!$J$3:$AM$41))</f>
        <v>-127994.32718545834</v>
      </c>
      <c r="O20" s="1">
        <f>-12*SUMPRODUCT((O6=Expenses!$J$2:$AM$2)*(Expenses!$J$3:$AM$41))</f>
        <v>-131834.15700102207</v>
      </c>
      <c r="P20" s="1">
        <f>-12*SUMPRODUCT((P6=Expenses!$J$2:$AM$2)*(Expenses!$J$3:$AM$41))</f>
        <v>-135789.18171105275</v>
      </c>
      <c r="Q20" s="1">
        <f>-12*SUMPRODUCT((Q6=Expenses!$J$2:$AM$2)*(Expenses!$J$3:$AM$41))</f>
        <v>-139862.85716238432</v>
      </c>
      <c r="R20" s="1">
        <f>-12*SUMPRODUCT((R6=Expenses!$J$2:$AM$2)*(Expenses!$J$3:$AM$41))</f>
        <v>-144058.74287725586</v>
      </c>
      <c r="S20" s="1">
        <f>-12*SUMPRODUCT((S6=Expenses!$J$2:$AM$2)*(Expenses!$J$3:$AM$41))</f>
        <v>-148380.50516357357</v>
      </c>
      <c r="T20" s="1">
        <f>-12*SUMPRODUCT((T6=Expenses!$J$2:$AM$2)*(Expenses!$J$3:$AM$41))</f>
        <v>-152831.92031848078</v>
      </c>
      <c r="U20" s="1">
        <f>-12*SUMPRODUCT((U6=Expenses!$J$2:$AM$2)*(Expenses!$J$3:$AM$41))</f>
        <v>-157416.87792803519</v>
      </c>
      <c r="V20" s="1">
        <f>-12*SUMPRODUCT((V6=Expenses!$J$2:$AM$2)*(Expenses!$J$3:$AM$41))</f>
        <v>-162139.38426587623</v>
      </c>
      <c r="W20" s="1">
        <f>-12*SUMPRODUCT((W6=Expenses!$J$2:$AM$2)*(Expenses!$J$3:$AM$41))</f>
        <v>-167003.56579385255</v>
      </c>
      <c r="X20" s="1">
        <f>-12*SUMPRODUCT((X6=Expenses!$J$2:$AM$2)*(Expenses!$J$3:$AM$41))</f>
        <v>-172013.67276766812</v>
      </c>
      <c r="Y20" s="1">
        <f>-12*SUMPRODUCT((Y6=Expenses!$J$2:$AM$2)*(Expenses!$J$3:$AM$41))</f>
        <v>-177174.08295069815</v>
      </c>
      <c r="Z20" s="1">
        <f>-12*SUMPRODUCT((Z6=Expenses!$J$2:$AM$2)*(Expenses!$J$3:$AM$41))</f>
        <v>-182489.30543921911</v>
      </c>
      <c r="AA20" s="1">
        <f>-12*SUMPRODUCT((AA6=Expenses!$J$2:$AM$2)*(Expenses!$J$3:$AM$41))</f>
        <v>-187963.98460239568</v>
      </c>
      <c r="AB20" s="1">
        <f>-12*SUMPRODUCT((AB6=Expenses!$J$2:$AM$2)*(Expenses!$J$3:$AM$41))</f>
        <v>-193602.90414046758</v>
      </c>
      <c r="AC20" s="1">
        <f>-12*SUMPRODUCT((AC6=Expenses!$J$2:$AM$2)*(Expenses!$J$3:$AM$41))</f>
        <v>-199410.99126468159</v>
      </c>
      <c r="AD20" s="1">
        <f>-12*SUMPRODUCT((AD6=Expenses!$J$2:$AM$2)*(Expenses!$J$3:$AM$41))</f>
        <v>-205393.32100262205</v>
      </c>
      <c r="AE20" s="1">
        <f>-12*SUMPRODUCT((AE6=Expenses!$J$2:$AM$2)*(Expenses!$J$3:$AM$41))</f>
        <v>-211555.12063270074</v>
      </c>
      <c r="AF20" s="1">
        <f>-12*SUMPRODUCT((AF6=Expenses!$J$2:$AM$2)*(Expenses!$J$3:$AM$41))</f>
        <v>-217901.77425168175</v>
      </c>
      <c r="AG20" s="1">
        <f>-12*SUMPRODUCT((AG6=Expenses!$J$2:$AM$2)*(Expenses!$J$3:$AM$41))</f>
        <v>-224438.82747923222</v>
      </c>
    </row>
    <row r="21" spans="2:33">
      <c r="C21" s="124"/>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spans="2:33">
      <c r="B22" t="s">
        <v>226</v>
      </c>
      <c r="C22" s="149" t="s">
        <v>227</v>
      </c>
      <c r="D22" s="1"/>
      <c r="E22" s="1">
        <v>-10000</v>
      </c>
      <c r="F22" s="1">
        <v>-10000</v>
      </c>
      <c r="G22" s="1">
        <v>-10000</v>
      </c>
      <c r="H22" s="1">
        <v>-10000</v>
      </c>
      <c r="I22" s="1">
        <v>-7000</v>
      </c>
      <c r="J22" s="1">
        <v>-7000</v>
      </c>
      <c r="K22" s="1"/>
      <c r="L22" s="1"/>
      <c r="M22" s="1"/>
      <c r="N22" s="1"/>
      <c r="O22" s="1"/>
      <c r="P22" s="1"/>
      <c r="Q22" s="1"/>
      <c r="R22" s="1"/>
      <c r="S22" s="1"/>
      <c r="T22" s="1"/>
      <c r="U22" s="1"/>
      <c r="V22" s="1"/>
      <c r="W22" s="1"/>
      <c r="X22" s="1"/>
      <c r="Y22" s="1"/>
      <c r="Z22" s="1"/>
      <c r="AA22" s="1"/>
      <c r="AB22" s="1"/>
      <c r="AC22" s="1"/>
      <c r="AD22" s="1"/>
      <c r="AE22" s="1"/>
      <c r="AF22" s="1"/>
      <c r="AG22" s="1"/>
    </row>
    <row r="23" spans="2:33">
      <c r="C23" s="149" t="s">
        <v>228</v>
      </c>
      <c r="D23" s="1"/>
      <c r="E23" s="1"/>
      <c r="F23" s="1"/>
      <c r="G23" s="1">
        <v>-10000</v>
      </c>
      <c r="H23" s="1">
        <v>-10000</v>
      </c>
      <c r="I23" s="1">
        <v>-10000</v>
      </c>
      <c r="J23" s="1">
        <v>-10000</v>
      </c>
      <c r="K23" s="1"/>
      <c r="L23" s="1"/>
      <c r="M23" s="1"/>
      <c r="N23" s="1"/>
      <c r="O23" s="1"/>
      <c r="P23" s="1"/>
      <c r="Q23" s="1"/>
      <c r="R23" s="1"/>
      <c r="S23" s="1"/>
      <c r="T23" s="1"/>
      <c r="U23" s="1"/>
      <c r="V23" s="1"/>
      <c r="W23" s="1"/>
      <c r="X23" s="1"/>
      <c r="Y23" s="1"/>
      <c r="Z23" s="1"/>
      <c r="AA23" s="1"/>
      <c r="AB23" s="1"/>
      <c r="AC23" s="1"/>
      <c r="AD23" s="1"/>
      <c r="AE23" s="1"/>
      <c r="AF23" s="1"/>
      <c r="AG23" s="1"/>
    </row>
    <row r="24" spans="2:33">
      <c r="C24" s="149" t="s">
        <v>229</v>
      </c>
      <c r="D24" s="1"/>
      <c r="E24" s="1"/>
      <c r="F24" s="1"/>
      <c r="G24" s="1"/>
      <c r="H24" s="1"/>
      <c r="I24" s="1">
        <v>-10000</v>
      </c>
      <c r="J24" s="1">
        <v>-10000</v>
      </c>
      <c r="K24" s="1">
        <v>-10000</v>
      </c>
      <c r="L24" s="1">
        <v>-10000</v>
      </c>
      <c r="M24" s="1"/>
      <c r="N24" s="1"/>
      <c r="O24" s="1"/>
      <c r="P24" s="1"/>
      <c r="Q24" s="1"/>
      <c r="R24" s="1"/>
      <c r="S24" s="1"/>
      <c r="T24" s="1"/>
      <c r="U24" s="1"/>
      <c r="V24" s="1"/>
      <c r="W24" s="1"/>
      <c r="X24" s="1"/>
      <c r="Y24" s="1"/>
      <c r="Z24" s="1"/>
      <c r="AA24" s="1"/>
      <c r="AB24" s="1"/>
      <c r="AC24" s="1"/>
      <c r="AD24" s="1"/>
      <c r="AE24" s="1"/>
      <c r="AF24" s="1"/>
      <c r="AG24" s="1"/>
    </row>
    <row r="25" spans="2:33">
      <c r="C25" s="149" t="s">
        <v>230</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row>
    <row r="26" spans="2:33">
      <c r="C26" s="149" t="s">
        <v>231</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spans="2:33">
      <c r="C27" s="149" t="s">
        <v>232</v>
      </c>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row>
    <row r="28" spans="2:33">
      <c r="C28" s="149"/>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row>
    <row r="29" spans="2:33">
      <c r="C29" s="149"/>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spans="2:33">
      <c r="C30" s="149"/>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spans="2:33">
      <c r="C31" s="149"/>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spans="2:33">
      <c r="C32" s="149"/>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row>
    <row r="33" spans="2:33">
      <c r="C33" s="129" t="s">
        <v>137</v>
      </c>
      <c r="D33" s="129">
        <f>-1*SUMPRODUCT((D6=Repayments!$AZ$12:$CC$12)*(Repayments!$AZ$13:$CC$13))</f>
        <v>0</v>
      </c>
      <c r="E33" s="129">
        <f>-1*SUMPRODUCT((E6=Repayments!$AZ$12:$CC$12)*(Repayments!$AZ$13:$CC$13))</f>
        <v>-1962440.6526571242</v>
      </c>
      <c r="F33" s="129">
        <f>-1*SUMPRODUCT((F6=Repayments!$AZ$12:$CC$12)*(Repayments!$AZ$13:$CC$13))</f>
        <v>-1911882.5582625933</v>
      </c>
      <c r="G33" s="129">
        <f>-1*SUMPRODUCT((G6=Repayments!$AZ$12:$CC$12)*(Repayments!$AZ$13:$CC$13))</f>
        <v>-1857771.574839456</v>
      </c>
      <c r="H33" s="129">
        <f>-1*SUMPRODUCT((H6=Repayments!$AZ$12:$CC$12)*(Repayments!$AZ$13:$CC$13))</f>
        <v>-1800219.6137178876</v>
      </c>
      <c r="I33" s="129">
        <f>-1*SUMPRODUCT((I6=Repayments!$AZ$12:$CC$12)*(Repayments!$AZ$13:$CC$13))</f>
        <v>-1742007.3620288726</v>
      </c>
      <c r="J33" s="129">
        <f>-1*SUMPRODUCT((J6=Repayments!$AZ$12:$CC$12)*(Repayments!$AZ$13:$CC$13))</f>
        <v>-1697595.4375113747</v>
      </c>
      <c r="K33" s="129">
        <f>-1*SUMPRODUCT((K6=Repayments!$AZ$12:$CC$12)*(Repayments!$AZ$13:$CC$13))</f>
        <v>-1650026.1315998868</v>
      </c>
      <c r="L33" s="129">
        <f>-1*SUMPRODUCT((L6=Repayments!$AZ$12:$CC$12)*(Repayments!$AZ$13:$CC$13))</f>
        <v>-1599396.8824853476</v>
      </c>
      <c r="M33" s="129">
        <f>-1*SUMPRODUCT((M6=Repayments!$AZ$12:$CC$12)*(Repayments!$AZ$13:$CC$13))</f>
        <v>-1545510.8306166516</v>
      </c>
      <c r="N33" s="129">
        <f>-1*SUMPRODUCT((N6=Repayments!$AZ$12:$CC$12)*(Repayments!$AZ$13:$CC$13))</f>
        <v>-1488423.3960024603</v>
      </c>
      <c r="O33" s="129">
        <f>-1*SUMPRODUCT((O6=Repayments!$AZ$12:$CC$12)*(Repayments!$AZ$13:$CC$13))</f>
        <v>-1427398.7495400598</v>
      </c>
      <c r="P33" s="129">
        <f>-1*SUMPRODUCT((P6=Repayments!$AZ$12:$CC$12)*(Repayments!$AZ$13:$CC$13))</f>
        <v>-1362448.5098606125</v>
      </c>
      <c r="Q33" s="129">
        <f>-1*SUMPRODUCT((Q6=Repayments!$AZ$12:$CC$12)*(Repayments!$AZ$13:$CC$13))</f>
        <v>-1293320.1184987347</v>
      </c>
      <c r="R33" s="129">
        <f>-1*SUMPRODUCT((R6=Repayments!$AZ$12:$CC$12)*(Repayments!$AZ$13:$CC$13))</f>
        <v>-1219963.9656404946</v>
      </c>
      <c r="S33" s="129">
        <f>-1*SUMPRODUCT((S6=Repayments!$AZ$12:$CC$12)*(Repayments!$AZ$13:$CC$13))</f>
        <v>-1141669.6738874519</v>
      </c>
      <c r="T33" s="129">
        <f>-1*SUMPRODUCT((T6=Repayments!$AZ$12:$CC$12)*(Repayments!$AZ$13:$CC$13))</f>
        <v>-1058338.7102814338</v>
      </c>
      <c r="U33" s="129">
        <f>-1*SUMPRODUCT((U6=Repayments!$AZ$12:$CC$12)*(Repayments!$AZ$13:$CC$13))</f>
        <v>-969647.02345028496</v>
      </c>
      <c r="V33" s="129">
        <f>-1*SUMPRODUCT((V6=Repayments!$AZ$12:$CC$12)*(Repayments!$AZ$13:$CC$13))</f>
        <v>-875410.19466891384</v>
      </c>
      <c r="W33" s="129">
        <f>-1*SUMPRODUCT((W6=Repayments!$AZ$12:$CC$12)*(Repayments!$AZ$13:$CC$13))</f>
        <v>-774950.50845592632</v>
      </c>
      <c r="X33" s="129">
        <f>-1*SUMPRODUCT((X6=Repayments!$AZ$12:$CC$12)*(Repayments!$AZ$13:$CC$13))</f>
        <v>-668028.04839923175</v>
      </c>
      <c r="Y33" s="129">
        <f>-1*SUMPRODUCT((Y6=Repayments!$AZ$12:$CC$12)*(Repayments!$AZ$13:$CC$13))</f>
        <v>-554226.996974651</v>
      </c>
      <c r="Z33" s="129">
        <f>-1*SUMPRODUCT((Z6=Repayments!$AZ$12:$CC$12)*(Repayments!$AZ$13:$CC$13))</f>
        <v>-444938.03824831708</v>
      </c>
      <c r="AA33" s="129">
        <f>-1*SUMPRODUCT((AA6=Repayments!$AZ$12:$CC$12)*(Repayments!$AZ$13:$CC$13))</f>
        <v>-363453.30464320758</v>
      </c>
      <c r="AB33" s="129">
        <f>-1*SUMPRODUCT((AB6=Repayments!$AZ$12:$CC$12)*(Repayments!$AZ$13:$CC$13))</f>
        <v>-276695.62426024355</v>
      </c>
      <c r="AC33" s="129">
        <f>-1*SUMPRODUCT((AC6=Repayments!$AZ$12:$CC$12)*(Repayments!$AZ$13:$CC$13))</f>
        <v>-184323.74196446122</v>
      </c>
      <c r="AD33" s="129">
        <f>-1*SUMPRODUCT((AD6=Repayments!$AZ$12:$CC$12)*(Repayments!$AZ$13:$CC$13))</f>
        <v>-85996.680382261635</v>
      </c>
      <c r="AE33" s="129">
        <f>-1*SUMPRODUCT((AE6=Repayments!$AZ$12:$CC$12)*(Repayments!$AZ$13:$CC$13))</f>
        <v>-20593.323329505947</v>
      </c>
      <c r="AF33" s="129">
        <f>-1*SUMPRODUCT((AF6=Repayments!$AZ$12:$CC$12)*(Repayments!$AZ$13:$CC$13))</f>
        <v>0</v>
      </c>
      <c r="AG33" s="129">
        <f>-1*SUMPRODUCT((AG6=Repayments!$AZ$12:$CC$12)*(Repayments!$AZ$13:$CC$13))</f>
        <v>0</v>
      </c>
    </row>
    <row r="34" spans="2:33">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spans="2:33">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row>
    <row r="36" spans="2:33">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spans="2:33">
      <c r="B37" s="102" t="s">
        <v>22</v>
      </c>
      <c r="C37" s="102" t="s">
        <v>1</v>
      </c>
      <c r="D37" t="s">
        <v>157</v>
      </c>
      <c r="E37" t="s">
        <v>158</v>
      </c>
      <c r="F37" t="s">
        <v>159</v>
      </c>
      <c r="G37" t="s">
        <v>160</v>
      </c>
      <c r="H37" t="s">
        <v>161</v>
      </c>
      <c r="I37" t="s">
        <v>162</v>
      </c>
      <c r="J37" t="s">
        <v>163</v>
      </c>
      <c r="K37" t="s">
        <v>164</v>
      </c>
      <c r="L37" t="s">
        <v>165</v>
      </c>
      <c r="M37" t="s">
        <v>166</v>
      </c>
      <c r="N37" t="s">
        <v>167</v>
      </c>
      <c r="O37" t="s">
        <v>168</v>
      </c>
      <c r="P37" t="s">
        <v>169</v>
      </c>
      <c r="Q37" t="s">
        <v>171</v>
      </c>
      <c r="R37" t="s">
        <v>172</v>
      </c>
      <c r="S37" t="s">
        <v>173</v>
      </c>
      <c r="T37" t="s">
        <v>170</v>
      </c>
      <c r="U37" t="s">
        <v>174</v>
      </c>
      <c r="V37" t="s">
        <v>176</v>
      </c>
      <c r="W37" t="s">
        <v>175</v>
      </c>
      <c r="X37" t="s">
        <v>177</v>
      </c>
      <c r="Y37" t="s">
        <v>178</v>
      </c>
      <c r="Z37" t="s">
        <v>179</v>
      </c>
      <c r="AA37" t="s">
        <v>180</v>
      </c>
      <c r="AB37" t="s">
        <v>181</v>
      </c>
      <c r="AC37" t="s">
        <v>182</v>
      </c>
      <c r="AD37" t="s">
        <v>183</v>
      </c>
      <c r="AE37" t="s">
        <v>184</v>
      </c>
      <c r="AF37" t="s">
        <v>185</v>
      </c>
      <c r="AG37" t="s">
        <v>186</v>
      </c>
    </row>
    <row r="38" spans="2:33">
      <c r="B38" t="s">
        <v>145</v>
      </c>
      <c r="C38" t="s">
        <v>7</v>
      </c>
      <c r="D38" s="134">
        <v>426700</v>
      </c>
      <c r="E38" s="134">
        <v>457422.4</v>
      </c>
      <c r="F38" s="134">
        <v>490356.81280000007</v>
      </c>
      <c r="G38" s="134">
        <v>525662.50332160015</v>
      </c>
      <c r="H38" s="134">
        <v>563510.20356075536</v>
      </c>
      <c r="I38" s="134">
        <v>604082.93821712979</v>
      </c>
      <c r="J38" s="134">
        <v>647576.90976876311</v>
      </c>
      <c r="K38" s="134">
        <v>694202.44727211411</v>
      </c>
      <c r="L38" s="134">
        <v>744185.02347570634</v>
      </c>
      <c r="M38" s="134">
        <v>797766.34516595723</v>
      </c>
      <c r="N38" s="134">
        <v>855205.52201790619</v>
      </c>
      <c r="O38" s="134">
        <v>916780.31960319565</v>
      </c>
      <c r="P38" s="134">
        <v>982788.50261462573</v>
      </c>
      <c r="Q38" s="134">
        <v>1053549.274802879</v>
      </c>
      <c r="R38" s="134">
        <v>1129404.8225886864</v>
      </c>
      <c r="S38" s="134">
        <v>1210721.9698150717</v>
      </c>
      <c r="T38" s="134">
        <v>1297893.951641757</v>
      </c>
      <c r="U38" s="134">
        <v>1391342.3161599636</v>
      </c>
      <c r="V38" s="134">
        <v>1598908.3282539714</v>
      </c>
      <c r="W38" s="134">
        <v>1491518.9629234809</v>
      </c>
      <c r="X38" s="134">
        <v>1714029.7278882575</v>
      </c>
      <c r="Y38" s="134">
        <v>1837439.8682962121</v>
      </c>
      <c r="Z38" s="134">
        <v>1969735.5388135393</v>
      </c>
      <c r="AA38" s="134">
        <v>2111556.4976081145</v>
      </c>
      <c r="AB38" s="134">
        <v>2263588.565435899</v>
      </c>
      <c r="AC38" s="134">
        <v>2426566.9421472838</v>
      </c>
      <c r="AD38" s="134">
        <v>2601279.7619818887</v>
      </c>
      <c r="AE38" s="134">
        <v>2788571.9048445844</v>
      </c>
      <c r="AF38" s="134">
        <v>2989349.0819933945</v>
      </c>
      <c r="AG38" s="134">
        <v>3204582.2158969194</v>
      </c>
    </row>
    <row r="39" spans="2:33">
      <c r="B39" s="132" t="s">
        <v>189</v>
      </c>
      <c r="C39" s="132" t="s">
        <v>6</v>
      </c>
      <c r="D39" s="134">
        <v>1930000</v>
      </c>
      <c r="E39" s="134">
        <v>2004925</v>
      </c>
      <c r="F39" s="134">
        <v>2083500.625</v>
      </c>
      <c r="G39" s="134">
        <v>2165926.2868750002</v>
      </c>
      <c r="H39" s="134">
        <v>2252412.8592531253</v>
      </c>
      <c r="I39" s="134">
        <v>2343183.3514191718</v>
      </c>
      <c r="J39" s="134">
        <v>2438473.6222576275</v>
      </c>
      <c r="K39" s="134">
        <v>2538533.1366259707</v>
      </c>
      <c r="L39" s="134">
        <v>2643625.7666921867</v>
      </c>
      <c r="M39" s="134">
        <v>2754030.6409220938</v>
      </c>
      <c r="N39" s="134">
        <v>2870043.0435628593</v>
      </c>
      <c r="O39" s="134">
        <v>2991975.3676394997</v>
      </c>
      <c r="P39" s="134">
        <v>3120158.1246617683</v>
      </c>
      <c r="Q39" s="134">
        <v>3254941.014430292</v>
      </c>
      <c r="R39" s="134">
        <v>3396694.0585337318</v>
      </c>
      <c r="S39" s="134">
        <v>3545808.8013438503</v>
      </c>
      <c r="T39" s="134">
        <v>3702699.5825433126</v>
      </c>
      <c r="U39" s="134">
        <v>3867804.8854627269</v>
      </c>
      <c r="V39" s="134">
        <v>4224542.3652429348</v>
      </c>
      <c r="W39" s="134">
        <v>4041588.7657595477</v>
      </c>
      <c r="X39" s="134">
        <v>4417185.5159364501</v>
      </c>
      <c r="Y39" s="134">
        <v>4620068.4397754604</v>
      </c>
      <c r="Z39" s="134">
        <v>4833773.5496594179</v>
      </c>
      <c r="AA39" s="134">
        <v>5058917.3579218807</v>
      </c>
      <c r="AB39" s="134">
        <v>5296152.4986443315</v>
      </c>
      <c r="AC39" s="134">
        <v>5546169.8706248831</v>
      </c>
      <c r="AD39" s="134">
        <v>5809700.9082210232</v>
      </c>
      <c r="AE39" s="134">
        <v>6087519.9877181156</v>
      </c>
      <c r="AF39" s="134">
        <v>6380446.9773338363</v>
      </c>
      <c r="AG39" s="134">
        <v>6689349.9394547492</v>
      </c>
    </row>
    <row r="40" spans="2:33">
      <c r="B40" t="s">
        <v>144</v>
      </c>
      <c r="C40" t="s">
        <v>6</v>
      </c>
      <c r="D40" s="134">
        <v>1200000</v>
      </c>
      <c r="E40" s="134">
        <v>1272000</v>
      </c>
      <c r="F40" s="134">
        <v>1348320</v>
      </c>
      <c r="G40" s="134">
        <v>1429219.2000000002</v>
      </c>
      <c r="H40" s="134">
        <v>1514972.3520000002</v>
      </c>
      <c r="I40" s="134">
        <v>1605870.6931200002</v>
      </c>
      <c r="J40" s="134">
        <v>1702222.9347072004</v>
      </c>
      <c r="K40" s="134">
        <v>1804356.3107896326</v>
      </c>
      <c r="L40" s="134">
        <v>1912617.6894370106</v>
      </c>
      <c r="M40" s="134">
        <v>2027374.7508032313</v>
      </c>
      <c r="N40" s="134">
        <v>2149017.2358514252</v>
      </c>
      <c r="O40" s="134">
        <v>2277958.2700025109</v>
      </c>
      <c r="P40" s="134">
        <v>2414635.7662026617</v>
      </c>
      <c r="Q40" s="134">
        <v>2559513.9121748214</v>
      </c>
      <c r="R40" s="134">
        <v>2713084.746905311</v>
      </c>
      <c r="S40" s="134">
        <v>2875869.8317196299</v>
      </c>
      <c r="T40" s="134">
        <v>3048422.0216228077</v>
      </c>
      <c r="U40" s="134">
        <v>3231327.3429201762</v>
      </c>
      <c r="V40" s="134">
        <v>3630719.40250511</v>
      </c>
      <c r="W40" s="134">
        <v>3425206.9834953868</v>
      </c>
      <c r="X40" s="134">
        <v>3848562.566655417</v>
      </c>
      <c r="Y40" s="134">
        <v>4079476.3206547424</v>
      </c>
      <c r="Z40" s="134">
        <v>4324244.899894027</v>
      </c>
      <c r="AA40" s="134">
        <v>4583699.593887669</v>
      </c>
      <c r="AB40" s="134">
        <v>4858721.5695209298</v>
      </c>
      <c r="AC40" s="134">
        <v>5150244.8636921858</v>
      </c>
      <c r="AD40" s="134">
        <v>5459259.5555137172</v>
      </c>
      <c r="AE40" s="134">
        <v>5786815.1288445406</v>
      </c>
      <c r="AF40" s="134">
        <v>6134024.0365752131</v>
      </c>
      <c r="AG40" s="134">
        <v>6502065.4787697261</v>
      </c>
    </row>
    <row r="48" spans="2:3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row>
    <row r="49" spans="4:3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row>
  </sheetData>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K25"/>
  <sheetViews>
    <sheetView zoomScaleNormal="100" workbookViewId="0">
      <pane xSplit="8" ySplit="2" topLeftCell="I3" activePane="bottomRight" state="frozen"/>
      <selection activeCell="F29" sqref="F29"/>
      <selection pane="topRight" activeCell="F29" sqref="F29"/>
      <selection pane="bottomLeft" activeCell="F29" sqref="F29"/>
      <selection pane="bottomRight" activeCell="E35" sqref="E35"/>
    </sheetView>
  </sheetViews>
  <sheetFormatPr defaultRowHeight="14.5"/>
  <cols>
    <col min="1" max="1" width="3.1796875" customWidth="1"/>
    <col min="2" max="2" width="11.08984375" bestFit="1" customWidth="1"/>
    <col min="3" max="3" width="7.08984375" bestFit="1" customWidth="1"/>
    <col min="4" max="4" width="22.1796875" customWidth="1"/>
    <col min="5" max="5" width="15.81640625" customWidth="1"/>
    <col min="6" max="6" width="11.08984375" bestFit="1" customWidth="1"/>
    <col min="7" max="7" width="10.26953125" customWidth="1"/>
    <col min="8" max="37" width="9.54296875" customWidth="1"/>
  </cols>
  <sheetData>
    <row r="1" spans="2:37" ht="15" thickBot="1">
      <c r="V1" s="14" t="s">
        <v>2</v>
      </c>
      <c r="AC1" s="17">
        <v>67</v>
      </c>
      <c r="AK1" s="19">
        <v>75</v>
      </c>
    </row>
    <row r="2" spans="2:37" ht="30.5" customHeight="1" thickBot="1">
      <c r="B2" s="2" t="s">
        <v>22</v>
      </c>
      <c r="C2" s="2" t="s">
        <v>142</v>
      </c>
      <c r="D2" s="2" t="s">
        <v>1</v>
      </c>
      <c r="E2" s="2" t="s">
        <v>23</v>
      </c>
      <c r="F2" s="2" t="s">
        <v>150</v>
      </c>
      <c r="G2" s="13" t="s">
        <v>0</v>
      </c>
      <c r="H2" s="15">
        <v>2026</v>
      </c>
      <c r="I2" s="15">
        <f>H2+1</f>
        <v>2027</v>
      </c>
      <c r="J2" s="15">
        <f t="shared" ref="J2" si="0">I2+1</f>
        <v>2028</v>
      </c>
      <c r="K2" s="15">
        <f t="shared" ref="K2" si="1">J2+1</f>
        <v>2029</v>
      </c>
      <c r="L2" s="15">
        <f t="shared" ref="L2" si="2">K2+1</f>
        <v>2030</v>
      </c>
      <c r="M2" s="15">
        <f t="shared" ref="M2" si="3">L2+1</f>
        <v>2031</v>
      </c>
      <c r="N2" s="15">
        <f t="shared" ref="N2" si="4">M2+1</f>
        <v>2032</v>
      </c>
      <c r="O2" s="15">
        <f t="shared" ref="O2" si="5">N2+1</f>
        <v>2033</v>
      </c>
      <c r="P2" s="15">
        <f t="shared" ref="P2" si="6">O2+1</f>
        <v>2034</v>
      </c>
      <c r="Q2" s="15">
        <f t="shared" ref="Q2" si="7">P2+1</f>
        <v>2035</v>
      </c>
      <c r="R2" s="15">
        <f t="shared" ref="R2" si="8">Q2+1</f>
        <v>2036</v>
      </c>
      <c r="S2" s="15">
        <f t="shared" ref="S2" si="9">R2+1</f>
        <v>2037</v>
      </c>
      <c r="T2" s="15">
        <f t="shared" ref="T2" si="10">S2+1</f>
        <v>2038</v>
      </c>
      <c r="U2" s="15">
        <f t="shared" ref="U2" si="11">T2+1</f>
        <v>2039</v>
      </c>
      <c r="V2" s="14">
        <f t="shared" ref="V2" si="12">U2+1</f>
        <v>2040</v>
      </c>
      <c r="W2" s="15">
        <f t="shared" ref="W2" si="13">V2+1</f>
        <v>2041</v>
      </c>
      <c r="X2" s="15">
        <f t="shared" ref="X2" si="14">W2+1</f>
        <v>2042</v>
      </c>
      <c r="Y2" s="15">
        <f t="shared" ref="Y2" si="15">X2+1</f>
        <v>2043</v>
      </c>
      <c r="Z2" s="15">
        <f t="shared" ref="Z2" si="16">Y2+1</f>
        <v>2044</v>
      </c>
      <c r="AA2" s="15">
        <f t="shared" ref="AA2" si="17">Z2+1</f>
        <v>2045</v>
      </c>
      <c r="AB2" s="15">
        <f t="shared" ref="AB2" si="18">AA2+1</f>
        <v>2046</v>
      </c>
      <c r="AC2" s="17">
        <f t="shared" ref="AC2" si="19">AB2+1</f>
        <v>2047</v>
      </c>
      <c r="AD2" s="15">
        <f t="shared" ref="AD2" si="20">AC2+1</f>
        <v>2048</v>
      </c>
      <c r="AE2" s="15">
        <f t="shared" ref="AE2" si="21">AD2+1</f>
        <v>2049</v>
      </c>
      <c r="AF2" s="15">
        <f t="shared" ref="AF2" si="22">AE2+1</f>
        <v>2050</v>
      </c>
      <c r="AG2" s="15">
        <f t="shared" ref="AG2" si="23">AF2+1</f>
        <v>2051</v>
      </c>
      <c r="AH2" s="15">
        <f t="shared" ref="AH2" si="24">AG2+1</f>
        <v>2052</v>
      </c>
      <c r="AI2" s="15">
        <f t="shared" ref="AI2" si="25">AH2+1</f>
        <v>2053</v>
      </c>
      <c r="AJ2" s="15">
        <f t="shared" ref="AJ2" si="26">AI2+1</f>
        <v>2054</v>
      </c>
      <c r="AK2" s="19">
        <f t="shared" ref="AK2" si="27">AJ2+1</f>
        <v>2055</v>
      </c>
    </row>
    <row r="3" spans="2:37" ht="14" customHeight="1" thickBot="1">
      <c r="B3" s="107" t="s">
        <v>145</v>
      </c>
      <c r="C3" s="108">
        <v>1</v>
      </c>
      <c r="D3" s="107" t="s">
        <v>24</v>
      </c>
      <c r="E3" s="107" t="s">
        <v>24</v>
      </c>
      <c r="F3" s="109">
        <v>190026</v>
      </c>
      <c r="G3" s="110">
        <v>2.5000000000000001E-2</v>
      </c>
      <c r="H3" s="1">
        <f t="shared" ref="H3:H14" si="28">F3</f>
        <v>190026</v>
      </c>
      <c r="I3" s="1">
        <f>H3*(1+$G3)</f>
        <v>194776.65</v>
      </c>
      <c r="J3" s="1">
        <f t="shared" ref="J3:AK9" si="29">I3*(1+$G3)</f>
        <v>199646.06624999997</v>
      </c>
      <c r="K3" s="1">
        <f t="shared" si="29"/>
        <v>204637.21790624995</v>
      </c>
      <c r="L3" s="1">
        <f t="shared" si="29"/>
        <v>209753.14835390617</v>
      </c>
      <c r="M3" s="1">
        <f t="shared" si="29"/>
        <v>214996.97706275381</v>
      </c>
      <c r="N3" s="1">
        <f t="shared" si="29"/>
        <v>220371.90148932263</v>
      </c>
      <c r="O3" s="1">
        <f t="shared" si="29"/>
        <v>225881.19902655567</v>
      </c>
      <c r="P3" s="1">
        <f t="shared" si="29"/>
        <v>231528.22900221954</v>
      </c>
      <c r="Q3" s="1">
        <f t="shared" si="29"/>
        <v>237316.43472727502</v>
      </c>
      <c r="R3" s="1">
        <f t="shared" si="29"/>
        <v>243249.34559545686</v>
      </c>
      <c r="S3" s="1">
        <f t="shared" si="29"/>
        <v>249330.57923534326</v>
      </c>
      <c r="T3" s="1">
        <f t="shared" si="29"/>
        <v>255563.84371622681</v>
      </c>
      <c r="U3" s="1">
        <f t="shared" si="29"/>
        <v>261952.93980913245</v>
      </c>
      <c r="V3" s="16">
        <f t="shared" si="29"/>
        <v>268501.76330436073</v>
      </c>
      <c r="W3" s="1">
        <f t="shared" si="29"/>
        <v>275214.30738696974</v>
      </c>
      <c r="X3" s="1">
        <f t="shared" si="29"/>
        <v>282094.66507164395</v>
      </c>
      <c r="Y3" s="1">
        <f t="shared" si="29"/>
        <v>289147.03169843502</v>
      </c>
      <c r="Z3" s="1">
        <f t="shared" si="29"/>
        <v>296375.70749089587</v>
      </c>
      <c r="AA3" s="1">
        <f t="shared" si="29"/>
        <v>303785.10017816827</v>
      </c>
      <c r="AB3" s="1">
        <f t="shared" si="29"/>
        <v>311379.72768262244</v>
      </c>
      <c r="AC3" s="18">
        <f t="shared" si="29"/>
        <v>319164.22087468795</v>
      </c>
      <c r="AD3" s="1">
        <f t="shared" si="29"/>
        <v>327143.32639655512</v>
      </c>
      <c r="AE3" s="1">
        <f t="shared" si="29"/>
        <v>335321.90955646895</v>
      </c>
      <c r="AF3" s="1">
        <f t="shared" si="29"/>
        <v>343704.95729538065</v>
      </c>
      <c r="AG3" s="1">
        <f t="shared" si="29"/>
        <v>352297.58122776513</v>
      </c>
      <c r="AH3" s="1">
        <f t="shared" si="29"/>
        <v>361105.02075845923</v>
      </c>
      <c r="AI3" s="1">
        <f t="shared" si="29"/>
        <v>370132.64627742069</v>
      </c>
      <c r="AJ3" s="1">
        <f t="shared" si="29"/>
        <v>379385.96243435616</v>
      </c>
      <c r="AK3" s="20">
        <f t="shared" si="29"/>
        <v>388870.61149521504</v>
      </c>
    </row>
    <row r="4" spans="2:37" ht="14" customHeight="1" thickBot="1">
      <c r="B4" s="107" t="s">
        <v>143</v>
      </c>
      <c r="C4" s="108">
        <v>1</v>
      </c>
      <c r="D4" s="107" t="s">
        <v>24</v>
      </c>
      <c r="E4" s="107" t="s">
        <v>24</v>
      </c>
      <c r="F4" s="109">
        <v>85000</v>
      </c>
      <c r="G4" s="110">
        <v>2.5000000000000001E-2</v>
      </c>
      <c r="H4" s="1">
        <f t="shared" si="28"/>
        <v>85000</v>
      </c>
      <c r="I4" s="1">
        <f t="shared" ref="I4:X14" si="30">H4*(1+$G4)</f>
        <v>87124.999999999985</v>
      </c>
      <c r="J4" s="1">
        <f t="shared" si="30"/>
        <v>89303.124999999971</v>
      </c>
      <c r="K4" s="1">
        <f t="shared" si="30"/>
        <v>91535.703124999956</v>
      </c>
      <c r="L4" s="1">
        <f t="shared" si="30"/>
        <v>93824.095703124942</v>
      </c>
      <c r="M4" s="1">
        <f t="shared" si="30"/>
        <v>96169.698095703061</v>
      </c>
      <c r="N4" s="1">
        <f t="shared" si="30"/>
        <v>98573.940548095634</v>
      </c>
      <c r="O4" s="1">
        <f t="shared" si="30"/>
        <v>101038.28906179802</v>
      </c>
      <c r="P4" s="1">
        <f t="shared" si="30"/>
        <v>103564.24628834295</v>
      </c>
      <c r="Q4" s="1">
        <f t="shared" si="30"/>
        <v>106153.35244555151</v>
      </c>
      <c r="R4" s="1">
        <f t="shared" si="30"/>
        <v>108807.1862566903</v>
      </c>
      <c r="S4" s="1">
        <f t="shared" si="30"/>
        <v>111527.36591310755</v>
      </c>
      <c r="T4" s="1">
        <f t="shared" si="30"/>
        <v>114315.55006093523</v>
      </c>
      <c r="U4" s="1">
        <f t="shared" si="30"/>
        <v>117173.4388124586</v>
      </c>
      <c r="V4" s="16">
        <f t="shared" si="30"/>
        <v>120102.77478277005</v>
      </c>
      <c r="W4" s="1">
        <f t="shared" si="30"/>
        <v>123105.3441523393</v>
      </c>
      <c r="X4" s="1">
        <f t="shared" si="30"/>
        <v>126182.97775614777</v>
      </c>
      <c r="Y4" s="1">
        <f t="shared" si="29"/>
        <v>129337.55220005145</v>
      </c>
      <c r="Z4" s="1">
        <f t="shared" si="29"/>
        <v>132570.99100505273</v>
      </c>
      <c r="AA4" s="1">
        <f t="shared" si="29"/>
        <v>135885.26578017903</v>
      </c>
      <c r="AB4" s="1">
        <f t="shared" si="29"/>
        <v>139282.3974246835</v>
      </c>
      <c r="AC4" s="18">
        <f t="shared" si="29"/>
        <v>142764.45736030058</v>
      </c>
      <c r="AD4" s="1">
        <f t="shared" si="29"/>
        <v>146333.56879430808</v>
      </c>
      <c r="AE4" s="1">
        <f t="shared" si="29"/>
        <v>149991.90801416576</v>
      </c>
      <c r="AF4" s="1">
        <f t="shared" si="29"/>
        <v>153741.70571451989</v>
      </c>
      <c r="AG4" s="1">
        <f t="shared" si="29"/>
        <v>157585.24835738286</v>
      </c>
      <c r="AH4" s="1">
        <f t="shared" si="29"/>
        <v>161524.87956631742</v>
      </c>
      <c r="AI4" s="1">
        <f t="shared" si="29"/>
        <v>165563.00155547535</v>
      </c>
      <c r="AJ4" s="1">
        <f t="shared" si="29"/>
        <v>169702.07659436221</v>
      </c>
      <c r="AK4" s="20">
        <f t="shared" si="29"/>
        <v>173944.62850922125</v>
      </c>
    </row>
    <row r="5" spans="2:37" ht="14" customHeight="1" thickBot="1">
      <c r="B5" s="107" t="s">
        <v>145</v>
      </c>
      <c r="C5" s="108">
        <v>1</v>
      </c>
      <c r="D5" s="107" t="s">
        <v>24</v>
      </c>
      <c r="E5" s="107" t="s">
        <v>25</v>
      </c>
      <c r="F5" s="109">
        <v>23287.5</v>
      </c>
      <c r="G5" s="110">
        <v>2.5000000000000001E-2</v>
      </c>
      <c r="H5" s="1">
        <f t="shared" si="28"/>
        <v>23287.5</v>
      </c>
      <c r="I5" s="1">
        <f t="shared" si="30"/>
        <v>23869.687499999996</v>
      </c>
      <c r="J5" s="1">
        <f t="shared" si="29"/>
        <v>24466.429687499993</v>
      </c>
      <c r="K5" s="1">
        <f t="shared" si="29"/>
        <v>25078.090429687491</v>
      </c>
      <c r="L5" s="1">
        <f t="shared" si="29"/>
        <v>25705.042690429676</v>
      </c>
      <c r="M5" s="1">
        <f t="shared" si="29"/>
        <v>26347.668757690415</v>
      </c>
      <c r="N5" s="1">
        <f t="shared" si="29"/>
        <v>27006.360476632672</v>
      </c>
      <c r="O5" s="1">
        <f t="shared" si="29"/>
        <v>27681.519488548485</v>
      </c>
      <c r="P5" s="1">
        <f t="shared" si="29"/>
        <v>28373.557475762194</v>
      </c>
      <c r="Q5" s="1">
        <f t="shared" si="29"/>
        <v>29082.896412656246</v>
      </c>
      <c r="R5" s="1">
        <f t="shared" si="29"/>
        <v>29809.968822972649</v>
      </c>
      <c r="S5" s="1">
        <f t="shared" si="29"/>
        <v>30555.218043546964</v>
      </c>
      <c r="T5" s="1">
        <f t="shared" si="29"/>
        <v>31319.098494635637</v>
      </c>
      <c r="U5" s="1">
        <f t="shared" si="29"/>
        <v>32102.075957001525</v>
      </c>
      <c r="V5" s="16">
        <f t="shared" si="29"/>
        <v>32904.627855926563</v>
      </c>
      <c r="W5" s="1">
        <f t="shared" si="29"/>
        <v>33727.243552324726</v>
      </c>
      <c r="X5" s="1">
        <f t="shared" si="29"/>
        <v>34570.424641132842</v>
      </c>
      <c r="Y5" s="1">
        <f t="shared" si="29"/>
        <v>35434.68525716116</v>
      </c>
      <c r="Z5" s="1">
        <f t="shared" si="29"/>
        <v>36320.552388590186</v>
      </c>
      <c r="AA5" s="1">
        <f t="shared" si="29"/>
        <v>37228.566198304936</v>
      </c>
      <c r="AB5" s="1">
        <f t="shared" si="29"/>
        <v>38159.280353262555</v>
      </c>
      <c r="AC5" s="18">
        <f t="shared" si="29"/>
        <v>39113.262362094116</v>
      </c>
      <c r="AD5" s="1">
        <f t="shared" si="29"/>
        <v>40091.093921146465</v>
      </c>
      <c r="AE5" s="1">
        <f t="shared" si="29"/>
        <v>41093.371269175121</v>
      </c>
      <c r="AF5" s="1">
        <f t="shared" si="29"/>
        <v>42120.705550904495</v>
      </c>
      <c r="AG5" s="1">
        <f t="shared" si="29"/>
        <v>43173.723189677105</v>
      </c>
      <c r="AH5" s="1">
        <f t="shared" si="29"/>
        <v>44253.066269419025</v>
      </c>
      <c r="AI5" s="1">
        <f t="shared" si="29"/>
        <v>45359.392926154498</v>
      </c>
      <c r="AJ5" s="1">
        <f t="shared" si="29"/>
        <v>46493.377749308354</v>
      </c>
      <c r="AK5" s="20">
        <f t="shared" si="29"/>
        <v>47655.712193041058</v>
      </c>
    </row>
    <row r="6" spans="2:37" ht="14" customHeight="1" thickBot="1">
      <c r="B6" s="107" t="s">
        <v>145</v>
      </c>
      <c r="C6" s="108">
        <v>0.5</v>
      </c>
      <c r="D6" s="107" t="s">
        <v>28</v>
      </c>
      <c r="E6" s="107" t="s">
        <v>35</v>
      </c>
      <c r="F6" s="109">
        <f>620*52*C6</f>
        <v>16120</v>
      </c>
      <c r="G6" s="110">
        <v>0.03</v>
      </c>
      <c r="H6" s="1">
        <f t="shared" si="28"/>
        <v>16120</v>
      </c>
      <c r="I6" s="1">
        <f t="shared" si="30"/>
        <v>16603.600000000002</v>
      </c>
      <c r="J6" s="1">
        <f t="shared" si="29"/>
        <v>17101.708000000002</v>
      </c>
      <c r="K6" s="1">
        <f t="shared" si="29"/>
        <v>17614.759240000003</v>
      </c>
      <c r="L6" s="1">
        <f t="shared" si="29"/>
        <v>18143.202017200005</v>
      </c>
      <c r="M6" s="1">
        <f t="shared" si="29"/>
        <v>18687.498077716005</v>
      </c>
      <c r="N6" s="1">
        <f t="shared" si="29"/>
        <v>19248.123020047486</v>
      </c>
      <c r="O6" s="1">
        <f t="shared" si="29"/>
        <v>19825.566710648909</v>
      </c>
      <c r="P6" s="1">
        <f t="shared" si="29"/>
        <v>20420.333711968378</v>
      </c>
      <c r="Q6" s="1">
        <f t="shared" si="29"/>
        <v>21032.943723327429</v>
      </c>
      <c r="R6" s="1">
        <f t="shared" si="29"/>
        <v>21663.932035027254</v>
      </c>
      <c r="S6" s="1">
        <f t="shared" si="29"/>
        <v>22313.849996078072</v>
      </c>
      <c r="T6" s="1">
        <f t="shared" si="29"/>
        <v>22983.265495960415</v>
      </c>
      <c r="U6" s="1">
        <f t="shared" si="29"/>
        <v>23672.763460839229</v>
      </c>
      <c r="V6" s="16">
        <f t="shared" si="29"/>
        <v>24382.946364664407</v>
      </c>
      <c r="W6" s="1">
        <f t="shared" si="29"/>
        <v>25114.434755604339</v>
      </c>
      <c r="X6" s="1">
        <f t="shared" si="29"/>
        <v>25867.867798272469</v>
      </c>
      <c r="Y6" s="1">
        <f t="shared" si="29"/>
        <v>26643.903832220643</v>
      </c>
      <c r="Z6" s="1">
        <f t="shared" si="29"/>
        <v>27443.220947187263</v>
      </c>
      <c r="AA6" s="1">
        <f t="shared" si="29"/>
        <v>28266.51757560288</v>
      </c>
      <c r="AB6" s="1">
        <f t="shared" si="29"/>
        <v>29114.513102870966</v>
      </c>
      <c r="AC6" s="18">
        <f t="shared" si="29"/>
        <v>29987.948495957095</v>
      </c>
      <c r="AD6" s="1">
        <f t="shared" si="29"/>
        <v>30887.586950835808</v>
      </c>
      <c r="AE6" s="1">
        <f t="shared" si="29"/>
        <v>31814.214559360884</v>
      </c>
      <c r="AF6" s="1">
        <f t="shared" si="29"/>
        <v>32768.640996141708</v>
      </c>
      <c r="AG6" s="1">
        <f t="shared" si="29"/>
        <v>33751.700226025961</v>
      </c>
      <c r="AH6" s="1">
        <f t="shared" si="29"/>
        <v>34764.251232806739</v>
      </c>
      <c r="AI6" s="1">
        <f t="shared" si="29"/>
        <v>35807.178769790939</v>
      </c>
      <c r="AJ6" s="1">
        <f t="shared" si="29"/>
        <v>36881.39413288467</v>
      </c>
      <c r="AK6" s="20">
        <f t="shared" si="29"/>
        <v>37987.835956871211</v>
      </c>
    </row>
    <row r="7" spans="2:37" ht="14" customHeight="1" thickBot="1">
      <c r="B7" s="107" t="s">
        <v>143</v>
      </c>
      <c r="C7" s="108">
        <v>0.5</v>
      </c>
      <c r="D7" s="107" t="s">
        <v>28</v>
      </c>
      <c r="E7" s="107" t="s">
        <v>35</v>
      </c>
      <c r="F7" s="109">
        <f>620*52*C7</f>
        <v>16120</v>
      </c>
      <c r="G7" s="110">
        <v>0.03</v>
      </c>
      <c r="H7" s="1">
        <f t="shared" si="28"/>
        <v>16120</v>
      </c>
      <c r="I7" s="1">
        <f t="shared" si="30"/>
        <v>16603.600000000002</v>
      </c>
      <c r="J7" s="1">
        <f t="shared" si="29"/>
        <v>17101.708000000002</v>
      </c>
      <c r="K7" s="1">
        <f t="shared" si="29"/>
        <v>17614.759240000003</v>
      </c>
      <c r="L7" s="1">
        <f t="shared" si="29"/>
        <v>18143.202017200005</v>
      </c>
      <c r="M7" s="1">
        <f t="shared" si="29"/>
        <v>18687.498077716005</v>
      </c>
      <c r="N7" s="1">
        <f t="shared" si="29"/>
        <v>19248.123020047486</v>
      </c>
      <c r="O7" s="1">
        <f t="shared" si="29"/>
        <v>19825.566710648909</v>
      </c>
      <c r="P7" s="1">
        <f t="shared" si="29"/>
        <v>20420.333711968378</v>
      </c>
      <c r="Q7" s="1">
        <f t="shared" si="29"/>
        <v>21032.943723327429</v>
      </c>
      <c r="R7" s="1">
        <f t="shared" si="29"/>
        <v>21663.932035027254</v>
      </c>
      <c r="S7" s="1">
        <f t="shared" si="29"/>
        <v>22313.849996078072</v>
      </c>
      <c r="T7" s="1">
        <f t="shared" si="29"/>
        <v>22983.265495960415</v>
      </c>
      <c r="U7" s="1">
        <f t="shared" si="29"/>
        <v>23672.763460839229</v>
      </c>
      <c r="V7" s="16">
        <f t="shared" si="29"/>
        <v>24382.946364664407</v>
      </c>
      <c r="W7" s="1">
        <f t="shared" si="29"/>
        <v>25114.434755604339</v>
      </c>
      <c r="X7" s="1">
        <f t="shared" si="29"/>
        <v>25867.867798272469</v>
      </c>
      <c r="Y7" s="1">
        <f t="shared" si="29"/>
        <v>26643.903832220643</v>
      </c>
      <c r="Z7" s="1">
        <f t="shared" si="29"/>
        <v>27443.220947187263</v>
      </c>
      <c r="AA7" s="1">
        <f t="shared" si="29"/>
        <v>28266.51757560288</v>
      </c>
      <c r="AB7" s="1">
        <f t="shared" si="29"/>
        <v>29114.513102870966</v>
      </c>
      <c r="AC7" s="18">
        <f t="shared" si="29"/>
        <v>29987.948495957095</v>
      </c>
      <c r="AD7" s="1">
        <f t="shared" si="29"/>
        <v>30887.586950835808</v>
      </c>
      <c r="AE7" s="1">
        <f t="shared" si="29"/>
        <v>31814.214559360884</v>
      </c>
      <c r="AF7" s="1">
        <f t="shared" si="29"/>
        <v>32768.640996141708</v>
      </c>
      <c r="AG7" s="1">
        <f t="shared" si="29"/>
        <v>33751.700226025961</v>
      </c>
      <c r="AH7" s="1">
        <f t="shared" si="29"/>
        <v>34764.251232806739</v>
      </c>
      <c r="AI7" s="1">
        <f t="shared" si="29"/>
        <v>35807.178769790939</v>
      </c>
      <c r="AJ7" s="1">
        <f t="shared" si="29"/>
        <v>36881.39413288467</v>
      </c>
      <c r="AK7" s="20">
        <f t="shared" si="29"/>
        <v>37987.835956871211</v>
      </c>
    </row>
    <row r="8" spans="2:37" ht="14" customHeight="1" thickBot="1">
      <c r="B8" s="107" t="s">
        <v>145</v>
      </c>
      <c r="C8" s="108">
        <v>0.99</v>
      </c>
      <c r="D8" s="107" t="s">
        <v>28</v>
      </c>
      <c r="E8" s="107" t="s">
        <v>20</v>
      </c>
      <c r="F8" s="109">
        <f>685*52*C8</f>
        <v>35263.800000000003</v>
      </c>
      <c r="G8" s="110">
        <v>0.03</v>
      </c>
      <c r="H8" s="1">
        <f t="shared" si="28"/>
        <v>35263.800000000003</v>
      </c>
      <c r="I8" s="1">
        <f t="shared" si="30"/>
        <v>36321.714000000007</v>
      </c>
      <c r="J8" s="1">
        <f t="shared" si="29"/>
        <v>37411.365420000009</v>
      </c>
      <c r="K8" s="1">
        <f t="shared" si="29"/>
        <v>38533.706382600009</v>
      </c>
      <c r="L8" s="1">
        <f t="shared" si="29"/>
        <v>39689.717574078008</v>
      </c>
      <c r="M8" s="1">
        <f t="shared" si="29"/>
        <v>40880.409101300349</v>
      </c>
      <c r="N8" s="1">
        <f t="shared" si="29"/>
        <v>42106.821374339357</v>
      </c>
      <c r="O8" s="1">
        <f t="shared" si="29"/>
        <v>43370.026015569536</v>
      </c>
      <c r="P8" s="1">
        <f t="shared" si="29"/>
        <v>44671.126796036624</v>
      </c>
      <c r="Q8" s="1">
        <f t="shared" si="29"/>
        <v>46011.260599917725</v>
      </c>
      <c r="R8" s="1">
        <f t="shared" si="29"/>
        <v>47391.598417915258</v>
      </c>
      <c r="S8" s="1">
        <f t="shared" si="29"/>
        <v>48813.346370452717</v>
      </c>
      <c r="T8" s="1">
        <f t="shared" si="29"/>
        <v>50277.746761566297</v>
      </c>
      <c r="U8" s="1">
        <f t="shared" si="29"/>
        <v>51786.079164413284</v>
      </c>
      <c r="V8" s="16">
        <f t="shared" si="29"/>
        <v>53339.661539345681</v>
      </c>
      <c r="W8" s="1">
        <f t="shared" si="29"/>
        <v>54939.851385526053</v>
      </c>
      <c r="X8" s="1">
        <f t="shared" si="29"/>
        <v>56588.04692709184</v>
      </c>
      <c r="Y8" s="1">
        <f t="shared" si="29"/>
        <v>58285.688334904597</v>
      </c>
      <c r="Z8" s="1">
        <f t="shared" si="29"/>
        <v>60034.258984951739</v>
      </c>
      <c r="AA8" s="1">
        <f t="shared" si="29"/>
        <v>61835.286754500296</v>
      </c>
      <c r="AB8" s="1">
        <f t="shared" si="29"/>
        <v>63690.345357135309</v>
      </c>
      <c r="AC8" s="18">
        <f t="shared" si="29"/>
        <v>65601.055717849376</v>
      </c>
      <c r="AD8" s="1">
        <f t="shared" si="29"/>
        <v>67569.087389384862</v>
      </c>
      <c r="AE8" s="1">
        <f t="shared" si="29"/>
        <v>69596.160011066415</v>
      </c>
      <c r="AF8" s="1">
        <f t="shared" si="29"/>
        <v>71684.044811398402</v>
      </c>
      <c r="AG8" s="1">
        <f t="shared" si="29"/>
        <v>73834.566155740351</v>
      </c>
      <c r="AH8" s="1">
        <f t="shared" si="29"/>
        <v>76049.603140412568</v>
      </c>
      <c r="AI8" s="1">
        <f t="shared" si="29"/>
        <v>78331.091234624953</v>
      </c>
      <c r="AJ8" s="1">
        <f t="shared" si="29"/>
        <v>80681.023971663701</v>
      </c>
      <c r="AK8" s="20">
        <f t="shared" si="29"/>
        <v>83101.454690813611</v>
      </c>
    </row>
    <row r="9" spans="2:37" ht="14" customHeight="1" thickBot="1">
      <c r="B9" s="107" t="s">
        <v>143</v>
      </c>
      <c r="C9" s="108">
        <v>0.01</v>
      </c>
      <c r="D9" s="107" t="s">
        <v>28</v>
      </c>
      <c r="E9" s="107" t="s">
        <v>20</v>
      </c>
      <c r="F9" s="109">
        <f>685*52*C9</f>
        <v>356.2</v>
      </c>
      <c r="G9" s="110">
        <v>0.03</v>
      </c>
      <c r="H9" s="1">
        <f t="shared" si="28"/>
        <v>356.2</v>
      </c>
      <c r="I9" s="1">
        <f t="shared" si="30"/>
        <v>366.88600000000002</v>
      </c>
      <c r="J9" s="1">
        <f t="shared" si="29"/>
        <v>377.89258000000001</v>
      </c>
      <c r="K9" s="1">
        <f t="shared" si="29"/>
        <v>389.22935740000003</v>
      </c>
      <c r="L9" s="1">
        <f t="shared" si="29"/>
        <v>400.90623812200005</v>
      </c>
      <c r="M9" s="1">
        <f t="shared" si="29"/>
        <v>412.93342526566005</v>
      </c>
      <c r="N9" s="1">
        <f t="shared" si="29"/>
        <v>425.32142802362984</v>
      </c>
      <c r="O9" s="1">
        <f t="shared" si="29"/>
        <v>438.08107086433876</v>
      </c>
      <c r="P9" s="1">
        <f t="shared" si="29"/>
        <v>451.22350299026891</v>
      </c>
      <c r="Q9" s="1">
        <f t="shared" si="29"/>
        <v>464.76020807997702</v>
      </c>
      <c r="R9" s="1">
        <f t="shared" si="29"/>
        <v>478.70301432237636</v>
      </c>
      <c r="S9" s="1">
        <f t="shared" si="29"/>
        <v>493.06410475204768</v>
      </c>
      <c r="T9" s="1">
        <f t="shared" si="29"/>
        <v>507.8560278946091</v>
      </c>
      <c r="U9" s="1">
        <f t="shared" si="29"/>
        <v>523.0917087314474</v>
      </c>
      <c r="V9" s="16">
        <f t="shared" si="29"/>
        <v>538.78445999339078</v>
      </c>
      <c r="W9" s="1">
        <f t="shared" si="29"/>
        <v>554.9479937931925</v>
      </c>
      <c r="X9" s="1">
        <f t="shared" si="29"/>
        <v>571.59643360698828</v>
      </c>
      <c r="Y9" s="1">
        <f t="shared" si="29"/>
        <v>588.74432661519791</v>
      </c>
      <c r="Z9" s="1">
        <f t="shared" si="29"/>
        <v>606.40665641365388</v>
      </c>
      <c r="AA9" s="1">
        <f t="shared" si="29"/>
        <v>624.59885610606352</v>
      </c>
      <c r="AB9" s="1">
        <f t="shared" si="29"/>
        <v>643.33682178924539</v>
      </c>
      <c r="AC9" s="18">
        <f t="shared" si="29"/>
        <v>662.6369264429228</v>
      </c>
      <c r="AD9" s="1">
        <f t="shared" si="29"/>
        <v>682.51603423621054</v>
      </c>
      <c r="AE9" s="1">
        <f t="shared" si="29"/>
        <v>702.99151526329683</v>
      </c>
      <c r="AF9" s="1">
        <f t="shared" si="29"/>
        <v>724.0812607211958</v>
      </c>
      <c r="AG9" s="1">
        <f t="shared" si="29"/>
        <v>745.80369854283174</v>
      </c>
      <c r="AH9" s="1">
        <f t="shared" si="29"/>
        <v>768.17780949911673</v>
      </c>
      <c r="AI9" s="1">
        <f t="shared" si="29"/>
        <v>791.22314378409021</v>
      </c>
      <c r="AJ9" s="1">
        <f t="shared" si="29"/>
        <v>814.95983809761299</v>
      </c>
      <c r="AK9" s="20">
        <f t="shared" si="29"/>
        <v>839.40863324054135</v>
      </c>
    </row>
    <row r="10" spans="2:37" ht="14" customHeight="1" thickBot="1">
      <c r="B10" s="111" t="s">
        <v>145</v>
      </c>
      <c r="C10" s="112">
        <v>1</v>
      </c>
      <c r="D10" s="111" t="s">
        <v>220</v>
      </c>
      <c r="E10" s="111" t="s">
        <v>221</v>
      </c>
      <c r="F10" s="113">
        <f>-52*((436.56+580.21)/2)</f>
        <v>-26436.02</v>
      </c>
      <c r="G10" s="114"/>
      <c r="H10" s="1">
        <f>$F$10</f>
        <v>-26436.02</v>
      </c>
      <c r="I10" s="1">
        <f t="shared" ref="I10:L10" si="31">$F$10</f>
        <v>-26436.02</v>
      </c>
      <c r="J10" s="1">
        <f t="shared" si="31"/>
        <v>-26436.02</v>
      </c>
      <c r="K10" s="1">
        <f t="shared" si="31"/>
        <v>-26436.02</v>
      </c>
      <c r="L10" s="1">
        <f t="shared" si="31"/>
        <v>-26436.02</v>
      </c>
      <c r="M10" s="1"/>
      <c r="N10" s="1"/>
      <c r="O10" s="1"/>
      <c r="P10" s="1"/>
      <c r="Q10" s="1"/>
      <c r="R10" s="1"/>
      <c r="S10" s="1"/>
      <c r="T10" s="1"/>
      <c r="U10" s="1"/>
      <c r="V10" s="16"/>
      <c r="W10" s="1"/>
      <c r="X10" s="1"/>
      <c r="Y10" s="1"/>
      <c r="Z10" s="1"/>
      <c r="AA10" s="1"/>
      <c r="AB10" s="1"/>
      <c r="AC10" s="18"/>
      <c r="AD10" s="1"/>
      <c r="AE10" s="1"/>
      <c r="AF10" s="1"/>
      <c r="AG10" s="1"/>
      <c r="AH10" s="1"/>
      <c r="AI10" s="1"/>
      <c r="AJ10" s="1"/>
      <c r="AK10" s="20"/>
    </row>
    <row r="11" spans="2:37" ht="14" customHeight="1" thickBot="1">
      <c r="B11" s="111" t="s">
        <v>145</v>
      </c>
      <c r="C11" s="112">
        <v>-0.5</v>
      </c>
      <c r="D11" s="111" t="s">
        <v>149</v>
      </c>
      <c r="E11" s="111" t="s">
        <v>35</v>
      </c>
      <c r="F11" s="113">
        <f>620*52*C11*0.31</f>
        <v>-4997.2</v>
      </c>
      <c r="G11" s="114">
        <v>0.03</v>
      </c>
      <c r="H11" s="1">
        <f t="shared" si="28"/>
        <v>-4997.2</v>
      </c>
      <c r="I11" s="1">
        <f t="shared" si="30"/>
        <v>-5147.116</v>
      </c>
      <c r="J11" s="1">
        <f t="shared" ref="J11:AK14" si="32">I11*(1+$G11)</f>
        <v>-5301.5294800000001</v>
      </c>
      <c r="K11" s="1">
        <f t="shared" si="32"/>
        <v>-5460.5753644000006</v>
      </c>
      <c r="L11" s="1">
        <f t="shared" si="32"/>
        <v>-5624.3926253320005</v>
      </c>
      <c r="M11" s="1">
        <f t="shared" si="32"/>
        <v>-5793.124404091961</v>
      </c>
      <c r="N11" s="1">
        <f t="shared" si="32"/>
        <v>-5966.9181362147201</v>
      </c>
      <c r="O11" s="1">
        <f t="shared" si="32"/>
        <v>-6145.9256803011622</v>
      </c>
      <c r="P11" s="1">
        <f t="shared" si="32"/>
        <v>-6330.3034507101975</v>
      </c>
      <c r="Q11" s="1">
        <f t="shared" si="32"/>
        <v>-6520.2125542315034</v>
      </c>
      <c r="R11" s="1">
        <f t="shared" si="32"/>
        <v>-6715.8189308584488</v>
      </c>
      <c r="S11" s="1">
        <f t="shared" si="32"/>
        <v>-6917.2934987842027</v>
      </c>
      <c r="T11" s="1">
        <f t="shared" si="32"/>
        <v>-7124.8123037477289</v>
      </c>
      <c r="U11" s="1">
        <f t="shared" si="32"/>
        <v>-7338.5566728601607</v>
      </c>
      <c r="V11" s="1">
        <f t="shared" si="32"/>
        <v>-7558.7133730459655</v>
      </c>
      <c r="W11" s="1">
        <f t="shared" si="32"/>
        <v>-7785.4747742373447</v>
      </c>
      <c r="X11" s="1">
        <f t="shared" si="32"/>
        <v>-8019.0390174644654</v>
      </c>
      <c r="Y11" s="1">
        <f t="shared" si="32"/>
        <v>-8259.610187988399</v>
      </c>
      <c r="Z11" s="1">
        <f t="shared" si="32"/>
        <v>-8507.3984936280503</v>
      </c>
      <c r="AA11" s="1">
        <f t="shared" si="32"/>
        <v>-8762.6204484368918</v>
      </c>
      <c r="AB11" s="1">
        <f t="shared" si="32"/>
        <v>-9025.4990618899992</v>
      </c>
      <c r="AC11" s="1">
        <f t="shared" si="32"/>
        <v>-9296.2640337467001</v>
      </c>
      <c r="AD11" s="1">
        <f t="shared" si="32"/>
        <v>-9575.1519547591015</v>
      </c>
      <c r="AE11" s="1">
        <f t="shared" si="32"/>
        <v>-9862.4065134018747</v>
      </c>
      <c r="AF11" s="1">
        <f t="shared" si="32"/>
        <v>-10158.278708803931</v>
      </c>
      <c r="AG11" s="1">
        <f t="shared" si="32"/>
        <v>-10463.02707006805</v>
      </c>
      <c r="AH11" s="1">
        <f t="shared" si="32"/>
        <v>-10776.917882170092</v>
      </c>
      <c r="AI11" s="1">
        <f t="shared" si="32"/>
        <v>-11100.225418635195</v>
      </c>
      <c r="AJ11" s="1">
        <f t="shared" si="32"/>
        <v>-11433.232181194251</v>
      </c>
      <c r="AK11" s="1">
        <f t="shared" si="32"/>
        <v>-11776.229146630079</v>
      </c>
    </row>
    <row r="12" spans="2:37" ht="15" thickBot="1">
      <c r="B12" s="111" t="s">
        <v>143</v>
      </c>
      <c r="C12" s="112">
        <v>-0.5</v>
      </c>
      <c r="D12" s="111" t="s">
        <v>149</v>
      </c>
      <c r="E12" s="111" t="s">
        <v>35</v>
      </c>
      <c r="F12" s="113">
        <f>620*52*C12*0.31</f>
        <v>-4997.2</v>
      </c>
      <c r="G12" s="114">
        <v>0.03</v>
      </c>
      <c r="H12" s="1">
        <f t="shared" si="28"/>
        <v>-4997.2</v>
      </c>
      <c r="I12" s="1">
        <f t="shared" si="30"/>
        <v>-5147.116</v>
      </c>
      <c r="J12" s="1">
        <f t="shared" si="32"/>
        <v>-5301.5294800000001</v>
      </c>
      <c r="K12" s="1">
        <f t="shared" si="32"/>
        <v>-5460.5753644000006</v>
      </c>
      <c r="L12" s="1">
        <f t="shared" si="32"/>
        <v>-5624.3926253320005</v>
      </c>
      <c r="M12" s="1">
        <f t="shared" si="32"/>
        <v>-5793.124404091961</v>
      </c>
      <c r="N12" s="1">
        <f t="shared" si="32"/>
        <v>-5966.9181362147201</v>
      </c>
      <c r="O12" s="1">
        <f t="shared" si="32"/>
        <v>-6145.9256803011622</v>
      </c>
      <c r="P12" s="1">
        <f t="shared" si="32"/>
        <v>-6330.3034507101975</v>
      </c>
      <c r="Q12" s="1">
        <f t="shared" si="32"/>
        <v>-6520.2125542315034</v>
      </c>
      <c r="R12" s="1">
        <f t="shared" si="32"/>
        <v>-6715.8189308584488</v>
      </c>
      <c r="S12" s="1">
        <f t="shared" si="32"/>
        <v>-6917.2934987842027</v>
      </c>
      <c r="T12" s="1">
        <f t="shared" si="32"/>
        <v>-7124.8123037477289</v>
      </c>
      <c r="U12" s="1">
        <f t="shared" si="32"/>
        <v>-7338.5566728601607</v>
      </c>
      <c r="V12" s="1">
        <f t="shared" si="32"/>
        <v>-7558.7133730459655</v>
      </c>
      <c r="W12" s="1">
        <f t="shared" si="32"/>
        <v>-7785.4747742373447</v>
      </c>
      <c r="X12" s="1">
        <f t="shared" si="32"/>
        <v>-8019.0390174644654</v>
      </c>
      <c r="Y12" s="1">
        <f t="shared" si="32"/>
        <v>-8259.610187988399</v>
      </c>
      <c r="Z12" s="1">
        <f t="shared" si="32"/>
        <v>-8507.3984936280503</v>
      </c>
      <c r="AA12" s="1">
        <f t="shared" si="32"/>
        <v>-8762.6204484368918</v>
      </c>
      <c r="AB12" s="1">
        <f t="shared" si="32"/>
        <v>-9025.4990618899992</v>
      </c>
      <c r="AC12" s="1">
        <f t="shared" si="32"/>
        <v>-9296.2640337467001</v>
      </c>
      <c r="AD12" s="1">
        <f t="shared" si="32"/>
        <v>-9575.1519547591015</v>
      </c>
      <c r="AE12" s="1">
        <f t="shared" si="32"/>
        <v>-9862.4065134018747</v>
      </c>
      <c r="AF12" s="1">
        <f t="shared" si="32"/>
        <v>-10158.278708803931</v>
      </c>
      <c r="AG12" s="1">
        <f t="shared" si="32"/>
        <v>-10463.02707006805</v>
      </c>
      <c r="AH12" s="1">
        <f t="shared" si="32"/>
        <v>-10776.917882170092</v>
      </c>
      <c r="AI12" s="1">
        <f t="shared" si="32"/>
        <v>-11100.225418635195</v>
      </c>
      <c r="AJ12" s="1">
        <f t="shared" si="32"/>
        <v>-11433.232181194251</v>
      </c>
      <c r="AK12" s="1">
        <f t="shared" si="32"/>
        <v>-11776.229146630079</v>
      </c>
    </row>
    <row r="13" spans="2:37" ht="15" thickBot="1">
      <c r="B13" s="111" t="s">
        <v>145</v>
      </c>
      <c r="C13" s="112">
        <v>-0.99</v>
      </c>
      <c r="D13" s="111" t="s">
        <v>149</v>
      </c>
      <c r="E13" s="111" t="s">
        <v>20</v>
      </c>
      <c r="F13" s="113">
        <f>685*52*C13*0.31</f>
        <v>-10931.778</v>
      </c>
      <c r="G13" s="114">
        <v>0.03</v>
      </c>
      <c r="H13" s="1">
        <f t="shared" si="28"/>
        <v>-10931.778</v>
      </c>
      <c r="I13" s="1">
        <f t="shared" si="30"/>
        <v>-11259.73134</v>
      </c>
      <c r="J13" s="1">
        <f t="shared" si="32"/>
        <v>-11597.523280200001</v>
      </c>
      <c r="K13" s="1">
        <f t="shared" si="32"/>
        <v>-11945.448978606002</v>
      </c>
      <c r="L13" s="1">
        <f t="shared" si="32"/>
        <v>-12303.812447964183</v>
      </c>
      <c r="M13" s="1">
        <f t="shared" si="32"/>
        <v>-12672.926821403109</v>
      </c>
      <c r="N13" s="1">
        <f t="shared" si="32"/>
        <v>-13053.114626045202</v>
      </c>
      <c r="O13" s="1">
        <f t="shared" si="32"/>
        <v>-13444.708064826558</v>
      </c>
      <c r="P13" s="1">
        <f t="shared" si="32"/>
        <v>-13848.049306771356</v>
      </c>
      <c r="Q13" s="1">
        <f t="shared" si="32"/>
        <v>-14263.490785974496</v>
      </c>
      <c r="R13" s="1">
        <f t="shared" si="32"/>
        <v>-14691.395509553731</v>
      </c>
      <c r="S13" s="1">
        <f t="shared" si="32"/>
        <v>-15132.137374840344</v>
      </c>
      <c r="T13" s="1">
        <f t="shared" si="32"/>
        <v>-15586.101496085555</v>
      </c>
      <c r="U13" s="1">
        <f t="shared" si="32"/>
        <v>-16053.684540968123</v>
      </c>
      <c r="V13" s="1">
        <f t="shared" si="32"/>
        <v>-16535.295077197166</v>
      </c>
      <c r="W13" s="1">
        <f t="shared" si="32"/>
        <v>-17031.353929513083</v>
      </c>
      <c r="X13" s="1">
        <f t="shared" si="32"/>
        <v>-17542.294547398476</v>
      </c>
      <c r="Y13" s="1">
        <f t="shared" si="32"/>
        <v>-18068.56338382043</v>
      </c>
      <c r="Z13" s="1">
        <f t="shared" si="32"/>
        <v>-18610.620285335044</v>
      </c>
      <c r="AA13" s="1">
        <f t="shared" si="32"/>
        <v>-19168.938893895094</v>
      </c>
      <c r="AB13" s="1">
        <f t="shared" si="32"/>
        <v>-19744.007060711949</v>
      </c>
      <c r="AC13" s="1">
        <f t="shared" si="32"/>
        <v>-20336.327272533308</v>
      </c>
      <c r="AD13" s="1">
        <f t="shared" si="32"/>
        <v>-20946.417090709307</v>
      </c>
      <c r="AE13" s="1">
        <f t="shared" si="32"/>
        <v>-21574.809603430585</v>
      </c>
      <c r="AF13" s="1">
        <f t="shared" si="32"/>
        <v>-22222.053891533502</v>
      </c>
      <c r="AG13" s="1">
        <f t="shared" si="32"/>
        <v>-22888.715508279507</v>
      </c>
      <c r="AH13" s="1">
        <f t="shared" si="32"/>
        <v>-23575.376973527891</v>
      </c>
      <c r="AI13" s="1">
        <f t="shared" si="32"/>
        <v>-24282.638282733729</v>
      </c>
      <c r="AJ13" s="1">
        <f t="shared" si="32"/>
        <v>-25011.117431215742</v>
      </c>
      <c r="AK13" s="1">
        <f t="shared" si="32"/>
        <v>-25761.450954152213</v>
      </c>
    </row>
    <row r="14" spans="2:37" ht="15" thickBot="1">
      <c r="B14" s="111" t="s">
        <v>143</v>
      </c>
      <c r="C14" s="112">
        <v>-0.01</v>
      </c>
      <c r="D14" s="111" t="s">
        <v>149</v>
      </c>
      <c r="E14" s="111" t="s">
        <v>20</v>
      </c>
      <c r="F14" s="113">
        <f>685*52*C14*0.31</f>
        <v>-110.422</v>
      </c>
      <c r="G14" s="114">
        <v>0.03</v>
      </c>
      <c r="H14" s="1">
        <f t="shared" si="28"/>
        <v>-110.422</v>
      </c>
      <c r="I14" s="1">
        <f t="shared" si="30"/>
        <v>-113.73466000000001</v>
      </c>
      <c r="J14" s="1">
        <f t="shared" si="32"/>
        <v>-117.14669980000001</v>
      </c>
      <c r="K14" s="1">
        <f t="shared" si="32"/>
        <v>-120.66110079400001</v>
      </c>
      <c r="L14" s="1">
        <f t="shared" si="32"/>
        <v>-124.28093381782001</v>
      </c>
      <c r="M14" s="1">
        <f t="shared" si="32"/>
        <v>-128.00936183235461</v>
      </c>
      <c r="N14" s="1">
        <f t="shared" si="32"/>
        <v>-131.84964268732526</v>
      </c>
      <c r="O14" s="1">
        <f t="shared" si="32"/>
        <v>-135.80513196794502</v>
      </c>
      <c r="P14" s="1">
        <f t="shared" si="32"/>
        <v>-139.87928592698336</v>
      </c>
      <c r="Q14" s="1">
        <f t="shared" si="32"/>
        <v>-144.07566450479285</v>
      </c>
      <c r="R14" s="1">
        <f t="shared" si="32"/>
        <v>-148.39793443993665</v>
      </c>
      <c r="S14" s="1">
        <f t="shared" si="32"/>
        <v>-152.84987247313475</v>
      </c>
      <c r="T14" s="1">
        <f t="shared" si="32"/>
        <v>-157.4353686473288</v>
      </c>
      <c r="U14" s="1">
        <f t="shared" si="32"/>
        <v>-162.15842970674868</v>
      </c>
      <c r="V14" s="1">
        <f t="shared" si="32"/>
        <v>-167.02318259795115</v>
      </c>
      <c r="W14" s="1">
        <f t="shared" si="32"/>
        <v>-172.03387807588967</v>
      </c>
      <c r="X14" s="1">
        <f t="shared" si="32"/>
        <v>-177.19489441816637</v>
      </c>
      <c r="Y14" s="1">
        <f t="shared" si="32"/>
        <v>-182.51074125071136</v>
      </c>
      <c r="Z14" s="1">
        <f t="shared" si="32"/>
        <v>-187.9860634882327</v>
      </c>
      <c r="AA14" s="1">
        <f t="shared" si="32"/>
        <v>-193.62564539287968</v>
      </c>
      <c r="AB14" s="1">
        <f t="shared" si="32"/>
        <v>-199.43441475466608</v>
      </c>
      <c r="AC14" s="1">
        <f t="shared" si="32"/>
        <v>-205.41744719730607</v>
      </c>
      <c r="AD14" s="1">
        <f t="shared" si="32"/>
        <v>-211.57997061322527</v>
      </c>
      <c r="AE14" s="1">
        <f t="shared" si="32"/>
        <v>-217.92736973162204</v>
      </c>
      <c r="AF14" s="1">
        <f t="shared" si="32"/>
        <v>-224.46519082357071</v>
      </c>
      <c r="AG14" s="1">
        <f t="shared" si="32"/>
        <v>-231.19914654827784</v>
      </c>
      <c r="AH14" s="1">
        <f t="shared" si="32"/>
        <v>-238.13512094472617</v>
      </c>
      <c r="AI14" s="1">
        <f t="shared" si="32"/>
        <v>-245.27917457306796</v>
      </c>
      <c r="AJ14" s="1">
        <f t="shared" si="32"/>
        <v>-252.63754981026</v>
      </c>
      <c r="AK14" s="1">
        <f t="shared" si="32"/>
        <v>-260.21667630456778</v>
      </c>
    </row>
    <row r="15" spans="2:37" ht="15" thickBot="1">
      <c r="B15" s="115" t="s">
        <v>145</v>
      </c>
      <c r="C15" s="116">
        <v>-0.5</v>
      </c>
      <c r="D15" s="115" t="s">
        <v>148</v>
      </c>
      <c r="E15" s="115" t="s">
        <v>35</v>
      </c>
      <c r="F15" s="117"/>
      <c r="H15" s="1">
        <f>Forecast!$F$3*$C15*SUMPRODUCT((H$2=Repayments!$AZ$37:$CC$37)*(Repayments!$AZ$38:$CC$38))</f>
        <v>0</v>
      </c>
      <c r="I15" s="1">
        <f>$C15*SUMPRODUCT((I$2=Repayments!$AZ$37:$CC$37)*(Repayments!$AZ$38:$CC$38))</f>
        <v>-14060.28933466257</v>
      </c>
      <c r="J15" s="1">
        <f>$C15*SUMPRODUCT((J$2=Repayments!$AZ$37:$CC$37)*(Repayments!$AZ$38:$CC$38))</f>
        <v>-13892.390057310336</v>
      </c>
      <c r="K15" s="1">
        <f>$C15*SUMPRODUCT((K$2=Repayments!$AZ$37:$CC$37)*(Repayments!$AZ$38:$CC$38))</f>
        <v>-13636.434799252322</v>
      </c>
      <c r="L15" s="1">
        <f>$C15*SUMPRODUCT((L$2=Repayments!$AZ$37:$CC$37)*(Repayments!$AZ$38:$CC$38))</f>
        <v>-13402.860154873091</v>
      </c>
      <c r="M15" s="1">
        <f>$C15*SUMPRODUCT((M$2=Repayments!$AZ$37:$CC$37)*(Repayments!$AZ$38:$CC$38))</f>
        <v>-13154.409942777773</v>
      </c>
      <c r="N15" s="1">
        <f>$C15*SUMPRODUCT((N$2=Repayments!$AZ$37:$CC$37)*(Repayments!$AZ$38:$CC$38))</f>
        <v>-12926.101936397856</v>
      </c>
      <c r="O15" s="1">
        <f>$C15*SUMPRODUCT((O$2=Repayments!$AZ$37:$CC$37)*(Repayments!$AZ$38:$CC$38))</f>
        <v>-12611.323481802629</v>
      </c>
      <c r="P15" s="1">
        <f>$C15*SUMPRODUCT((P$2=Repayments!$AZ$37:$CC$37)*(Repayments!$AZ$38:$CC$38))</f>
        <v>-12312.463014727286</v>
      </c>
      <c r="Q15" s="1">
        <f>$C15*SUMPRODUCT((Q$2=Repayments!$AZ$37:$CC$37)*(Repayments!$AZ$38:$CC$38))</f>
        <v>-11994.569149881156</v>
      </c>
      <c r="R15" s="1">
        <f>$C15*SUMPRODUCT((R$2=Repayments!$AZ$37:$CC$37)*(Repayments!$AZ$38:$CC$38))</f>
        <v>-11688.916953092436</v>
      </c>
      <c r="S15" s="1">
        <f>$C15*SUMPRODUCT((S$2=Repayments!$AZ$37:$CC$37)*(Repayments!$AZ$38:$CC$38))</f>
        <v>-11298.824341310687</v>
      </c>
      <c r="T15" s="1">
        <f>$C15*SUMPRODUCT((T$2=Repayments!$AZ$37:$CC$37)*(Repayments!$AZ$38:$CC$38))</f>
        <v>-10916.37530710477</v>
      </c>
      <c r="U15" s="1">
        <f>$C15*SUMPRODUCT((U$2=Repayments!$AZ$37:$CC$37)*(Repayments!$AZ$38:$CC$38))</f>
        <v>-10509.569406076247</v>
      </c>
      <c r="V15" s="1">
        <f>$C15*SUMPRODUCT((V$2=Repayments!$AZ$37:$CC$37)*(Repayments!$AZ$38:$CC$38))</f>
        <v>-10104.88973616769</v>
      </c>
      <c r="W15" s="1">
        <f>$C15*SUMPRODUCT((W$2=Repayments!$AZ$37:$CC$37)*(Repayments!$AZ$38:$CC$38))</f>
        <v>-9618.3688000746733</v>
      </c>
      <c r="X15" s="1">
        <f>$C15*SUMPRODUCT((X$2=Repayments!$AZ$37:$CC$37)*(Repayments!$AZ$38:$CC$38))</f>
        <v>-9128.8973180171706</v>
      </c>
      <c r="Y15" s="1">
        <f>$C15*SUMPRODUCT((Y$2=Repayments!$AZ$37:$CC$37)*(Repayments!$AZ$38:$CC$38))</f>
        <v>-8608.2530766227537</v>
      </c>
      <c r="Z15" s="1">
        <f>$C15*SUMPRODUCT((Z$2=Repayments!$AZ$37:$CC$37)*(Repayments!$AZ$38:$CC$38))</f>
        <v>-8076.7837877309303</v>
      </c>
      <c r="AA15" s="1">
        <f>$C15*SUMPRODUCT((AA$2=Repayments!$AZ$37:$CC$37)*(Repayments!$AZ$38:$CC$38))</f>
        <v>-7466.8010474189541</v>
      </c>
      <c r="AB15" s="1">
        <f>$C15*SUMPRODUCT((AB$2=Repayments!$AZ$37:$CC$37)*(Repayments!$AZ$38:$CC$38))</f>
        <v>-6840.3035971300151</v>
      </c>
      <c r="AC15" s="1">
        <f>$C15*SUMPRODUCT((AC$2=Repayments!$AZ$37:$CC$37)*(Repayments!$AZ$38:$CC$38))</f>
        <v>-6173.9066737176236</v>
      </c>
      <c r="AD15" s="1">
        <f>$C15*SUMPRODUCT((AD$2=Repayments!$AZ$37:$CC$37)*(Repayments!$AZ$38:$CC$38))</f>
        <v>-5480.1025602012551</v>
      </c>
      <c r="AE15" s="1">
        <f>$C15*SUMPRODUCT((AE$2=Repayments!$AZ$37:$CC$37)*(Repayments!$AZ$38:$CC$38))</f>
        <v>-4712.0457559680044</v>
      </c>
      <c r="AF15" s="1">
        <f>$C15*SUMPRODUCT((AF$2=Repayments!$AZ$37:$CC$37)*(Repayments!$AZ$38:$CC$38))</f>
        <v>-3910.1073926119184</v>
      </c>
      <c r="AG15" s="1">
        <f>$C15*SUMPRODUCT((AG$2=Repayments!$AZ$37:$CC$37)*(Repayments!$AZ$38:$CC$38))</f>
        <v>-3057.0963263092622</v>
      </c>
      <c r="AH15" s="1">
        <f>$C15*SUMPRODUCT((AH$2=Repayments!$AZ$37:$CC$37)*(Repayments!$AZ$38:$CC$38))</f>
        <v>-2155.4471581487874</v>
      </c>
      <c r="AI15" s="1">
        <f>$C15*SUMPRODUCT((AI$2=Repayments!$AZ$37:$CC$37)*(Repayments!$AZ$38:$CC$38))</f>
        <v>-1185.0005553647804</v>
      </c>
      <c r="AJ15" s="1">
        <f>$C15*SUMPRODUCT((AJ$2=Repayments!$AZ$37:$CC$37)*(Repayments!$AZ$38:$CC$38))</f>
        <v>-224.26290644689803</v>
      </c>
      <c r="AK15" s="1">
        <f>$C15*SUMPRODUCT((AK$2=Repayments!$AZ$37:$CC$37)*(Repayments!$AZ$38:$CC$38))</f>
        <v>0</v>
      </c>
    </row>
    <row r="16" spans="2:37" ht="15" thickBot="1">
      <c r="B16" s="115" t="s">
        <v>143</v>
      </c>
      <c r="C16" s="116">
        <v>-0.5</v>
      </c>
      <c r="D16" s="115" t="s">
        <v>148</v>
      </c>
      <c r="E16" s="115" t="s">
        <v>35</v>
      </c>
      <c r="F16" s="117"/>
      <c r="H16" s="1">
        <f>Forecast!$F$3*$C16*SUMPRODUCT((H$2=Repayments!$AZ$37:$CC$37)*(Repayments!$AZ$38:$CC$38))</f>
        <v>0</v>
      </c>
      <c r="I16" s="1">
        <f>$C16*SUMPRODUCT((I$2=Repayments!$AZ$37:$CC$37)*(Repayments!$AZ$38:$CC$38))</f>
        <v>-14060.28933466257</v>
      </c>
      <c r="J16" s="1">
        <f>$C16*SUMPRODUCT((J$2=Repayments!$AZ$37:$CC$37)*(Repayments!$AZ$38:$CC$38))</f>
        <v>-13892.390057310336</v>
      </c>
      <c r="K16" s="1">
        <f>$C16*SUMPRODUCT((K$2=Repayments!$AZ$37:$CC$37)*(Repayments!$AZ$38:$CC$38))</f>
        <v>-13636.434799252322</v>
      </c>
      <c r="L16" s="1">
        <f>$C16*SUMPRODUCT((L$2=Repayments!$AZ$37:$CC$37)*(Repayments!$AZ$38:$CC$38))</f>
        <v>-13402.860154873091</v>
      </c>
      <c r="M16" s="1">
        <f>$C16*SUMPRODUCT((M$2=Repayments!$AZ$37:$CC$37)*(Repayments!$AZ$38:$CC$38))</f>
        <v>-13154.409942777773</v>
      </c>
      <c r="N16" s="1">
        <f>$C16*SUMPRODUCT((N$2=Repayments!$AZ$37:$CC$37)*(Repayments!$AZ$38:$CC$38))</f>
        <v>-12926.101936397856</v>
      </c>
      <c r="O16" s="1">
        <f>$C16*SUMPRODUCT((O$2=Repayments!$AZ$37:$CC$37)*(Repayments!$AZ$38:$CC$38))</f>
        <v>-12611.323481802629</v>
      </c>
      <c r="P16" s="1">
        <f>$C16*SUMPRODUCT((P$2=Repayments!$AZ$37:$CC$37)*(Repayments!$AZ$38:$CC$38))</f>
        <v>-12312.463014727286</v>
      </c>
      <c r="Q16" s="1">
        <f>$C16*SUMPRODUCT((Q$2=Repayments!$AZ$37:$CC$37)*(Repayments!$AZ$38:$CC$38))</f>
        <v>-11994.569149881156</v>
      </c>
      <c r="R16" s="1">
        <f>$C16*SUMPRODUCT((R$2=Repayments!$AZ$37:$CC$37)*(Repayments!$AZ$38:$CC$38))</f>
        <v>-11688.916953092436</v>
      </c>
      <c r="S16" s="1">
        <f>$C16*SUMPRODUCT((S$2=Repayments!$AZ$37:$CC$37)*(Repayments!$AZ$38:$CC$38))</f>
        <v>-11298.824341310687</v>
      </c>
      <c r="T16" s="1">
        <f>$C16*SUMPRODUCT((T$2=Repayments!$AZ$37:$CC$37)*(Repayments!$AZ$38:$CC$38))</f>
        <v>-10916.37530710477</v>
      </c>
      <c r="U16" s="1">
        <f>$C16*SUMPRODUCT((U$2=Repayments!$AZ$37:$CC$37)*(Repayments!$AZ$38:$CC$38))</f>
        <v>-10509.569406076247</v>
      </c>
      <c r="V16" s="1">
        <f>$C16*SUMPRODUCT((V$2=Repayments!$AZ$37:$CC$37)*(Repayments!$AZ$38:$CC$38))</f>
        <v>-10104.88973616769</v>
      </c>
      <c r="W16" s="1">
        <f>$C16*SUMPRODUCT((W$2=Repayments!$AZ$37:$CC$37)*(Repayments!$AZ$38:$CC$38))</f>
        <v>-9618.3688000746733</v>
      </c>
      <c r="X16" s="1">
        <f>$C16*SUMPRODUCT((X$2=Repayments!$AZ$37:$CC$37)*(Repayments!$AZ$38:$CC$38))</f>
        <v>-9128.8973180171706</v>
      </c>
      <c r="Y16" s="1">
        <f>$C16*SUMPRODUCT((Y$2=Repayments!$AZ$37:$CC$37)*(Repayments!$AZ$38:$CC$38))</f>
        <v>-8608.2530766227537</v>
      </c>
      <c r="Z16" s="1">
        <f>$C16*SUMPRODUCT((Z$2=Repayments!$AZ$37:$CC$37)*(Repayments!$AZ$38:$CC$38))</f>
        <v>-8076.7837877309303</v>
      </c>
      <c r="AA16" s="1">
        <f>$C16*SUMPRODUCT((AA$2=Repayments!$AZ$37:$CC$37)*(Repayments!$AZ$38:$CC$38))</f>
        <v>-7466.8010474189541</v>
      </c>
      <c r="AB16" s="1">
        <f>$C16*SUMPRODUCT((AB$2=Repayments!$AZ$37:$CC$37)*(Repayments!$AZ$38:$CC$38))</f>
        <v>-6840.3035971300151</v>
      </c>
      <c r="AC16" s="1">
        <f>$C16*SUMPRODUCT((AC$2=Repayments!$AZ$37:$CC$37)*(Repayments!$AZ$38:$CC$38))</f>
        <v>-6173.9066737176236</v>
      </c>
      <c r="AD16" s="1">
        <f>$C16*SUMPRODUCT((AD$2=Repayments!$AZ$37:$CC$37)*(Repayments!$AZ$38:$CC$38))</f>
        <v>-5480.1025602012551</v>
      </c>
      <c r="AE16" s="1">
        <f>$C16*SUMPRODUCT((AE$2=Repayments!$AZ$37:$CC$37)*(Repayments!$AZ$38:$CC$38))</f>
        <v>-4712.0457559680044</v>
      </c>
      <c r="AF16" s="1">
        <f>$C16*SUMPRODUCT((AF$2=Repayments!$AZ$37:$CC$37)*(Repayments!$AZ$38:$CC$38))</f>
        <v>-3910.1073926119184</v>
      </c>
      <c r="AG16" s="1">
        <f>$C16*SUMPRODUCT((AG$2=Repayments!$AZ$37:$CC$37)*(Repayments!$AZ$38:$CC$38))</f>
        <v>-3057.0963263092622</v>
      </c>
      <c r="AH16" s="1">
        <f>$C16*SUMPRODUCT((AH$2=Repayments!$AZ$37:$CC$37)*(Repayments!$AZ$38:$CC$38))</f>
        <v>-2155.4471581487874</v>
      </c>
      <c r="AI16" s="1">
        <f>$C16*SUMPRODUCT((AI$2=Repayments!$AZ$37:$CC$37)*(Repayments!$AZ$38:$CC$38))</f>
        <v>-1185.0005553647804</v>
      </c>
      <c r="AJ16" s="1">
        <f>$C16*SUMPRODUCT((AJ$2=Repayments!$AZ$37:$CC$37)*(Repayments!$AZ$38:$CC$38))</f>
        <v>-224.26290644689803</v>
      </c>
      <c r="AK16" s="1">
        <f>$C16*SUMPRODUCT((AK$2=Repayments!$AZ$37:$CC$37)*(Repayments!$AZ$38:$CC$38))</f>
        <v>0</v>
      </c>
    </row>
    <row r="17" spans="2:37" ht="15" thickBot="1">
      <c r="B17" s="115" t="s">
        <v>145</v>
      </c>
      <c r="C17" s="116">
        <v>-0.99</v>
      </c>
      <c r="D17" s="115" t="s">
        <v>148</v>
      </c>
      <c r="E17" s="115" t="s">
        <v>20</v>
      </c>
      <c r="F17" s="117"/>
      <c r="H17" s="1">
        <f>Forecast!$F$3*$C17*SUMPRODUCT((H$2=Repayments!$AZ$31:$CC$31)*(Repayments!$AZ$32:$CC$32))</f>
        <v>0</v>
      </c>
      <c r="I17" s="1">
        <f>$C17*SUMPRODUCT((I$2=Repayments!$AZ$31:$CC$31)*(Repayments!$AZ$32:$CC$32))</f>
        <v>-32834.777581143702</v>
      </c>
      <c r="J17" s="1">
        <f>$C17*SUMPRODUCT((J$2=Repayments!$AZ$31:$CC$31)*(Repayments!$AZ$32:$CC$32))</f>
        <v>-32154.64649170496</v>
      </c>
      <c r="K17" s="1">
        <f>$C17*SUMPRODUCT((K$2=Repayments!$AZ$31:$CC$31)*(Repayments!$AZ$32:$CC$32))</f>
        <v>-31252.348743384093</v>
      </c>
      <c r="L17" s="1">
        <f>$C17*SUMPRODUCT((L$2=Repayments!$AZ$31:$CC$31)*(Repayments!$AZ$32:$CC$32))</f>
        <v>-30382.012468864868</v>
      </c>
      <c r="M17" s="1">
        <f>$C17*SUMPRODUCT((M$2=Repayments!$AZ$31:$CC$31)*(Repayments!$AZ$32:$CC$32))</f>
        <v>-29456.247463107346</v>
      </c>
      <c r="N17" s="1">
        <f>$C17*SUMPRODUCT((N$2=Repayments!$AZ$31:$CC$31)*(Repayments!$AZ$32:$CC$32))</f>
        <v>-28550.818489379955</v>
      </c>
      <c r="O17" s="1">
        <f>$C17*SUMPRODUCT((O$2=Repayments!$AZ$31:$CC$31)*(Repayments!$AZ$32:$CC$32))</f>
        <v>-27429.136192828348</v>
      </c>
      <c r="P17" s="1">
        <f>$C17*SUMPRODUCT((P$2=Repayments!$AZ$31:$CC$31)*(Repayments!$AZ$32:$CC$32))</f>
        <v>-26315.312628239895</v>
      </c>
      <c r="Q17" s="1">
        <f>$C17*SUMPRODUCT((Q$2=Repayments!$AZ$31:$CC$31)*(Repayments!$AZ$32:$CC$32))</f>
        <v>-25130.553462302916</v>
      </c>
      <c r="R17" s="1">
        <f>$C17*SUMPRODUCT((R$2=Repayments!$AZ$31:$CC$31)*(Repayments!$AZ$32:$CC$32))</f>
        <v>-23936.664811611714</v>
      </c>
      <c r="S17" s="1">
        <f>$C17*SUMPRODUCT((S$2=Repayments!$AZ$31:$CC$31)*(Repayments!$AZ$32:$CC$32))</f>
        <v>-22534.093965603457</v>
      </c>
      <c r="T17" s="1">
        <f>$C17*SUMPRODUCT((T$2=Repayments!$AZ$31:$CC$31)*(Repayments!$AZ$32:$CC$32))</f>
        <v>-21108.521956239627</v>
      </c>
      <c r="U17" s="1">
        <f>$C17*SUMPRODUCT((U$2=Repayments!$AZ$31:$CC$31)*(Repayments!$AZ$32:$CC$32))</f>
        <v>-19592.160156674861</v>
      </c>
      <c r="V17" s="1">
        <f>$C17*SUMPRODUCT((V$2=Repayments!$AZ$31:$CC$31)*(Repayments!$AZ$32:$CC$32))</f>
        <v>-18028.942759303267</v>
      </c>
      <c r="W17" s="1">
        <f>$C17*SUMPRODUCT((W$2=Repayments!$AZ$31:$CC$31)*(Repayments!$AZ$32:$CC$32))</f>
        <v>-16266.736843951458</v>
      </c>
      <c r="X17" s="1">
        <f>$C17*SUMPRODUCT((X$2=Repayments!$AZ$31:$CC$31)*(Repayments!$AZ$32:$CC$32))</f>
        <v>-14442.018362538796</v>
      </c>
      <c r="Y17" s="1">
        <f>$C17*SUMPRODUCT((Y$2=Repayments!$AZ$31:$CC$31)*(Repayments!$AZ$32:$CC$32))</f>
        <v>-12501.089821574558</v>
      </c>
      <c r="Z17" s="1">
        <f>$C17*SUMPRODUCT((Z$2=Repayments!$AZ$31:$CC$31)*(Repayments!$AZ$32:$CC$32))</f>
        <v>-10465.003132521595</v>
      </c>
      <c r="AA17" s="1">
        <f>$C17*SUMPRODUCT((AA$2=Repayments!$AZ$31:$CC$31)*(Repayments!$AZ$32:$CC$32))</f>
        <v>-8242.3392050794646</v>
      </c>
      <c r="AB17" s="1">
        <f>$C17*SUMPRODUCT((AB$2=Repayments!$AZ$31:$CC$31)*(Repayments!$AZ$32:$CC$32))</f>
        <v>-5906.5743694056746</v>
      </c>
      <c r="AC17" s="1">
        <f>$C17*SUMPRODUCT((AC$2=Repayments!$AZ$31:$CC$31)*(Repayments!$AZ$32:$CC$32))</f>
        <v>-3422.0526852551884</v>
      </c>
      <c r="AD17" s="1">
        <f>$C17*SUMPRODUCT((AD$2=Repayments!$AZ$31:$CC$31)*(Repayments!$AZ$32:$CC$32))</f>
        <v>-843.63876070031245</v>
      </c>
      <c r="AE17" s="1">
        <f>$C17*SUMPRODUCT((AE$2=Repayments!$AZ$31:$CC$31)*(Repayments!$AZ$32:$CC$32))</f>
        <v>0</v>
      </c>
      <c r="AF17" s="1">
        <f>$C17*SUMPRODUCT((AF$2=Repayments!$AZ$31:$CC$31)*(Repayments!$AZ$32:$CC$32))</f>
        <v>0</v>
      </c>
      <c r="AG17" s="1">
        <f>$C17*SUMPRODUCT((AG$2=Repayments!$AZ$31:$CC$31)*(Repayments!$AZ$32:$CC$32))</f>
        <v>0</v>
      </c>
      <c r="AH17" s="1">
        <f>$C17*SUMPRODUCT((AH$2=Repayments!$AZ$31:$CC$31)*(Repayments!$AZ$32:$CC$32))</f>
        <v>0</v>
      </c>
      <c r="AI17" s="1">
        <f>$C17*SUMPRODUCT((AI$2=Repayments!$AZ$31:$CC$31)*(Repayments!$AZ$32:$CC$32))</f>
        <v>0</v>
      </c>
      <c r="AJ17" s="1">
        <f>$C17*SUMPRODUCT((AJ$2=Repayments!$AZ$31:$CC$31)*(Repayments!$AZ$32:$CC$32))</f>
        <v>0</v>
      </c>
      <c r="AK17" s="1">
        <f>$C17*SUMPRODUCT((AK$2=Repayments!$AZ$31:$CC$31)*(Repayments!$AZ$32:$CC$32))</f>
        <v>0</v>
      </c>
    </row>
    <row r="18" spans="2:37" ht="15" thickBot="1">
      <c r="B18" s="115" t="s">
        <v>143</v>
      </c>
      <c r="C18" s="116">
        <v>-0.01</v>
      </c>
      <c r="D18" s="115" t="s">
        <v>148</v>
      </c>
      <c r="E18" s="115" t="s">
        <v>20</v>
      </c>
      <c r="F18" s="117"/>
      <c r="H18" s="1">
        <f>Forecast!$F$3*$C18*SUMPRODUCT((H$2=Repayments!$AZ$31:$CC$31)*(Repayments!$AZ$32:$CC$32))</f>
        <v>0</v>
      </c>
      <c r="I18" s="1">
        <f>$C18*SUMPRODUCT((I$2=Repayments!$AZ$31:$CC$31)*(Repayments!$AZ$32:$CC$32))</f>
        <v>-331.66442001155258</v>
      </c>
      <c r="J18" s="1">
        <f>$C18*SUMPRODUCT((J$2=Repayments!$AZ$31:$CC$31)*(Repayments!$AZ$32:$CC$32))</f>
        <v>-324.79440900712081</v>
      </c>
      <c r="K18" s="1">
        <f>$C18*SUMPRODUCT((K$2=Repayments!$AZ$31:$CC$31)*(Repayments!$AZ$32:$CC$32))</f>
        <v>-315.68029033721308</v>
      </c>
      <c r="L18" s="1">
        <f>$C18*SUMPRODUCT((L$2=Repayments!$AZ$31:$CC$31)*(Repayments!$AZ$32:$CC$32))</f>
        <v>-306.88901483701886</v>
      </c>
      <c r="M18" s="1">
        <f>$C18*SUMPRODUCT((M$2=Repayments!$AZ$31:$CC$31)*(Repayments!$AZ$32:$CC$32))</f>
        <v>-297.53785316270046</v>
      </c>
      <c r="N18" s="1">
        <f>$C18*SUMPRODUCT((N$2=Repayments!$AZ$31:$CC$31)*(Repayments!$AZ$32:$CC$32))</f>
        <v>-288.39210595333293</v>
      </c>
      <c r="O18" s="1">
        <f>$C18*SUMPRODUCT((O$2=Repayments!$AZ$31:$CC$31)*(Repayments!$AZ$32:$CC$32))</f>
        <v>-277.06198174574087</v>
      </c>
      <c r="P18" s="1">
        <f>$C18*SUMPRODUCT((P$2=Repayments!$AZ$31:$CC$31)*(Repayments!$AZ$32:$CC$32))</f>
        <v>-265.8112386690899</v>
      </c>
      <c r="Q18" s="1">
        <f>$C18*SUMPRODUCT((Q$2=Repayments!$AZ$31:$CC$31)*(Repayments!$AZ$32:$CC$32))</f>
        <v>-253.84397436669613</v>
      </c>
      <c r="R18" s="1">
        <f>$C18*SUMPRODUCT((R$2=Repayments!$AZ$31:$CC$31)*(Repayments!$AZ$32:$CC$32))</f>
        <v>-241.78449304658298</v>
      </c>
      <c r="S18" s="1">
        <f>$C18*SUMPRODUCT((S$2=Repayments!$AZ$31:$CC$31)*(Repayments!$AZ$32:$CC$32))</f>
        <v>-227.61711076367129</v>
      </c>
      <c r="T18" s="1">
        <f>$C18*SUMPRODUCT((T$2=Repayments!$AZ$31:$CC$31)*(Repayments!$AZ$32:$CC$32))</f>
        <v>-213.21739349736995</v>
      </c>
      <c r="U18" s="1">
        <f>$C18*SUMPRODUCT((U$2=Repayments!$AZ$31:$CC$31)*(Repayments!$AZ$32:$CC$32))</f>
        <v>-197.90060764318042</v>
      </c>
      <c r="V18" s="1">
        <f>$C18*SUMPRODUCT((V$2=Repayments!$AZ$31:$CC$31)*(Repayments!$AZ$32:$CC$32))</f>
        <v>-182.11053292225523</v>
      </c>
      <c r="W18" s="1">
        <f>$C18*SUMPRODUCT((W$2=Repayments!$AZ$31:$CC$31)*(Repayments!$AZ$32:$CC$32))</f>
        <v>-164.31047317122685</v>
      </c>
      <c r="X18" s="1">
        <f>$C18*SUMPRODUCT((X$2=Repayments!$AZ$31:$CC$31)*(Repayments!$AZ$32:$CC$32))</f>
        <v>-145.87897335897776</v>
      </c>
      <c r="Y18" s="1">
        <f>$C18*SUMPRODUCT((Y$2=Repayments!$AZ$31:$CC$31)*(Repayments!$AZ$32:$CC$32))</f>
        <v>-126.27363456135917</v>
      </c>
      <c r="Z18" s="1">
        <f>$C18*SUMPRODUCT((Z$2=Repayments!$AZ$31:$CC$31)*(Repayments!$AZ$32:$CC$32))</f>
        <v>-105.70710234870297</v>
      </c>
      <c r="AA18" s="1">
        <f>$C18*SUMPRODUCT((AA$2=Repayments!$AZ$31:$CC$31)*(Repayments!$AZ$32:$CC$32))</f>
        <v>-83.255951566459245</v>
      </c>
      <c r="AB18" s="1">
        <f>$C18*SUMPRODUCT((AB$2=Repayments!$AZ$31:$CC$31)*(Repayments!$AZ$32:$CC$32))</f>
        <v>-59.662367367734085</v>
      </c>
      <c r="AC18" s="1">
        <f>$C18*SUMPRODUCT((AC$2=Repayments!$AZ$31:$CC$31)*(Repayments!$AZ$32:$CC$32))</f>
        <v>-34.5661887399514</v>
      </c>
      <c r="AD18" s="1">
        <f>$C18*SUMPRODUCT((AD$2=Repayments!$AZ$31:$CC$31)*(Repayments!$AZ$32:$CC$32))</f>
        <v>-8.5216036434374995</v>
      </c>
      <c r="AE18" s="1">
        <f>$C18*SUMPRODUCT((AE$2=Repayments!$AZ$31:$CC$31)*(Repayments!$AZ$32:$CC$32))</f>
        <v>0</v>
      </c>
      <c r="AF18" s="1">
        <f>$C18*SUMPRODUCT((AF$2=Repayments!$AZ$31:$CC$31)*(Repayments!$AZ$32:$CC$32))</f>
        <v>0</v>
      </c>
      <c r="AG18" s="1">
        <f>$C18*SUMPRODUCT((AG$2=Repayments!$AZ$31:$CC$31)*(Repayments!$AZ$32:$CC$32))</f>
        <v>0</v>
      </c>
      <c r="AH18" s="1">
        <f>$C18*SUMPRODUCT((AH$2=Repayments!$AZ$31:$CC$31)*(Repayments!$AZ$32:$CC$32))</f>
        <v>0</v>
      </c>
      <c r="AI18" s="1">
        <f>$C18*SUMPRODUCT((AI$2=Repayments!$AZ$31:$CC$31)*(Repayments!$AZ$32:$CC$32))</f>
        <v>0</v>
      </c>
      <c r="AJ18" s="1">
        <f>$C18*SUMPRODUCT((AJ$2=Repayments!$AZ$31:$CC$31)*(Repayments!$AZ$32:$CC$32))</f>
        <v>0</v>
      </c>
      <c r="AK18" s="1">
        <f>$C18*SUMPRODUCT((AK$2=Repayments!$AZ$31:$CC$31)*(Repayments!$AZ$32:$CC$32))</f>
        <v>0</v>
      </c>
    </row>
    <row r="19" spans="2:37" ht="14" customHeight="1" thickBot="1">
      <c r="B19" s="107" t="s">
        <v>144</v>
      </c>
      <c r="C19" s="108">
        <v>1</v>
      </c>
      <c r="D19" s="107" t="s">
        <v>28</v>
      </c>
      <c r="E19" s="107" t="s">
        <v>36</v>
      </c>
      <c r="F19" s="109">
        <f>700*52*C19</f>
        <v>36400</v>
      </c>
      <c r="G19" s="110">
        <v>0.03</v>
      </c>
      <c r="H19" s="1">
        <f t="shared" ref="H19:H24" si="33">F19</f>
        <v>36400</v>
      </c>
      <c r="I19" s="1">
        <f t="shared" ref="I19:AK19" si="34">H19*(1+$G19)</f>
        <v>37492</v>
      </c>
      <c r="J19" s="1">
        <f t="shared" si="34"/>
        <v>38616.76</v>
      </c>
      <c r="K19" s="1">
        <f t="shared" si="34"/>
        <v>39775.262800000004</v>
      </c>
      <c r="L19" s="1">
        <f t="shared" si="34"/>
        <v>40968.520684000003</v>
      </c>
      <c r="M19" s="1">
        <f t="shared" si="34"/>
        <v>42197.576304520007</v>
      </c>
      <c r="N19" s="1">
        <f t="shared" si="34"/>
        <v>43463.503593655609</v>
      </c>
      <c r="O19" s="1">
        <f t="shared" si="34"/>
        <v>44767.408701465276</v>
      </c>
      <c r="P19" s="1">
        <f t="shared" si="34"/>
        <v>46110.430962509236</v>
      </c>
      <c r="Q19" s="1">
        <f t="shared" si="34"/>
        <v>47493.743891384511</v>
      </c>
      <c r="R19" s="1">
        <f t="shared" si="34"/>
        <v>48918.55620812605</v>
      </c>
      <c r="S19" s="1">
        <f t="shared" si="34"/>
        <v>50386.112894369835</v>
      </c>
      <c r="T19" s="1">
        <f t="shared" si="34"/>
        <v>51897.69628120093</v>
      </c>
      <c r="U19" s="1">
        <f t="shared" si="34"/>
        <v>53454.627169636959</v>
      </c>
      <c r="V19" s="16">
        <f t="shared" si="34"/>
        <v>55058.265984726066</v>
      </c>
      <c r="W19" s="1">
        <f t="shared" si="34"/>
        <v>56710.013964267848</v>
      </c>
      <c r="X19" s="1">
        <f t="shared" si="34"/>
        <v>58411.314383195888</v>
      </c>
      <c r="Y19" s="1">
        <f t="shared" si="34"/>
        <v>60163.653814691766</v>
      </c>
      <c r="Z19" s="1">
        <f t="shared" si="34"/>
        <v>61968.563429132519</v>
      </c>
      <c r="AA19" s="1">
        <f t="shared" si="34"/>
        <v>63827.620332006496</v>
      </c>
      <c r="AB19" s="1">
        <f t="shared" si="34"/>
        <v>65742.448941966693</v>
      </c>
      <c r="AC19" s="18">
        <f t="shared" si="34"/>
        <v>67714.722410225702</v>
      </c>
      <c r="AD19" s="1">
        <f t="shared" si="34"/>
        <v>69746.164082532472</v>
      </c>
      <c r="AE19" s="1">
        <f t="shared" si="34"/>
        <v>71838.549005008448</v>
      </c>
      <c r="AF19" s="1">
        <f t="shared" si="34"/>
        <v>73993.705475158698</v>
      </c>
      <c r="AG19" s="1">
        <f t="shared" si="34"/>
        <v>76213.516639413458</v>
      </c>
      <c r="AH19" s="1">
        <f t="shared" si="34"/>
        <v>78499.922138595866</v>
      </c>
      <c r="AI19" s="1">
        <f t="shared" si="34"/>
        <v>80854.91980275375</v>
      </c>
      <c r="AJ19" s="1">
        <f t="shared" si="34"/>
        <v>83280.56739683637</v>
      </c>
      <c r="AK19" s="20">
        <f t="shared" si="34"/>
        <v>85778.984418741456</v>
      </c>
    </row>
    <row r="20" spans="2:37" ht="14" customHeight="1" thickBot="1">
      <c r="B20" s="107" t="s">
        <v>144</v>
      </c>
      <c r="C20" s="108">
        <v>1</v>
      </c>
      <c r="D20" s="107" t="s">
        <v>28</v>
      </c>
      <c r="E20" s="107" t="s">
        <v>37</v>
      </c>
      <c r="F20" s="109">
        <f>460*52*C20</f>
        <v>23920</v>
      </c>
      <c r="G20" s="110">
        <v>0.03</v>
      </c>
      <c r="H20" s="1">
        <f t="shared" si="33"/>
        <v>23920</v>
      </c>
      <c r="I20" s="1">
        <f t="shared" ref="I20:AK20" si="35">H20*(1+$G20)</f>
        <v>24637.600000000002</v>
      </c>
      <c r="J20" s="1">
        <f t="shared" si="35"/>
        <v>25376.728000000003</v>
      </c>
      <c r="K20" s="1">
        <f t="shared" si="35"/>
        <v>26138.029840000003</v>
      </c>
      <c r="L20" s="1">
        <f t="shared" si="35"/>
        <v>26922.170735200005</v>
      </c>
      <c r="M20" s="1">
        <f t="shared" si="35"/>
        <v>27729.835857256006</v>
      </c>
      <c r="N20" s="1">
        <f t="shared" si="35"/>
        <v>28561.730932973689</v>
      </c>
      <c r="O20" s="1">
        <f t="shared" si="35"/>
        <v>29418.582860962899</v>
      </c>
      <c r="P20" s="1">
        <f t="shared" si="35"/>
        <v>30301.140346791788</v>
      </c>
      <c r="Q20" s="1">
        <f t="shared" si="35"/>
        <v>31210.174557195543</v>
      </c>
      <c r="R20" s="1">
        <f t="shared" si="35"/>
        <v>32146.479793911411</v>
      </c>
      <c r="S20" s="1">
        <f t="shared" si="35"/>
        <v>33110.874187728754</v>
      </c>
      <c r="T20" s="1">
        <f t="shared" si="35"/>
        <v>34104.200413360617</v>
      </c>
      <c r="U20" s="1">
        <f t="shared" si="35"/>
        <v>35127.326425761436</v>
      </c>
      <c r="V20" s="16">
        <f t="shared" si="35"/>
        <v>36181.146218534283</v>
      </c>
      <c r="W20" s="1">
        <f t="shared" si="35"/>
        <v>37266.580605090312</v>
      </c>
      <c r="X20" s="1">
        <f t="shared" si="35"/>
        <v>38384.578023243019</v>
      </c>
      <c r="Y20" s="1">
        <f t="shared" si="35"/>
        <v>39536.115363940313</v>
      </c>
      <c r="Z20" s="1">
        <f t="shared" si="35"/>
        <v>40722.198824858526</v>
      </c>
      <c r="AA20" s="1">
        <f t="shared" si="35"/>
        <v>41943.864789604282</v>
      </c>
      <c r="AB20" s="1">
        <f t="shared" si="35"/>
        <v>43202.180733292415</v>
      </c>
      <c r="AC20" s="18">
        <f t="shared" si="35"/>
        <v>44498.246155291185</v>
      </c>
      <c r="AD20" s="1">
        <f t="shared" si="35"/>
        <v>45833.19353994992</v>
      </c>
      <c r="AE20" s="1">
        <f t="shared" si="35"/>
        <v>47208.189346148421</v>
      </c>
      <c r="AF20" s="1">
        <f t="shared" si="35"/>
        <v>48624.435026532876</v>
      </c>
      <c r="AG20" s="1">
        <f t="shared" si="35"/>
        <v>50083.168077328861</v>
      </c>
      <c r="AH20" s="1">
        <f t="shared" si="35"/>
        <v>51585.663119648729</v>
      </c>
      <c r="AI20" s="1">
        <f t="shared" si="35"/>
        <v>53133.23301323819</v>
      </c>
      <c r="AJ20" s="1">
        <f t="shared" si="35"/>
        <v>54727.230003635341</v>
      </c>
      <c r="AK20" s="20">
        <f t="shared" si="35"/>
        <v>56369.046903744405</v>
      </c>
    </row>
    <row r="21" spans="2:37" ht="14" customHeight="1" thickBot="1">
      <c r="B21" s="107" t="s">
        <v>147</v>
      </c>
      <c r="C21" s="108">
        <v>1</v>
      </c>
      <c r="D21" s="107" t="s">
        <v>26</v>
      </c>
      <c r="E21" s="107" t="s">
        <v>27</v>
      </c>
      <c r="F21" s="109">
        <f>40000*C21</f>
        <v>40000</v>
      </c>
      <c r="G21" s="110">
        <v>0.05</v>
      </c>
      <c r="H21" s="1">
        <f t="shared" si="33"/>
        <v>40000</v>
      </c>
      <c r="I21" s="1">
        <f t="shared" ref="I21:AK21" si="36">H21*(1+$G21)</f>
        <v>42000</v>
      </c>
      <c r="J21" s="1">
        <f t="shared" si="36"/>
        <v>44100</v>
      </c>
      <c r="K21" s="1">
        <f t="shared" si="36"/>
        <v>46305</v>
      </c>
      <c r="L21" s="1">
        <f t="shared" si="36"/>
        <v>48620.25</v>
      </c>
      <c r="M21" s="1">
        <f t="shared" si="36"/>
        <v>51051.262500000004</v>
      </c>
      <c r="N21" s="1">
        <f t="shared" si="36"/>
        <v>53603.825625000005</v>
      </c>
      <c r="O21" s="1">
        <f t="shared" si="36"/>
        <v>56284.016906250006</v>
      </c>
      <c r="P21" s="1">
        <f t="shared" si="36"/>
        <v>59098.217751562508</v>
      </c>
      <c r="Q21" s="1">
        <f t="shared" si="36"/>
        <v>62053.128639140639</v>
      </c>
      <c r="R21" s="1">
        <f t="shared" si="36"/>
        <v>65155.785071097671</v>
      </c>
      <c r="S21" s="1">
        <f t="shared" si="36"/>
        <v>68413.574324652553</v>
      </c>
      <c r="T21" s="1">
        <f t="shared" si="36"/>
        <v>71834.253040885189</v>
      </c>
      <c r="U21" s="1">
        <f t="shared" si="36"/>
        <v>75425.965692929458</v>
      </c>
      <c r="V21" s="16">
        <f t="shared" si="36"/>
        <v>79197.263977575931</v>
      </c>
      <c r="W21" s="1">
        <f t="shared" si="36"/>
        <v>83157.127176454727</v>
      </c>
      <c r="X21" s="1">
        <f t="shared" si="36"/>
        <v>87314.983535277468</v>
      </c>
      <c r="Y21" s="1">
        <f t="shared" si="36"/>
        <v>91680.732712041339</v>
      </c>
      <c r="Z21" s="1">
        <f t="shared" si="36"/>
        <v>96264.769347643407</v>
      </c>
      <c r="AA21" s="1">
        <f t="shared" si="36"/>
        <v>101078.00781502559</v>
      </c>
      <c r="AB21" s="1">
        <f t="shared" si="36"/>
        <v>106131.90820577687</v>
      </c>
      <c r="AC21" s="18">
        <f t="shared" si="36"/>
        <v>111438.50361606572</v>
      </c>
      <c r="AD21" s="1">
        <f t="shared" si="36"/>
        <v>117010.428796869</v>
      </c>
      <c r="AE21" s="1">
        <f t="shared" si="36"/>
        <v>122860.95023671247</v>
      </c>
      <c r="AF21" s="1">
        <f t="shared" si="36"/>
        <v>129003.99774854809</v>
      </c>
      <c r="AG21" s="1">
        <f t="shared" si="36"/>
        <v>135454.19763597549</v>
      </c>
      <c r="AH21" s="1">
        <f t="shared" si="36"/>
        <v>142226.90751777426</v>
      </c>
      <c r="AI21" s="1">
        <f t="shared" si="36"/>
        <v>149338.25289366298</v>
      </c>
      <c r="AJ21" s="1">
        <f t="shared" si="36"/>
        <v>156805.16553834613</v>
      </c>
      <c r="AK21" s="20">
        <f t="shared" si="36"/>
        <v>164645.42381526344</v>
      </c>
    </row>
    <row r="22" spans="2:37" ht="14" customHeight="1" thickBot="1">
      <c r="B22" s="107" t="s">
        <v>147</v>
      </c>
      <c r="C22" s="108">
        <v>0.33</v>
      </c>
      <c r="D22" s="107" t="s">
        <v>26</v>
      </c>
      <c r="E22" s="107" t="s">
        <v>146</v>
      </c>
      <c r="F22" s="109">
        <f>40000*C22</f>
        <v>13200</v>
      </c>
      <c r="G22" s="110">
        <v>0.05</v>
      </c>
      <c r="H22" s="1">
        <f t="shared" si="33"/>
        <v>13200</v>
      </c>
      <c r="I22" s="1">
        <f t="shared" ref="I22:AK22" si="37">H22*(1+$G22)</f>
        <v>13860</v>
      </c>
      <c r="J22" s="1">
        <f t="shared" si="37"/>
        <v>14553</v>
      </c>
      <c r="K22" s="1">
        <f t="shared" si="37"/>
        <v>15280.650000000001</v>
      </c>
      <c r="L22" s="1">
        <f t="shared" si="37"/>
        <v>16044.682500000003</v>
      </c>
      <c r="M22" s="1">
        <f t="shared" si="37"/>
        <v>16846.916625000002</v>
      </c>
      <c r="N22" s="1">
        <f t="shared" si="37"/>
        <v>17689.262456250002</v>
      </c>
      <c r="O22" s="1">
        <f t="shared" si="37"/>
        <v>18573.725579062502</v>
      </c>
      <c r="P22" s="1">
        <f t="shared" si="37"/>
        <v>19502.411858015628</v>
      </c>
      <c r="Q22" s="1">
        <f t="shared" si="37"/>
        <v>20477.532450916409</v>
      </c>
      <c r="R22" s="1">
        <f t="shared" si="37"/>
        <v>21501.40907346223</v>
      </c>
      <c r="S22" s="1">
        <f t="shared" si="37"/>
        <v>22576.479527135343</v>
      </c>
      <c r="T22" s="1">
        <f t="shared" si="37"/>
        <v>23705.303503492112</v>
      </c>
      <c r="U22" s="1">
        <f t="shared" si="37"/>
        <v>24890.568678666717</v>
      </c>
      <c r="V22" s="16">
        <f t="shared" si="37"/>
        <v>26135.097112600055</v>
      </c>
      <c r="W22" s="1">
        <f t="shared" si="37"/>
        <v>27441.851968230058</v>
      </c>
      <c r="X22" s="1">
        <f t="shared" si="37"/>
        <v>28813.944566641563</v>
      </c>
      <c r="Y22" s="1">
        <f t="shared" si="37"/>
        <v>30254.641794973642</v>
      </c>
      <c r="Z22" s="1">
        <f t="shared" si="37"/>
        <v>31767.373884722325</v>
      </c>
      <c r="AA22" s="1">
        <f t="shared" si="37"/>
        <v>33355.742578958445</v>
      </c>
      <c r="AB22" s="1">
        <f t="shared" si="37"/>
        <v>35023.529707906368</v>
      </c>
      <c r="AC22" s="18">
        <f t="shared" si="37"/>
        <v>36774.706193301688</v>
      </c>
      <c r="AD22" s="1">
        <f t="shared" si="37"/>
        <v>38613.441502966773</v>
      </c>
      <c r="AE22" s="1">
        <f t="shared" si="37"/>
        <v>40544.11357811511</v>
      </c>
      <c r="AF22" s="1">
        <f t="shared" si="37"/>
        <v>42571.31925702087</v>
      </c>
      <c r="AG22" s="1">
        <f t="shared" si="37"/>
        <v>44699.885219871918</v>
      </c>
      <c r="AH22" s="1">
        <f t="shared" si="37"/>
        <v>46934.879480865515</v>
      </c>
      <c r="AI22" s="1">
        <f t="shared" si="37"/>
        <v>49281.623454908789</v>
      </c>
      <c r="AJ22" s="1">
        <f t="shared" si="37"/>
        <v>51745.704627654231</v>
      </c>
      <c r="AK22" s="20">
        <f t="shared" si="37"/>
        <v>54332.989859036948</v>
      </c>
    </row>
    <row r="23" spans="2:37" ht="15" thickBot="1">
      <c r="B23" s="111" t="s">
        <v>144</v>
      </c>
      <c r="C23" s="112">
        <v>-1</v>
      </c>
      <c r="D23" s="111" t="s">
        <v>149</v>
      </c>
      <c r="E23" s="111" t="s">
        <v>36</v>
      </c>
      <c r="F23" s="113">
        <f>700*52*C23*0.31</f>
        <v>-11284</v>
      </c>
      <c r="G23" s="114">
        <v>0.03</v>
      </c>
      <c r="H23" s="1">
        <f t="shared" si="33"/>
        <v>-11284</v>
      </c>
      <c r="I23" s="1">
        <f t="shared" ref="I23:AK23" si="38">H23*(1+$G23)</f>
        <v>-11622.52</v>
      </c>
      <c r="J23" s="1">
        <f t="shared" si="38"/>
        <v>-11971.195600000001</v>
      </c>
      <c r="K23" s="1">
        <f t="shared" si="38"/>
        <v>-12330.331468000002</v>
      </c>
      <c r="L23" s="1">
        <f t="shared" si="38"/>
        <v>-12700.241412040003</v>
      </c>
      <c r="M23" s="1">
        <f t="shared" si="38"/>
        <v>-13081.248654401203</v>
      </c>
      <c r="N23" s="1">
        <f t="shared" si="38"/>
        <v>-13473.686114033238</v>
      </c>
      <c r="O23" s="1">
        <f t="shared" si="38"/>
        <v>-13877.896697454236</v>
      </c>
      <c r="P23" s="1">
        <f t="shared" si="38"/>
        <v>-14294.233598377863</v>
      </c>
      <c r="Q23" s="1">
        <f t="shared" si="38"/>
        <v>-14723.0606063292</v>
      </c>
      <c r="R23" s="1">
        <f t="shared" si="38"/>
        <v>-15164.752424519076</v>
      </c>
      <c r="S23" s="1">
        <f t="shared" si="38"/>
        <v>-15619.694997254648</v>
      </c>
      <c r="T23" s="1">
        <f t="shared" si="38"/>
        <v>-16088.285847172288</v>
      </c>
      <c r="U23" s="1">
        <f t="shared" si="38"/>
        <v>-16570.934422587459</v>
      </c>
      <c r="V23" s="1">
        <f t="shared" si="38"/>
        <v>-17068.062455265084</v>
      </c>
      <c r="W23" s="1">
        <f t="shared" si="38"/>
        <v>-17580.104328923037</v>
      </c>
      <c r="X23" s="1">
        <f t="shared" si="38"/>
        <v>-18107.507458790729</v>
      </c>
      <c r="Y23" s="1">
        <f t="shared" si="38"/>
        <v>-18650.732682554451</v>
      </c>
      <c r="Z23" s="1">
        <f t="shared" si="38"/>
        <v>-19210.254663031086</v>
      </c>
      <c r="AA23" s="1">
        <f t="shared" si="38"/>
        <v>-19786.562302922019</v>
      </c>
      <c r="AB23" s="1">
        <f t="shared" si="38"/>
        <v>-20380.15917200968</v>
      </c>
      <c r="AC23" s="1">
        <f t="shared" si="38"/>
        <v>-20991.563947169972</v>
      </c>
      <c r="AD23" s="1">
        <f t="shared" si="38"/>
        <v>-21621.310865585074</v>
      </c>
      <c r="AE23" s="1">
        <f t="shared" si="38"/>
        <v>-22269.950191552627</v>
      </c>
      <c r="AF23" s="1">
        <f t="shared" si="38"/>
        <v>-22938.048697299208</v>
      </c>
      <c r="AG23" s="1">
        <f t="shared" si="38"/>
        <v>-23626.190158218185</v>
      </c>
      <c r="AH23" s="1">
        <f t="shared" si="38"/>
        <v>-24334.975862964733</v>
      </c>
      <c r="AI23" s="1">
        <f t="shared" si="38"/>
        <v>-25065.025138853674</v>
      </c>
      <c r="AJ23" s="1">
        <f t="shared" si="38"/>
        <v>-25816.975893019284</v>
      </c>
      <c r="AK23" s="1">
        <f t="shared" si="38"/>
        <v>-26591.485169809865</v>
      </c>
    </row>
    <row r="24" spans="2:37" ht="15" thickBot="1">
      <c r="B24" s="111" t="s">
        <v>144</v>
      </c>
      <c r="C24" s="112">
        <v>-1</v>
      </c>
      <c r="D24" s="111" t="s">
        <v>149</v>
      </c>
      <c r="E24" s="111" t="s">
        <v>37</v>
      </c>
      <c r="F24" s="113">
        <f>460*52*C24*0.31</f>
        <v>-7415.2</v>
      </c>
      <c r="G24" s="114">
        <v>0.03</v>
      </c>
      <c r="H24" s="1">
        <f t="shared" si="33"/>
        <v>-7415.2</v>
      </c>
      <c r="I24" s="1">
        <f t="shared" ref="I24:AK24" si="39">H24*(1+$G24)</f>
        <v>-7637.6559999999999</v>
      </c>
      <c r="J24" s="1">
        <f t="shared" si="39"/>
        <v>-7866.78568</v>
      </c>
      <c r="K24" s="1">
        <f t="shared" si="39"/>
        <v>-8102.7892504000001</v>
      </c>
      <c r="L24" s="1">
        <f t="shared" si="39"/>
        <v>-8345.8729279119998</v>
      </c>
      <c r="M24" s="1">
        <f t="shared" si="39"/>
        <v>-8596.2491157493605</v>
      </c>
      <c r="N24" s="1">
        <f t="shared" si="39"/>
        <v>-8854.1365892218419</v>
      </c>
      <c r="O24" s="1">
        <f t="shared" si="39"/>
        <v>-9119.7606868984967</v>
      </c>
      <c r="P24" s="1">
        <f t="shared" si="39"/>
        <v>-9393.3535075054515</v>
      </c>
      <c r="Q24" s="1">
        <f t="shared" si="39"/>
        <v>-9675.1541127306155</v>
      </c>
      <c r="R24" s="1">
        <f t="shared" si="39"/>
        <v>-9965.4087361125348</v>
      </c>
      <c r="S24" s="1">
        <f t="shared" si="39"/>
        <v>-10264.370998195911</v>
      </c>
      <c r="T24" s="1">
        <f t="shared" si="39"/>
        <v>-10572.302128141788</v>
      </c>
      <c r="U24" s="1">
        <f t="shared" si="39"/>
        <v>-10889.471191986042</v>
      </c>
      <c r="V24" s="1">
        <f t="shared" si="39"/>
        <v>-11216.155327745624</v>
      </c>
      <c r="W24" s="1">
        <f t="shared" si="39"/>
        <v>-11552.639987577993</v>
      </c>
      <c r="X24" s="1">
        <f t="shared" si="39"/>
        <v>-11899.219187205334</v>
      </c>
      <c r="Y24" s="1">
        <f t="shared" si="39"/>
        <v>-12256.195762821493</v>
      </c>
      <c r="Z24" s="1">
        <f t="shared" si="39"/>
        <v>-12623.881635706139</v>
      </c>
      <c r="AA24" s="1">
        <f t="shared" si="39"/>
        <v>-13002.598084777323</v>
      </c>
      <c r="AB24" s="1">
        <f t="shared" si="39"/>
        <v>-13392.676027320642</v>
      </c>
      <c r="AC24" s="1">
        <f t="shared" si="39"/>
        <v>-13794.456308140261</v>
      </c>
      <c r="AD24" s="1">
        <f t="shared" si="39"/>
        <v>-14208.289997384469</v>
      </c>
      <c r="AE24" s="1">
        <f t="shared" si="39"/>
        <v>-14634.538697306003</v>
      </c>
      <c r="AF24" s="1">
        <f t="shared" si="39"/>
        <v>-15073.574858225184</v>
      </c>
      <c r="AG24" s="1">
        <f t="shared" si="39"/>
        <v>-15525.78210397194</v>
      </c>
      <c r="AH24" s="1">
        <f t="shared" si="39"/>
        <v>-15991.555567091098</v>
      </c>
      <c r="AI24" s="1">
        <f t="shared" si="39"/>
        <v>-16471.30223410383</v>
      </c>
      <c r="AJ24" s="1">
        <f t="shared" si="39"/>
        <v>-16965.441301126946</v>
      </c>
      <c r="AK24" s="1">
        <f t="shared" si="39"/>
        <v>-17474.404540160755</v>
      </c>
    </row>
    <row r="25" spans="2:37" ht="13.5" customHeight="1" thickBot="1">
      <c r="B25" s="115" t="s">
        <v>144</v>
      </c>
      <c r="C25" s="116">
        <v>-1</v>
      </c>
      <c r="D25" s="115" t="s">
        <v>148</v>
      </c>
      <c r="E25" s="115" t="s">
        <v>125</v>
      </c>
      <c r="F25" s="117"/>
      <c r="H25" s="1">
        <f>$C25*SUMPRODUCT((H$2=Repayments!$AZ$43:$CC$43)*(Repayments!$AZ$44:$CC$44))</f>
        <v>0</v>
      </c>
      <c r="I25" s="1">
        <f>$C25*SUMPRODUCT((I$2=Repayments!$AZ$43:$CC$43)*(Repayments!$AZ$44:$CC$44))</f>
        <v>-58439.736841674821</v>
      </c>
      <c r="J25" s="1">
        <f>$C25*SUMPRODUCT((J$2=Repayments!$AZ$43:$CC$43)*(Repayments!$AZ$44:$CC$44))</f>
        <v>-57683.849756812117</v>
      </c>
      <c r="K25" s="1">
        <f>$C25*SUMPRODUCT((K$2=Repayments!$AZ$43:$CC$43)*(Repayments!$AZ$44:$CC$44))</f>
        <v>-56557.367694580025</v>
      </c>
      <c r="L25" s="1">
        <f>$C25*SUMPRODUCT((L$2=Repayments!$AZ$43:$CC$43)*(Repayments!$AZ$44:$CC$44))</f>
        <v>-55518.141166607165</v>
      </c>
      <c r="M25" s="1">
        <f>$C25*SUMPRODUCT((M$2=Repayments!$AZ$43:$CC$43)*(Repayments!$AZ$44:$CC$44))</f>
        <v>-54411.189255885278</v>
      </c>
      <c r="N25" s="1">
        <f>$C25*SUMPRODUCT((N$2=Repayments!$AZ$43:$CC$43)*(Repayments!$AZ$44:$CC$44))</f>
        <v>-53380.661014373138</v>
      </c>
      <c r="O25" s="1">
        <f>$C25*SUMPRODUCT((O$2=Repayments!$AZ$43:$CC$43)*(Repayments!$AZ$44:$CC$44))</f>
        <v>-51985.84895033294</v>
      </c>
      <c r="P25" s="1">
        <f>$C25*SUMPRODUCT((P$2=Repayments!$AZ$43:$CC$43)*(Repayments!$AZ$44:$CC$44))</f>
        <v>-50648.700989097189</v>
      </c>
      <c r="Q25" s="1">
        <f>$C25*SUMPRODUCT((Q$2=Repayments!$AZ$43:$CC$43)*(Repayments!$AZ$44:$CC$44))</f>
        <v>-49224.412394872204</v>
      </c>
      <c r="R25" s="1">
        <f>$C25*SUMPRODUCT((R$2=Repayments!$AZ$43:$CC$43)*(Repayments!$AZ$44:$CC$44))</f>
        <v>-47840.28217496568</v>
      </c>
      <c r="S25" s="1">
        <f>$C25*SUMPRODUCT((S$2=Repayments!$AZ$43:$CC$43)*(Repayments!$AZ$44:$CC$44))</f>
        <v>-46099.993778610748</v>
      </c>
      <c r="T25" s="1">
        <f>$C25*SUMPRODUCT((T$2=Repayments!$AZ$43:$CC$43)*(Repayments!$AZ$44:$CC$44))</f>
        <v>-44379.270356606336</v>
      </c>
      <c r="U25" s="1">
        <f>$C25*SUMPRODUCT((U$2=Repayments!$AZ$43:$CC$43)*(Repayments!$AZ$44:$CC$44))</f>
        <v>-42546.40906165156</v>
      </c>
      <c r="V25" s="1">
        <f>$C25*SUMPRODUCT((V$2=Repayments!$AZ$43:$CC$43)*(Repayments!$AZ$44:$CC$44))</f>
        <v>-40707.014377198604</v>
      </c>
      <c r="W25" s="1">
        <f>$C25*SUMPRODUCT((W$2=Repayments!$AZ$43:$CC$43)*(Repayments!$AZ$44:$CC$44))</f>
        <v>-38521.923329685094</v>
      </c>
      <c r="X25" s="1">
        <f>$C25*SUMPRODUCT((X$2=Repayments!$AZ$43:$CC$43)*(Repayments!$AZ$44:$CC$44))</f>
        <v>-36307.344422049762</v>
      </c>
      <c r="Y25" s="1">
        <f>$C25*SUMPRODUCT((Y$2=Repayments!$AZ$43:$CC$43)*(Repayments!$AZ$44:$CC$44))</f>
        <v>-33948.443559469655</v>
      </c>
      <c r="Z25" s="1">
        <f>$C25*SUMPRODUCT((Z$2=Repayments!$AZ$43:$CC$43)*(Repayments!$AZ$44:$CC$44))</f>
        <v>-31522.893408296957</v>
      </c>
      <c r="AA25" s="1">
        <f>$C25*SUMPRODUCT((AA$2=Repayments!$AZ$43:$CC$43)*(Repayments!$AZ$44:$CC$44))</f>
        <v>-28765.116535528516</v>
      </c>
      <c r="AB25" s="1">
        <f>$C25*SUMPRODUCT((AB$2=Repayments!$AZ$43:$CC$43)*(Repayments!$AZ$44:$CC$44))</f>
        <v>-25914.696012272103</v>
      </c>
      <c r="AC25" s="1">
        <f>$C25*SUMPRODUCT((AC$2=Repayments!$AZ$43:$CC$43)*(Repayments!$AZ$44:$CC$44))</f>
        <v>-22878.51635398882</v>
      </c>
      <c r="AD25" s="1">
        <f>$C25*SUMPRODUCT((AD$2=Repayments!$AZ$43:$CC$43)*(Repayments!$AZ$44:$CC$44))</f>
        <v>-19698.287861057801</v>
      </c>
      <c r="AE25" s="1">
        <f>$C25*SUMPRODUCT((AE$2=Repayments!$AZ$43:$CC$43)*(Repayments!$AZ$44:$CC$44))</f>
        <v>-16203.174882954449</v>
      </c>
      <c r="AF25" s="1">
        <f>$C25*SUMPRODUCT((AF$2=Repayments!$AZ$43:$CC$43)*(Repayments!$AZ$44:$CC$44))</f>
        <v>-12534.104831812125</v>
      </c>
      <c r="AG25" s="1">
        <f>$C25*SUMPRODUCT((AG$2=Repayments!$AZ$43:$CC$43)*(Repayments!$AZ$44:$CC$44))</f>
        <v>-8625.9250515991789</v>
      </c>
      <c r="AH25" s="1">
        <f>$C25*SUMPRODUCT((AH$2=Repayments!$AZ$43:$CC$43)*(Repayments!$AZ$44:$CC$44))</f>
        <v>-4474.0441015028418</v>
      </c>
      <c r="AI25" s="1">
        <f>$C25*SUMPRODUCT((AI$2=Repayments!$AZ$43:$CC$43)*(Repayments!$AZ$44:$CC$44))</f>
        <v>-588.11622995840571</v>
      </c>
      <c r="AJ25" s="1">
        <f>$C25*SUMPRODUCT((AJ$2=Repayments!$AZ$43:$CC$43)*(Repayments!$AZ$44:$CC$44))</f>
        <v>0</v>
      </c>
      <c r="AK25" s="1">
        <f>$C25*SUMPRODUCT((AK$2=Repayments!$AZ$43:$CC$43)*(Repayments!$AZ$44:$CC$44))</f>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K21"/>
  <sheetViews>
    <sheetView topLeftCell="B1" workbookViewId="0">
      <selection activeCell="E34" sqref="E34"/>
    </sheetView>
  </sheetViews>
  <sheetFormatPr defaultRowHeight="14.5"/>
  <cols>
    <col min="1" max="1" width="8.7265625" style="34"/>
    <col min="2" max="2" width="8" style="34" bestFit="1" customWidth="1"/>
    <col min="3" max="3" width="10.54296875" style="34" customWidth="1"/>
    <col min="4" max="4" width="14.26953125" style="34" customWidth="1"/>
    <col min="5" max="5" width="12.36328125" style="34" bestFit="1" customWidth="1"/>
    <col min="6" max="6" width="13.1796875" style="34" bestFit="1" customWidth="1"/>
    <col min="7" max="7" width="12.1796875" style="34" bestFit="1" customWidth="1"/>
    <col min="8" max="37" width="11.54296875" style="34" customWidth="1"/>
    <col min="38" max="16384" width="8.7265625" style="34"/>
  </cols>
  <sheetData>
    <row r="1" spans="2:37">
      <c r="V1" s="75" t="s">
        <v>2</v>
      </c>
      <c r="AC1" s="76">
        <v>67</v>
      </c>
      <c r="AK1" s="77">
        <v>75</v>
      </c>
    </row>
    <row r="2" spans="2:37">
      <c r="B2" s="78" t="s">
        <v>22</v>
      </c>
      <c r="C2" s="78" t="s">
        <v>1</v>
      </c>
      <c r="D2" s="78" t="s">
        <v>23</v>
      </c>
      <c r="E2" s="78" t="s">
        <v>129</v>
      </c>
      <c r="F2" s="78" t="s">
        <v>128</v>
      </c>
      <c r="G2" s="79" t="s">
        <v>21</v>
      </c>
      <c r="H2" s="80">
        <v>2026</v>
      </c>
      <c r="I2" s="80">
        <f>H2+1</f>
        <v>2027</v>
      </c>
      <c r="J2" s="80">
        <f t="shared" ref="J2:AK2" si="0">I2+1</f>
        <v>2028</v>
      </c>
      <c r="K2" s="80">
        <f t="shared" si="0"/>
        <v>2029</v>
      </c>
      <c r="L2" s="80">
        <f t="shared" si="0"/>
        <v>2030</v>
      </c>
      <c r="M2" s="80">
        <f t="shared" si="0"/>
        <v>2031</v>
      </c>
      <c r="N2" s="80">
        <f t="shared" si="0"/>
        <v>2032</v>
      </c>
      <c r="O2" s="80">
        <f t="shared" si="0"/>
        <v>2033</v>
      </c>
      <c r="P2" s="80">
        <f t="shared" si="0"/>
        <v>2034</v>
      </c>
      <c r="Q2" s="80">
        <f t="shared" si="0"/>
        <v>2035</v>
      </c>
      <c r="R2" s="80">
        <f t="shared" si="0"/>
        <v>2036</v>
      </c>
      <c r="S2" s="80">
        <f t="shared" si="0"/>
        <v>2037</v>
      </c>
      <c r="T2" s="80">
        <f t="shared" si="0"/>
        <v>2038</v>
      </c>
      <c r="U2" s="80">
        <f t="shared" si="0"/>
        <v>2039</v>
      </c>
      <c r="V2" s="75">
        <f t="shared" si="0"/>
        <v>2040</v>
      </c>
      <c r="W2" s="80">
        <f t="shared" si="0"/>
        <v>2041</v>
      </c>
      <c r="X2" s="80">
        <f t="shared" si="0"/>
        <v>2042</v>
      </c>
      <c r="Y2" s="80">
        <f t="shared" si="0"/>
        <v>2043</v>
      </c>
      <c r="Z2" s="80">
        <f t="shared" si="0"/>
        <v>2044</v>
      </c>
      <c r="AA2" s="80">
        <f t="shared" si="0"/>
        <v>2045</v>
      </c>
      <c r="AB2" s="80">
        <f t="shared" si="0"/>
        <v>2046</v>
      </c>
      <c r="AC2" s="76">
        <f t="shared" si="0"/>
        <v>2047</v>
      </c>
      <c r="AD2" s="80">
        <f t="shared" si="0"/>
        <v>2048</v>
      </c>
      <c r="AE2" s="80">
        <f t="shared" si="0"/>
        <v>2049</v>
      </c>
      <c r="AF2" s="80">
        <f t="shared" si="0"/>
        <v>2050</v>
      </c>
      <c r="AG2" s="80">
        <f t="shared" si="0"/>
        <v>2051</v>
      </c>
      <c r="AH2" s="80">
        <f t="shared" si="0"/>
        <v>2052</v>
      </c>
      <c r="AI2" s="80">
        <f t="shared" si="0"/>
        <v>2053</v>
      </c>
      <c r="AJ2" s="80">
        <f t="shared" si="0"/>
        <v>2054</v>
      </c>
      <c r="AK2" s="77">
        <f t="shared" si="0"/>
        <v>2055</v>
      </c>
    </row>
    <row r="3" spans="2:37" ht="14.5" customHeight="1">
      <c r="B3" s="9" t="s">
        <v>145</v>
      </c>
      <c r="C3" s="9" t="s">
        <v>7</v>
      </c>
      <c r="D3" s="9" t="s">
        <v>59</v>
      </c>
      <c r="E3" s="9"/>
      <c r="F3" s="10">
        <v>213500</v>
      </c>
      <c r="G3" s="81">
        <v>7.1999999999999995E-2</v>
      </c>
      <c r="H3" s="82">
        <f t="shared" ref="H3:H9" si="1">F3</f>
        <v>213500</v>
      </c>
      <c r="I3" s="82">
        <f>H3*(1+$G3)</f>
        <v>228872</v>
      </c>
      <c r="J3" s="82">
        <f t="shared" ref="J3:AK5" si="2">I3*(1+$G3)</f>
        <v>245350.78400000001</v>
      </c>
      <c r="K3" s="82">
        <f t="shared" si="2"/>
        <v>263016.04044800001</v>
      </c>
      <c r="L3" s="82">
        <f t="shared" si="2"/>
        <v>281953.19536025601</v>
      </c>
      <c r="M3" s="82">
        <f t="shared" si="2"/>
        <v>302253.82542619447</v>
      </c>
      <c r="N3" s="82">
        <f t="shared" si="2"/>
        <v>324016.10085688048</v>
      </c>
      <c r="O3" s="82">
        <f t="shared" si="2"/>
        <v>347345.26011857588</v>
      </c>
      <c r="P3" s="82">
        <f t="shared" si="2"/>
        <v>372354.11884711339</v>
      </c>
      <c r="Q3" s="82">
        <f t="shared" si="2"/>
        <v>399163.61540410557</v>
      </c>
      <c r="R3" s="82">
        <f t="shared" si="2"/>
        <v>427903.3957132012</v>
      </c>
      <c r="S3" s="82">
        <f t="shared" si="2"/>
        <v>458712.44020455173</v>
      </c>
      <c r="T3" s="82">
        <f t="shared" si="2"/>
        <v>491739.73589927948</v>
      </c>
      <c r="U3" s="82">
        <f t="shared" si="2"/>
        <v>527144.99688402761</v>
      </c>
      <c r="V3" s="82">
        <f t="shared" si="2"/>
        <v>565099.43665967765</v>
      </c>
      <c r="W3" s="82">
        <f t="shared" si="2"/>
        <v>605786.59609917447</v>
      </c>
      <c r="X3" s="82">
        <f t="shared" si="2"/>
        <v>649403.23101831507</v>
      </c>
      <c r="Y3" s="82">
        <f t="shared" si="2"/>
        <v>696160.26365163375</v>
      </c>
      <c r="Z3" s="82">
        <f t="shared" si="2"/>
        <v>746283.80263455142</v>
      </c>
      <c r="AA3" s="82">
        <f t="shared" si="2"/>
        <v>800016.23642423912</v>
      </c>
      <c r="AB3" s="82">
        <f t="shared" si="2"/>
        <v>857617.40544678434</v>
      </c>
      <c r="AC3" s="82">
        <f t="shared" si="2"/>
        <v>919365.85863895284</v>
      </c>
      <c r="AD3" s="82">
        <f t="shared" si="2"/>
        <v>985560.20046095748</v>
      </c>
      <c r="AE3" s="82">
        <f t="shared" si="2"/>
        <v>1056520.5348941465</v>
      </c>
      <c r="AF3" s="82">
        <f t="shared" si="2"/>
        <v>1132590.0134065251</v>
      </c>
      <c r="AG3" s="82">
        <f t="shared" si="2"/>
        <v>1214136.4943717951</v>
      </c>
      <c r="AH3" s="82">
        <f t="shared" si="2"/>
        <v>1301554.3219665645</v>
      </c>
      <c r="AI3" s="82">
        <f t="shared" si="2"/>
        <v>1395266.2331481571</v>
      </c>
      <c r="AJ3" s="82">
        <f t="shared" si="2"/>
        <v>1495725.4019348244</v>
      </c>
      <c r="AK3" s="82">
        <f t="shared" si="2"/>
        <v>1603417.6308741318</v>
      </c>
    </row>
    <row r="4" spans="2:37" ht="14.5" customHeight="1">
      <c r="B4" s="9" t="s">
        <v>145</v>
      </c>
      <c r="C4" s="9" t="s">
        <v>7</v>
      </c>
      <c r="D4" s="9" t="s">
        <v>60</v>
      </c>
      <c r="E4" s="9"/>
      <c r="F4" s="10">
        <v>213200</v>
      </c>
      <c r="G4" s="81">
        <v>7.1999999999999995E-2</v>
      </c>
      <c r="H4" s="82">
        <f t="shared" si="1"/>
        <v>213200</v>
      </c>
      <c r="I4" s="82">
        <f t="shared" ref="I4:X5" si="3">H4*(1+$G4)</f>
        <v>228550.40000000002</v>
      </c>
      <c r="J4" s="82">
        <f t="shared" si="3"/>
        <v>245006.02880000003</v>
      </c>
      <c r="K4" s="82">
        <f t="shared" si="3"/>
        <v>262646.46287360007</v>
      </c>
      <c r="L4" s="82">
        <f t="shared" si="3"/>
        <v>281557.00820049929</v>
      </c>
      <c r="M4" s="82">
        <f t="shared" si="3"/>
        <v>301829.11279093527</v>
      </c>
      <c r="N4" s="82">
        <f t="shared" si="3"/>
        <v>323560.80891188263</v>
      </c>
      <c r="O4" s="82">
        <f t="shared" si="3"/>
        <v>346857.18715353822</v>
      </c>
      <c r="P4" s="82">
        <f t="shared" si="3"/>
        <v>371830.90462859301</v>
      </c>
      <c r="Q4" s="82">
        <f t="shared" si="3"/>
        <v>398602.72976185172</v>
      </c>
      <c r="R4" s="82">
        <f t="shared" si="3"/>
        <v>427302.12630470505</v>
      </c>
      <c r="S4" s="82">
        <f t="shared" si="3"/>
        <v>458067.87939864385</v>
      </c>
      <c r="T4" s="82">
        <f t="shared" si="3"/>
        <v>491048.76671534625</v>
      </c>
      <c r="U4" s="82">
        <f t="shared" si="3"/>
        <v>526404.27791885124</v>
      </c>
      <c r="V4" s="82">
        <f t="shared" si="3"/>
        <v>564305.3859290086</v>
      </c>
      <c r="W4" s="82">
        <f t="shared" si="3"/>
        <v>604935.37371589721</v>
      </c>
      <c r="X4" s="82">
        <f t="shared" si="3"/>
        <v>648490.72062344186</v>
      </c>
      <c r="Y4" s="82">
        <f t="shared" si="2"/>
        <v>695182.05250832974</v>
      </c>
      <c r="Z4" s="82">
        <f t="shared" si="2"/>
        <v>745235.16028892947</v>
      </c>
      <c r="AA4" s="82">
        <f t="shared" si="2"/>
        <v>798892.09182973241</v>
      </c>
      <c r="AB4" s="82">
        <f t="shared" si="2"/>
        <v>856412.32244147314</v>
      </c>
      <c r="AC4" s="82">
        <f t="shared" si="2"/>
        <v>918074.00965725922</v>
      </c>
      <c r="AD4" s="82">
        <f t="shared" si="2"/>
        <v>984175.33835258195</v>
      </c>
      <c r="AE4" s="82">
        <f t="shared" si="2"/>
        <v>1055035.962713968</v>
      </c>
      <c r="AF4" s="82">
        <f t="shared" si="2"/>
        <v>1130998.5520293738</v>
      </c>
      <c r="AG4" s="82">
        <f t="shared" si="2"/>
        <v>1212430.4477754887</v>
      </c>
      <c r="AH4" s="82">
        <f t="shared" si="2"/>
        <v>1299725.4400153239</v>
      </c>
      <c r="AI4" s="82">
        <f t="shared" si="2"/>
        <v>1393305.6716964273</v>
      </c>
      <c r="AJ4" s="82">
        <f t="shared" si="2"/>
        <v>1493623.6800585701</v>
      </c>
      <c r="AK4" s="82">
        <f t="shared" si="2"/>
        <v>1601164.5850227873</v>
      </c>
    </row>
    <row r="5" spans="2:37" ht="14.5" customHeight="1">
      <c r="B5" s="9" t="s">
        <v>189</v>
      </c>
      <c r="C5" s="9" t="s">
        <v>5</v>
      </c>
      <c r="D5" s="9"/>
      <c r="E5" s="9"/>
      <c r="F5" s="10">
        <v>10888</v>
      </c>
      <c r="G5" s="81">
        <v>0.06</v>
      </c>
      <c r="H5" s="82">
        <f t="shared" si="1"/>
        <v>10888</v>
      </c>
      <c r="I5" s="82">
        <f t="shared" si="3"/>
        <v>11541.28</v>
      </c>
      <c r="J5" s="82">
        <f t="shared" si="2"/>
        <v>12233.756800000001</v>
      </c>
      <c r="K5" s="82">
        <f t="shared" si="2"/>
        <v>12967.782208000002</v>
      </c>
      <c r="L5" s="82">
        <f t="shared" si="2"/>
        <v>13745.849140480002</v>
      </c>
      <c r="M5" s="82">
        <f t="shared" si="2"/>
        <v>14570.600088908803</v>
      </c>
      <c r="N5" s="82">
        <f t="shared" si="2"/>
        <v>15444.836094243332</v>
      </c>
      <c r="O5" s="82">
        <f t="shared" si="2"/>
        <v>16371.526259897933</v>
      </c>
      <c r="P5" s="82">
        <f t="shared" si="2"/>
        <v>17353.817835491809</v>
      </c>
      <c r="Q5" s="82">
        <f t="shared" si="2"/>
        <v>18395.046905621319</v>
      </c>
      <c r="R5" s="82">
        <f t="shared" si="2"/>
        <v>19498.7497199586</v>
      </c>
      <c r="S5" s="82">
        <f t="shared" si="2"/>
        <v>20668.674703156117</v>
      </c>
      <c r="T5" s="82">
        <f t="shared" si="2"/>
        <v>21908.795185345487</v>
      </c>
      <c r="U5" s="82">
        <f t="shared" si="2"/>
        <v>23223.322896466216</v>
      </c>
      <c r="V5" s="82">
        <f t="shared" si="2"/>
        <v>24616.722270254191</v>
      </c>
      <c r="W5" s="82">
        <f t="shared" si="2"/>
        <v>26093.725606469445</v>
      </c>
      <c r="X5" s="82">
        <f t="shared" si="2"/>
        <v>27659.349142857613</v>
      </c>
      <c r="Y5" s="82">
        <f t="shared" si="2"/>
        <v>29318.910091429072</v>
      </c>
      <c r="Z5" s="82">
        <f t="shared" si="2"/>
        <v>31078.044696914818</v>
      </c>
      <c r="AA5" s="82">
        <f t="shared" si="2"/>
        <v>32942.727378729709</v>
      </c>
      <c r="AB5" s="82">
        <f t="shared" si="2"/>
        <v>34919.291021453493</v>
      </c>
      <c r="AC5" s="82">
        <f t="shared" si="2"/>
        <v>37014.448482740707</v>
      </c>
      <c r="AD5" s="82">
        <f t="shared" si="2"/>
        <v>39235.315391705153</v>
      </c>
      <c r="AE5" s="82">
        <f t="shared" si="2"/>
        <v>41589.434315207465</v>
      </c>
      <c r="AF5" s="82">
        <f t="shared" si="2"/>
        <v>44084.800374119914</v>
      </c>
      <c r="AG5" s="82">
        <f t="shared" si="2"/>
        <v>46729.888396567112</v>
      </c>
      <c r="AH5" s="82">
        <f t="shared" si="2"/>
        <v>49533.681700361143</v>
      </c>
      <c r="AI5" s="82">
        <f t="shared" si="2"/>
        <v>52505.702602382815</v>
      </c>
      <c r="AJ5" s="82">
        <f t="shared" si="2"/>
        <v>55656.044758525786</v>
      </c>
      <c r="AK5" s="82">
        <f t="shared" si="2"/>
        <v>58995.407444037337</v>
      </c>
    </row>
    <row r="6" spans="2:37" ht="14.5" customHeight="1">
      <c r="B6" s="11" t="s">
        <v>189</v>
      </c>
      <c r="C6" s="11" t="s">
        <v>6</v>
      </c>
      <c r="D6" s="11" t="s">
        <v>31</v>
      </c>
      <c r="E6" s="70">
        <f>405000+17000+1500+1000</f>
        <v>424500</v>
      </c>
      <c r="F6" s="12">
        <v>850000</v>
      </c>
      <c r="G6" s="83">
        <v>0.06</v>
      </c>
      <c r="H6" s="82">
        <f t="shared" si="1"/>
        <v>850000</v>
      </c>
      <c r="I6" s="82">
        <f t="shared" ref="I6:AK6" si="4">H6*(1+$G6)</f>
        <v>901000</v>
      </c>
      <c r="J6" s="82">
        <f t="shared" si="4"/>
        <v>955060</v>
      </c>
      <c r="K6" s="82">
        <f t="shared" si="4"/>
        <v>1012363.6000000001</v>
      </c>
      <c r="L6" s="82">
        <f t="shared" si="4"/>
        <v>1073105.4160000002</v>
      </c>
      <c r="M6" s="82">
        <f t="shared" si="4"/>
        <v>1137491.7409600003</v>
      </c>
      <c r="N6" s="82">
        <f t="shared" si="4"/>
        <v>1205741.2454176005</v>
      </c>
      <c r="O6" s="82">
        <f t="shared" si="4"/>
        <v>1278085.7201426567</v>
      </c>
      <c r="P6" s="82">
        <f t="shared" si="4"/>
        <v>1354770.8633512161</v>
      </c>
      <c r="Q6" s="82">
        <f t="shared" si="4"/>
        <v>1436057.1151522892</v>
      </c>
      <c r="R6" s="82">
        <f t="shared" si="4"/>
        <v>1522220.5420614267</v>
      </c>
      <c r="S6" s="82">
        <f t="shared" si="4"/>
        <v>1613553.7745851125</v>
      </c>
      <c r="T6" s="82">
        <f t="shared" si="4"/>
        <v>1710367.0010602192</v>
      </c>
      <c r="U6" s="82">
        <f t="shared" si="4"/>
        <v>1812989.0211238326</v>
      </c>
      <c r="V6" s="82">
        <f t="shared" si="4"/>
        <v>1921768.3623912625</v>
      </c>
      <c r="W6" s="82">
        <f t="shared" si="4"/>
        <v>2037074.4641347383</v>
      </c>
      <c r="X6" s="82">
        <f t="shared" si="4"/>
        <v>2159298.9319828227</v>
      </c>
      <c r="Y6" s="82">
        <f t="shared" si="4"/>
        <v>2288856.8679017923</v>
      </c>
      <c r="Z6" s="82">
        <f t="shared" si="4"/>
        <v>2426188.2799759</v>
      </c>
      <c r="AA6" s="82">
        <f t="shared" si="4"/>
        <v>2571759.5767744542</v>
      </c>
      <c r="AB6" s="82">
        <f t="shared" si="4"/>
        <v>2726065.1513809217</v>
      </c>
      <c r="AC6" s="82">
        <f t="shared" si="4"/>
        <v>2889629.0604637773</v>
      </c>
      <c r="AD6" s="82">
        <f t="shared" si="4"/>
        <v>3063006.804091604</v>
      </c>
      <c r="AE6" s="82">
        <f t="shared" si="4"/>
        <v>3246787.2123371004</v>
      </c>
      <c r="AF6" s="82">
        <f t="shared" si="4"/>
        <v>3441594.4450773266</v>
      </c>
      <c r="AG6" s="82">
        <f t="shared" si="4"/>
        <v>3648090.1117819664</v>
      </c>
      <c r="AH6" s="82">
        <f t="shared" si="4"/>
        <v>3866975.5184888844</v>
      </c>
      <c r="AI6" s="82">
        <f t="shared" si="4"/>
        <v>4098994.0495982179</v>
      </c>
      <c r="AJ6" s="82">
        <f t="shared" si="4"/>
        <v>4344933.6925741108</v>
      </c>
      <c r="AK6" s="82">
        <f t="shared" si="4"/>
        <v>4605629.7141285576</v>
      </c>
    </row>
    <row r="7" spans="2:37" ht="14.5" customHeight="1">
      <c r="B7" s="11" t="s">
        <v>189</v>
      </c>
      <c r="C7" s="11" t="s">
        <v>6</v>
      </c>
      <c r="D7" s="11" t="s">
        <v>32</v>
      </c>
      <c r="E7" s="70">
        <f>590000+24000+2000+1500</f>
        <v>617500</v>
      </c>
      <c r="F7" s="12">
        <v>565000</v>
      </c>
      <c r="G7" s="83">
        <v>1.4999999999999999E-2</v>
      </c>
      <c r="H7" s="82">
        <f t="shared" si="1"/>
        <v>565000</v>
      </c>
      <c r="I7" s="82">
        <f t="shared" ref="I7:AK7" si="5">H7*(1+$G7)</f>
        <v>573475</v>
      </c>
      <c r="J7" s="82">
        <f t="shared" si="5"/>
        <v>582077.125</v>
      </c>
      <c r="K7" s="82">
        <f t="shared" si="5"/>
        <v>590808.28187499999</v>
      </c>
      <c r="L7" s="82">
        <f t="shared" si="5"/>
        <v>599670.40610312496</v>
      </c>
      <c r="M7" s="82">
        <f t="shared" si="5"/>
        <v>608665.46219467174</v>
      </c>
      <c r="N7" s="82">
        <f t="shared" si="5"/>
        <v>617795.44412759179</v>
      </c>
      <c r="O7" s="82">
        <f t="shared" si="5"/>
        <v>627062.37578950566</v>
      </c>
      <c r="P7" s="82">
        <f t="shared" si="5"/>
        <v>636468.31142634817</v>
      </c>
      <c r="Q7" s="82">
        <f t="shared" si="5"/>
        <v>646015.33609774336</v>
      </c>
      <c r="R7" s="82">
        <f t="shared" si="5"/>
        <v>655705.56613920943</v>
      </c>
      <c r="S7" s="82">
        <f t="shared" si="5"/>
        <v>665541.14963129757</v>
      </c>
      <c r="T7" s="82">
        <f t="shared" si="5"/>
        <v>675524.26687576692</v>
      </c>
      <c r="U7" s="82">
        <f t="shared" si="5"/>
        <v>685657.13087890332</v>
      </c>
      <c r="V7" s="82">
        <f t="shared" si="5"/>
        <v>695941.98784208682</v>
      </c>
      <c r="W7" s="82">
        <f t="shared" si="5"/>
        <v>706381.11765971803</v>
      </c>
      <c r="X7" s="82">
        <f t="shared" si="5"/>
        <v>716976.83442461374</v>
      </c>
      <c r="Y7" s="82">
        <f t="shared" si="5"/>
        <v>727731.48694098287</v>
      </c>
      <c r="Z7" s="82">
        <f t="shared" si="5"/>
        <v>738647.45924509759</v>
      </c>
      <c r="AA7" s="82">
        <f t="shared" si="5"/>
        <v>749727.17113377398</v>
      </c>
      <c r="AB7" s="82">
        <f t="shared" si="5"/>
        <v>760973.07870078052</v>
      </c>
      <c r="AC7" s="82">
        <f t="shared" si="5"/>
        <v>772387.67488129216</v>
      </c>
      <c r="AD7" s="82">
        <f t="shared" si="5"/>
        <v>783973.49000451143</v>
      </c>
      <c r="AE7" s="82">
        <f t="shared" si="5"/>
        <v>795733.09235457901</v>
      </c>
      <c r="AF7" s="82">
        <f t="shared" si="5"/>
        <v>807669.08873989759</v>
      </c>
      <c r="AG7" s="82">
        <f t="shared" si="5"/>
        <v>819784.125070996</v>
      </c>
      <c r="AH7" s="82">
        <f t="shared" si="5"/>
        <v>832080.88694706082</v>
      </c>
      <c r="AI7" s="82">
        <f t="shared" si="5"/>
        <v>844562.10025126662</v>
      </c>
      <c r="AJ7" s="82">
        <f t="shared" si="5"/>
        <v>857230.53175503551</v>
      </c>
      <c r="AK7" s="82">
        <f t="shared" si="5"/>
        <v>870088.98973136093</v>
      </c>
    </row>
    <row r="8" spans="2:37" ht="14.5" customHeight="1">
      <c r="B8" s="11" t="s">
        <v>189</v>
      </c>
      <c r="C8" s="11" t="s">
        <v>6</v>
      </c>
      <c r="D8" s="11" t="s">
        <v>33</v>
      </c>
      <c r="E8" s="70">
        <f>489000+11500+2500+3000</f>
        <v>506000</v>
      </c>
      <c r="F8" s="12">
        <v>515000</v>
      </c>
      <c r="G8" s="83">
        <v>0.03</v>
      </c>
      <c r="H8" s="82">
        <f t="shared" si="1"/>
        <v>515000</v>
      </c>
      <c r="I8" s="82">
        <f t="shared" ref="I8:AK8" si="6">H8*(1+$G8)</f>
        <v>530450</v>
      </c>
      <c r="J8" s="82">
        <f t="shared" si="6"/>
        <v>546363.5</v>
      </c>
      <c r="K8" s="82">
        <f t="shared" si="6"/>
        <v>562754.40500000003</v>
      </c>
      <c r="L8" s="82">
        <f t="shared" si="6"/>
        <v>579637.03714999999</v>
      </c>
      <c r="M8" s="82">
        <f t="shared" si="6"/>
        <v>597026.14826449996</v>
      </c>
      <c r="N8" s="82">
        <f t="shared" si="6"/>
        <v>614936.93271243502</v>
      </c>
      <c r="O8" s="82">
        <f t="shared" si="6"/>
        <v>633385.04069380811</v>
      </c>
      <c r="P8" s="82">
        <f t="shared" si="6"/>
        <v>652386.59191462235</v>
      </c>
      <c r="Q8" s="82">
        <f t="shared" si="6"/>
        <v>671958.18967206101</v>
      </c>
      <c r="R8" s="82">
        <f t="shared" si="6"/>
        <v>692116.93536222284</v>
      </c>
      <c r="S8" s="82">
        <f t="shared" si="6"/>
        <v>712880.44342308957</v>
      </c>
      <c r="T8" s="82">
        <f t="shared" si="6"/>
        <v>734266.85672578227</v>
      </c>
      <c r="U8" s="82">
        <f t="shared" si="6"/>
        <v>756294.86242755572</v>
      </c>
      <c r="V8" s="82">
        <f t="shared" si="6"/>
        <v>778983.70830038236</v>
      </c>
      <c r="W8" s="82">
        <f t="shared" si="6"/>
        <v>802353.21954939386</v>
      </c>
      <c r="X8" s="82">
        <f t="shared" si="6"/>
        <v>826423.81613587565</v>
      </c>
      <c r="Y8" s="82">
        <f t="shared" si="6"/>
        <v>851216.5306199519</v>
      </c>
      <c r="Z8" s="82">
        <f t="shared" si="6"/>
        <v>876753.0265385505</v>
      </c>
      <c r="AA8" s="82">
        <f t="shared" si="6"/>
        <v>903055.61733470706</v>
      </c>
      <c r="AB8" s="82">
        <f t="shared" si="6"/>
        <v>930147.28585474833</v>
      </c>
      <c r="AC8" s="82">
        <f t="shared" si="6"/>
        <v>958051.70443039085</v>
      </c>
      <c r="AD8" s="82">
        <f t="shared" si="6"/>
        <v>986793.25556330255</v>
      </c>
      <c r="AE8" s="82">
        <f t="shared" si="6"/>
        <v>1016397.0532302016</v>
      </c>
      <c r="AF8" s="82">
        <f t="shared" si="6"/>
        <v>1046888.9648271076</v>
      </c>
      <c r="AG8" s="82">
        <f t="shared" si="6"/>
        <v>1078295.6337719208</v>
      </c>
      <c r="AH8" s="82">
        <f t="shared" si="6"/>
        <v>1110644.5027850785</v>
      </c>
      <c r="AI8" s="82">
        <f t="shared" si="6"/>
        <v>1143963.8378686309</v>
      </c>
      <c r="AJ8" s="82">
        <f t="shared" si="6"/>
        <v>1178282.7530046899</v>
      </c>
      <c r="AK8" s="82">
        <f t="shared" si="6"/>
        <v>1213631.2355948307</v>
      </c>
    </row>
    <row r="9" spans="2:37" ht="14.5" customHeight="1">
      <c r="B9" s="11" t="s">
        <v>144</v>
      </c>
      <c r="C9" s="11" t="s">
        <v>6</v>
      </c>
      <c r="D9" s="11" t="s">
        <v>34</v>
      </c>
      <c r="E9" s="70">
        <f>920000+37000+3000+1500</f>
        <v>961500</v>
      </c>
      <c r="F9" s="12">
        <v>1200000</v>
      </c>
      <c r="G9" s="83">
        <v>0.06</v>
      </c>
      <c r="H9" s="82">
        <f t="shared" si="1"/>
        <v>1200000</v>
      </c>
      <c r="I9" s="82">
        <f t="shared" ref="I9:AK9" si="7">H9*(1+$G9)</f>
        <v>1272000</v>
      </c>
      <c r="J9" s="82">
        <f t="shared" si="7"/>
        <v>1348320</v>
      </c>
      <c r="K9" s="82">
        <f t="shared" si="7"/>
        <v>1429219.2000000002</v>
      </c>
      <c r="L9" s="82">
        <f t="shared" si="7"/>
        <v>1514972.3520000002</v>
      </c>
      <c r="M9" s="82">
        <f t="shared" si="7"/>
        <v>1605870.6931200002</v>
      </c>
      <c r="N9" s="82">
        <f t="shared" si="7"/>
        <v>1702222.9347072004</v>
      </c>
      <c r="O9" s="82">
        <f t="shared" si="7"/>
        <v>1804356.3107896326</v>
      </c>
      <c r="P9" s="82">
        <f t="shared" si="7"/>
        <v>1912617.6894370106</v>
      </c>
      <c r="Q9" s="82">
        <f t="shared" si="7"/>
        <v>2027374.7508032313</v>
      </c>
      <c r="R9" s="82">
        <f t="shared" si="7"/>
        <v>2149017.2358514252</v>
      </c>
      <c r="S9" s="82">
        <f t="shared" si="7"/>
        <v>2277958.2700025109</v>
      </c>
      <c r="T9" s="82">
        <f t="shared" si="7"/>
        <v>2414635.7662026617</v>
      </c>
      <c r="U9" s="82">
        <f t="shared" si="7"/>
        <v>2559513.9121748214</v>
      </c>
      <c r="V9" s="82">
        <f t="shared" si="7"/>
        <v>2713084.746905311</v>
      </c>
      <c r="W9" s="82">
        <f t="shared" si="7"/>
        <v>2875869.8317196299</v>
      </c>
      <c r="X9" s="82">
        <f t="shared" si="7"/>
        <v>3048422.0216228077</v>
      </c>
      <c r="Y9" s="82">
        <f t="shared" si="7"/>
        <v>3231327.3429201762</v>
      </c>
      <c r="Z9" s="82">
        <f t="shared" si="7"/>
        <v>3425206.9834953868</v>
      </c>
      <c r="AA9" s="82">
        <f t="shared" si="7"/>
        <v>3630719.40250511</v>
      </c>
      <c r="AB9" s="82">
        <f t="shared" si="7"/>
        <v>3848562.566655417</v>
      </c>
      <c r="AC9" s="82">
        <f t="shared" si="7"/>
        <v>4079476.3206547424</v>
      </c>
      <c r="AD9" s="82">
        <f t="shared" si="7"/>
        <v>4324244.899894027</v>
      </c>
      <c r="AE9" s="82">
        <f t="shared" si="7"/>
        <v>4583699.593887669</v>
      </c>
      <c r="AF9" s="82">
        <f t="shared" si="7"/>
        <v>4858721.5695209298</v>
      </c>
      <c r="AG9" s="82">
        <f t="shared" si="7"/>
        <v>5150244.8636921858</v>
      </c>
      <c r="AH9" s="82">
        <f t="shared" si="7"/>
        <v>5459259.5555137172</v>
      </c>
      <c r="AI9" s="82">
        <f t="shared" si="7"/>
        <v>5786815.1288445406</v>
      </c>
      <c r="AJ9" s="82">
        <f t="shared" si="7"/>
        <v>6134024.0365752131</v>
      </c>
      <c r="AK9" s="82">
        <f t="shared" si="7"/>
        <v>6502065.4787697261</v>
      </c>
    </row>
    <row r="10" spans="2:37" ht="14.5" customHeight="1">
      <c r="B10" s="121" t="s">
        <v>145</v>
      </c>
      <c r="C10" s="7" t="s">
        <v>8</v>
      </c>
      <c r="D10" s="7" t="s">
        <v>9</v>
      </c>
      <c r="E10" s="7"/>
      <c r="F10" s="8">
        <v>38331.49</v>
      </c>
      <c r="G10" s="79"/>
    </row>
    <row r="11" spans="2:37" ht="14.5" customHeight="1">
      <c r="B11" s="121" t="s">
        <v>189</v>
      </c>
      <c r="C11" s="7" t="s">
        <v>8</v>
      </c>
      <c r="D11" s="7" t="s">
        <v>11</v>
      </c>
      <c r="E11" s="7"/>
      <c r="F11" s="8">
        <v>60679.23</v>
      </c>
      <c r="G11" s="79"/>
    </row>
    <row r="12" spans="2:37" ht="14.5" customHeight="1">
      <c r="B12" s="121" t="s">
        <v>189</v>
      </c>
      <c r="C12" s="7" t="s">
        <v>8</v>
      </c>
      <c r="D12" s="7" t="s">
        <v>12</v>
      </c>
      <c r="E12" s="7"/>
      <c r="F12" s="8">
        <v>21747.040000000001</v>
      </c>
      <c r="G12" s="79"/>
    </row>
    <row r="13" spans="2:37" ht="14.5" customHeight="1">
      <c r="B13" s="121" t="s">
        <v>143</v>
      </c>
      <c r="C13" s="7" t="s">
        <v>8</v>
      </c>
      <c r="D13" s="7" t="s">
        <v>13</v>
      </c>
      <c r="E13" s="7"/>
      <c r="F13" s="8">
        <v>936.68</v>
      </c>
      <c r="G13" s="79"/>
    </row>
    <row r="14" spans="2:37" ht="14.5" customHeight="1">
      <c r="B14" s="121" t="s">
        <v>143</v>
      </c>
      <c r="C14" s="7" t="s">
        <v>8</v>
      </c>
      <c r="D14" s="7" t="s">
        <v>14</v>
      </c>
      <c r="E14" s="7"/>
      <c r="F14" s="8">
        <v>3323</v>
      </c>
      <c r="G14" s="79"/>
    </row>
    <row r="15" spans="2:37" ht="14.5" customHeight="1">
      <c r="B15" s="121" t="s">
        <v>189</v>
      </c>
      <c r="C15" s="7" t="s">
        <v>8</v>
      </c>
      <c r="D15" s="7" t="s">
        <v>16</v>
      </c>
      <c r="E15" s="7"/>
      <c r="F15" s="8">
        <v>47864.37</v>
      </c>
      <c r="G15" s="79"/>
    </row>
    <row r="16" spans="2:37" ht="14.5" customHeight="1">
      <c r="B16" s="121" t="s">
        <v>189</v>
      </c>
      <c r="C16" s="7" t="s">
        <v>8</v>
      </c>
      <c r="D16" s="7" t="s">
        <v>17</v>
      </c>
      <c r="E16" s="7"/>
      <c r="F16" s="8">
        <v>36081.46</v>
      </c>
      <c r="G16" s="79"/>
    </row>
    <row r="17" spans="2:7" ht="14.5" customHeight="1">
      <c r="B17" s="121" t="s">
        <v>144</v>
      </c>
      <c r="C17" s="7" t="s">
        <v>8</v>
      </c>
      <c r="D17" s="7" t="s">
        <v>19</v>
      </c>
      <c r="E17" s="7"/>
      <c r="F17" s="8">
        <v>979.42</v>
      </c>
      <c r="G17" s="79"/>
    </row>
    <row r="18" spans="2:7" ht="14.5" customHeight="1">
      <c r="B18" s="121" t="s">
        <v>145</v>
      </c>
      <c r="C18" s="7" t="s">
        <v>4</v>
      </c>
      <c r="D18" s="7" t="s">
        <v>54</v>
      </c>
      <c r="E18" s="7"/>
      <c r="F18" s="8">
        <v>6617</v>
      </c>
      <c r="G18" s="79"/>
    </row>
    <row r="19" spans="2:7" ht="14.5" customHeight="1">
      <c r="B19" s="121" t="s">
        <v>145</v>
      </c>
      <c r="C19" s="7" t="s">
        <v>4</v>
      </c>
      <c r="D19" s="7" t="s">
        <v>55</v>
      </c>
      <c r="E19" s="7"/>
      <c r="F19" s="8">
        <v>30123</v>
      </c>
      <c r="G19" s="79"/>
    </row>
    <row r="20" spans="2:7" ht="14.5" customHeight="1">
      <c r="B20" s="121" t="s">
        <v>145</v>
      </c>
      <c r="C20" s="7" t="s">
        <v>4</v>
      </c>
      <c r="D20" s="7" t="s">
        <v>56</v>
      </c>
      <c r="E20" s="7"/>
      <c r="F20" s="8">
        <v>325</v>
      </c>
      <c r="G20" s="79"/>
    </row>
    <row r="21" spans="2:7" ht="14.5" customHeight="1">
      <c r="B21" s="121" t="s">
        <v>189</v>
      </c>
      <c r="C21" s="7" t="s">
        <v>57</v>
      </c>
      <c r="D21" s="7" t="s">
        <v>58</v>
      </c>
      <c r="E21" s="7"/>
      <c r="F21" s="8">
        <v>51148.45</v>
      </c>
      <c r="G21" s="79"/>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3"/>
  <sheetViews>
    <sheetView workbookViewId="0">
      <selection activeCell="F3" sqref="F3:F11"/>
    </sheetView>
  </sheetViews>
  <sheetFormatPr defaultRowHeight="15" customHeight="1"/>
  <cols>
    <col min="1" max="1" width="25.453125" customWidth="1"/>
    <col min="2" max="2" width="21.1796875" customWidth="1"/>
    <col min="4" max="4" width="12.08984375" customWidth="1"/>
    <col min="5" max="6" width="10.81640625" bestFit="1" customWidth="1"/>
    <col min="7" max="7" width="8.81640625" bestFit="1" customWidth="1"/>
    <col min="8" max="8" width="11.453125" customWidth="1"/>
    <col min="9" max="10" width="2.26953125" customWidth="1"/>
  </cols>
  <sheetData>
    <row r="1" spans="1:8" ht="15" customHeight="1" thickBot="1">
      <c r="A1" t="s">
        <v>222</v>
      </c>
    </row>
    <row r="2" spans="1:8" ht="29.5" thickBot="1">
      <c r="A2" t="s">
        <v>6</v>
      </c>
      <c r="B2" s="2" t="s">
        <v>22</v>
      </c>
      <c r="C2" s="2" t="s">
        <v>1</v>
      </c>
      <c r="D2" s="2" t="s">
        <v>23</v>
      </c>
      <c r="E2" s="2" t="s">
        <v>29</v>
      </c>
      <c r="F2" s="2" t="s">
        <v>30</v>
      </c>
      <c r="G2" s="2" t="s">
        <v>38</v>
      </c>
      <c r="H2" s="2" t="s">
        <v>39</v>
      </c>
    </row>
    <row r="3" spans="1:8" ht="28.5" customHeight="1" thickBot="1">
      <c r="A3" s="3" t="s">
        <v>31</v>
      </c>
      <c r="B3" s="3" t="s">
        <v>10</v>
      </c>
      <c r="C3" s="3" t="s">
        <v>40</v>
      </c>
      <c r="D3" s="3" t="s">
        <v>41</v>
      </c>
      <c r="E3" s="4">
        <v>60679.23</v>
      </c>
      <c r="F3" s="4">
        <v>343000</v>
      </c>
      <c r="G3" s="5">
        <v>6.0299999999999999E-2</v>
      </c>
      <c r="H3" s="4">
        <v>1469</v>
      </c>
    </row>
    <row r="4" spans="1:8" ht="28.5" customHeight="1" thickBot="1">
      <c r="A4" s="3" t="s">
        <v>31</v>
      </c>
      <c r="B4" s="3" t="s">
        <v>10</v>
      </c>
      <c r="C4" s="3" t="s">
        <v>40</v>
      </c>
      <c r="D4" s="3" t="s">
        <v>42</v>
      </c>
      <c r="E4" s="4">
        <v>21747.040000000001</v>
      </c>
      <c r="F4" s="4">
        <v>29000</v>
      </c>
      <c r="G4" s="5">
        <v>6.0299999999999999E-2</v>
      </c>
      <c r="H4" s="4">
        <v>169</v>
      </c>
    </row>
    <row r="5" spans="1:8" ht="28.5" customHeight="1" thickBot="1">
      <c r="A5" s="3" t="s">
        <v>31</v>
      </c>
      <c r="B5" s="3" t="s">
        <v>10</v>
      </c>
      <c r="C5" s="3" t="s">
        <v>40</v>
      </c>
      <c r="D5" s="3" t="s">
        <v>43</v>
      </c>
      <c r="E5" s="4">
        <v>22942.48</v>
      </c>
      <c r="F5" s="4">
        <v>30000</v>
      </c>
      <c r="G5" s="5">
        <v>6.1199999999999997E-2</v>
      </c>
      <c r="H5" s="4">
        <v>167</v>
      </c>
    </row>
    <row r="6" spans="1:8" ht="28.5" customHeight="1" thickBot="1">
      <c r="A6" s="3" t="s">
        <v>31</v>
      </c>
      <c r="B6" s="3" t="s">
        <v>10</v>
      </c>
      <c r="C6" s="3" t="s">
        <v>40</v>
      </c>
      <c r="D6" s="3" t="s">
        <v>44</v>
      </c>
      <c r="E6" s="4">
        <v>35595.46</v>
      </c>
      <c r="F6" s="4">
        <v>39500</v>
      </c>
      <c r="G6" s="5">
        <v>6.1899999999999997E-2</v>
      </c>
      <c r="H6" s="4">
        <v>243</v>
      </c>
    </row>
    <row r="7" spans="1:8" ht="28.5" customHeight="1" thickBot="1">
      <c r="A7" s="3" t="s">
        <v>31</v>
      </c>
      <c r="B7" s="3" t="s">
        <v>15</v>
      </c>
      <c r="C7" s="3" t="s">
        <v>40</v>
      </c>
      <c r="D7" s="3" t="s">
        <v>45</v>
      </c>
      <c r="E7" s="4">
        <v>98748.05</v>
      </c>
      <c r="F7" s="4">
        <v>113500</v>
      </c>
      <c r="G7" s="5">
        <v>6.1899999999999997E-2</v>
      </c>
      <c r="H7" s="4">
        <v>690</v>
      </c>
    </row>
    <row r="8" spans="1:8" ht="28.5" customHeight="1" thickBot="1">
      <c r="A8" s="3" t="s">
        <v>31</v>
      </c>
      <c r="B8" s="3" t="s">
        <v>10</v>
      </c>
      <c r="C8" s="3" t="s">
        <v>40</v>
      </c>
      <c r="D8" s="3" t="s">
        <v>46</v>
      </c>
      <c r="E8" s="4">
        <v>216411.23</v>
      </c>
      <c r="F8" s="4">
        <v>224000</v>
      </c>
      <c r="G8" s="5">
        <v>6.08E-2</v>
      </c>
      <c r="H8" s="4">
        <v>1340</v>
      </c>
    </row>
    <row r="9" spans="1:8" ht="28.5" customHeight="1" thickBot="1">
      <c r="A9" s="3" t="s">
        <v>33</v>
      </c>
      <c r="B9" s="3" t="s">
        <v>10</v>
      </c>
      <c r="C9" s="3" t="s">
        <v>40</v>
      </c>
      <c r="D9" s="3" t="s">
        <v>47</v>
      </c>
      <c r="E9" s="4">
        <v>421568.8</v>
      </c>
      <c r="F9" s="4">
        <v>440500</v>
      </c>
      <c r="G9" s="5">
        <v>6.1899999999999997E-2</v>
      </c>
      <c r="H9" s="4">
        <v>2641</v>
      </c>
    </row>
    <row r="10" spans="1:8" ht="28.5" customHeight="1" thickBot="1">
      <c r="A10" s="3" t="s">
        <v>32</v>
      </c>
      <c r="B10" s="3" t="s">
        <v>10</v>
      </c>
      <c r="C10" s="3" t="s">
        <v>40</v>
      </c>
      <c r="D10" s="3" t="s">
        <v>48</v>
      </c>
      <c r="E10" s="4">
        <v>419560.91</v>
      </c>
      <c r="F10" s="4">
        <v>472000</v>
      </c>
      <c r="G10" s="5">
        <v>6.1899999999999997E-2</v>
      </c>
      <c r="H10" s="4">
        <v>2924</v>
      </c>
    </row>
    <row r="11" spans="1:8" ht="28.5" customHeight="1" thickBot="1">
      <c r="A11" s="3" t="s">
        <v>34</v>
      </c>
      <c r="B11" s="3" t="s">
        <v>18</v>
      </c>
      <c r="C11" s="3" t="s">
        <v>40</v>
      </c>
      <c r="D11" s="3" t="s">
        <v>49</v>
      </c>
      <c r="E11" s="4">
        <v>713040.78</v>
      </c>
      <c r="F11" s="4">
        <v>735787</v>
      </c>
      <c r="G11" s="5">
        <v>6.3299999999999995E-2</v>
      </c>
      <c r="H11" s="4">
        <v>4702</v>
      </c>
    </row>
    <row r="12" spans="1:8" ht="28.5" customHeight="1" thickBot="1">
      <c r="B12" s="3"/>
      <c r="C12" s="3" t="s">
        <v>50</v>
      </c>
      <c r="D12" s="3" t="s">
        <v>51</v>
      </c>
      <c r="E12" s="4">
        <v>74171</v>
      </c>
      <c r="F12" s="4">
        <v>0</v>
      </c>
      <c r="G12" s="5">
        <v>6.13E-2</v>
      </c>
      <c r="H12" s="4">
        <v>1303</v>
      </c>
    </row>
    <row r="13" spans="1:8" ht="28.5" customHeight="1" thickBot="1">
      <c r="B13" s="3" t="s">
        <v>10</v>
      </c>
      <c r="C13" s="3" t="s">
        <v>52</v>
      </c>
      <c r="D13" s="3" t="s">
        <v>53</v>
      </c>
      <c r="E13" s="4">
        <v>0</v>
      </c>
      <c r="F13" s="4">
        <v>12000</v>
      </c>
      <c r="G13" s="6">
        <v>0</v>
      </c>
      <c r="H13" s="4">
        <v>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M42"/>
  <sheetViews>
    <sheetView workbookViewId="0">
      <selection activeCell="D18" sqref="D18"/>
    </sheetView>
  </sheetViews>
  <sheetFormatPr defaultRowHeight="16" customHeight="1"/>
  <cols>
    <col min="1" max="1" width="8.7265625" style="34"/>
    <col min="2" max="3" width="21.6328125" style="34" customWidth="1"/>
    <col min="4" max="5" width="11.81640625" style="34" customWidth="1"/>
    <col min="6" max="6" width="12.453125" style="34" customWidth="1"/>
    <col min="7" max="8" width="2.7265625" style="34" customWidth="1"/>
    <col min="9" max="9" width="2.54296875" style="34" customWidth="1"/>
    <col min="10" max="39" width="12.90625" style="34" bestFit="1" customWidth="1"/>
    <col min="40" max="16384" width="8.7265625" style="34"/>
  </cols>
  <sheetData>
    <row r="1" spans="2:39" ht="16" customHeight="1" thickBot="1">
      <c r="X1" s="75" t="s">
        <v>2</v>
      </c>
      <c r="AE1" s="76">
        <v>67</v>
      </c>
      <c r="AM1" s="77">
        <v>75</v>
      </c>
    </row>
    <row r="2" spans="2:39" ht="16" customHeight="1" thickBot="1">
      <c r="B2" s="84" t="s">
        <v>1</v>
      </c>
      <c r="C2" s="85" t="s">
        <v>3</v>
      </c>
      <c r="D2" s="85" t="s">
        <v>94</v>
      </c>
      <c r="E2" s="85" t="s">
        <v>95</v>
      </c>
      <c r="F2" s="85" t="s">
        <v>96</v>
      </c>
      <c r="J2" s="80">
        <v>2026</v>
      </c>
      <c r="K2" s="80">
        <f>J2+1</f>
        <v>2027</v>
      </c>
      <c r="L2" s="80">
        <f t="shared" ref="L2:AM2" si="0">K2+1</f>
        <v>2028</v>
      </c>
      <c r="M2" s="80">
        <f t="shared" si="0"/>
        <v>2029</v>
      </c>
      <c r="N2" s="80">
        <f t="shared" si="0"/>
        <v>2030</v>
      </c>
      <c r="O2" s="80">
        <f t="shared" si="0"/>
        <v>2031</v>
      </c>
      <c r="P2" s="80">
        <f t="shared" si="0"/>
        <v>2032</v>
      </c>
      <c r="Q2" s="80">
        <f t="shared" si="0"/>
        <v>2033</v>
      </c>
      <c r="R2" s="80">
        <f t="shared" si="0"/>
        <v>2034</v>
      </c>
      <c r="S2" s="80">
        <f t="shared" si="0"/>
        <v>2035</v>
      </c>
      <c r="T2" s="80">
        <f t="shared" si="0"/>
        <v>2036</v>
      </c>
      <c r="U2" s="80">
        <f t="shared" si="0"/>
        <v>2037</v>
      </c>
      <c r="V2" s="80">
        <f t="shared" si="0"/>
        <v>2038</v>
      </c>
      <c r="W2" s="80">
        <f t="shared" si="0"/>
        <v>2039</v>
      </c>
      <c r="X2" s="75">
        <f t="shared" si="0"/>
        <v>2040</v>
      </c>
      <c r="Y2" s="80">
        <f t="shared" si="0"/>
        <v>2041</v>
      </c>
      <c r="Z2" s="80">
        <f t="shared" si="0"/>
        <v>2042</v>
      </c>
      <c r="AA2" s="80">
        <f t="shared" si="0"/>
        <v>2043</v>
      </c>
      <c r="AB2" s="80">
        <f t="shared" si="0"/>
        <v>2044</v>
      </c>
      <c r="AC2" s="80">
        <f t="shared" si="0"/>
        <v>2045</v>
      </c>
      <c r="AD2" s="80">
        <f t="shared" si="0"/>
        <v>2046</v>
      </c>
      <c r="AE2" s="76">
        <f t="shared" si="0"/>
        <v>2047</v>
      </c>
      <c r="AF2" s="80">
        <f t="shared" si="0"/>
        <v>2048</v>
      </c>
      <c r="AG2" s="80">
        <f t="shared" si="0"/>
        <v>2049</v>
      </c>
      <c r="AH2" s="80">
        <f t="shared" si="0"/>
        <v>2050</v>
      </c>
      <c r="AI2" s="80">
        <f t="shared" si="0"/>
        <v>2051</v>
      </c>
      <c r="AJ2" s="80">
        <f t="shared" si="0"/>
        <v>2052</v>
      </c>
      <c r="AK2" s="80">
        <f t="shared" si="0"/>
        <v>2053</v>
      </c>
      <c r="AL2" s="80">
        <f t="shared" si="0"/>
        <v>2054</v>
      </c>
      <c r="AM2" s="77">
        <f t="shared" si="0"/>
        <v>2055</v>
      </c>
    </row>
    <row r="3" spans="2:39" ht="27.5" customHeight="1" thickBot="1">
      <c r="B3" s="86" t="s">
        <v>61</v>
      </c>
      <c r="C3" s="87"/>
      <c r="D3" s="87"/>
      <c r="E3" s="87"/>
      <c r="F3" s="87"/>
      <c r="J3" s="82">
        <f>F3</f>
        <v>0</v>
      </c>
      <c r="K3" s="82">
        <f>J3*(1+Forecast!$F$2)</f>
        <v>0</v>
      </c>
      <c r="L3" s="82">
        <f>K3*(1+Forecast!$F$2)</f>
        <v>0</v>
      </c>
      <c r="M3" s="82">
        <f>L3*(1+Forecast!$F$2)</f>
        <v>0</v>
      </c>
      <c r="N3" s="82">
        <f>M3*(1+Forecast!$F$2)</f>
        <v>0</v>
      </c>
      <c r="O3" s="82">
        <f>N3*(1+Forecast!$F$2)</f>
        <v>0</v>
      </c>
      <c r="P3" s="82">
        <f>O3*(1+Forecast!$F$2)</f>
        <v>0</v>
      </c>
      <c r="Q3" s="82">
        <f>P3*(1+Forecast!$F$2)</f>
        <v>0</v>
      </c>
      <c r="R3" s="82">
        <f>Q3*(1+Forecast!$F$2)</f>
        <v>0</v>
      </c>
      <c r="S3" s="82">
        <f>R3*(1+Forecast!$F$2)</f>
        <v>0</v>
      </c>
      <c r="T3" s="82">
        <f>S3*(1+Forecast!$F$2)</f>
        <v>0</v>
      </c>
      <c r="U3" s="82">
        <f>T3*(1+Forecast!$F$2)</f>
        <v>0</v>
      </c>
      <c r="V3" s="82">
        <f>U3*(1+Forecast!$F$2)</f>
        <v>0</v>
      </c>
      <c r="W3" s="82">
        <f>V3*(1+Forecast!$F$2)</f>
        <v>0</v>
      </c>
      <c r="X3" s="82">
        <f>W3*(1+Forecast!$F$2)</f>
        <v>0</v>
      </c>
      <c r="Y3" s="82">
        <f>X3*(1+Forecast!$F$2)</f>
        <v>0</v>
      </c>
      <c r="Z3" s="82">
        <f>Y3*(1+Forecast!$F$2)</f>
        <v>0</v>
      </c>
      <c r="AA3" s="82">
        <f>Z3*(1+Forecast!$F$2)</f>
        <v>0</v>
      </c>
      <c r="AB3" s="82">
        <f>AA3*(1+Forecast!$F$2)</f>
        <v>0</v>
      </c>
      <c r="AC3" s="82">
        <f>AB3*(1+Forecast!$F$2)</f>
        <v>0</v>
      </c>
      <c r="AD3" s="82">
        <f>AC3*(1+Forecast!$F$2)</f>
        <v>0</v>
      </c>
      <c r="AE3" s="82">
        <f>AD3*(1+Forecast!$F$2)</f>
        <v>0</v>
      </c>
      <c r="AF3" s="82">
        <f>AE3*(1+Forecast!$F$2)</f>
        <v>0</v>
      </c>
      <c r="AG3" s="82">
        <f>AF3*(1+Forecast!$F$2)</f>
        <v>0</v>
      </c>
      <c r="AH3" s="82">
        <f>AG3*(1+Forecast!$F$2)</f>
        <v>0</v>
      </c>
      <c r="AI3" s="82">
        <f>AH3*(1+Forecast!$F$2)</f>
        <v>0</v>
      </c>
      <c r="AJ3" s="82">
        <f>AI3*(1+Forecast!$F$2)</f>
        <v>0</v>
      </c>
      <c r="AK3" s="82">
        <f>AJ3*(1+Forecast!$F$2)</f>
        <v>0</v>
      </c>
      <c r="AL3" s="82">
        <f>AK3*(1+Forecast!$F$2)</f>
        <v>0</v>
      </c>
      <c r="AM3" s="82">
        <f>AL3*(1+Forecast!$F$2)</f>
        <v>0</v>
      </c>
    </row>
    <row r="4" spans="2:39" ht="27.5" customHeight="1" thickBot="1">
      <c r="B4" s="88"/>
      <c r="C4" s="89" t="s">
        <v>97</v>
      </c>
      <c r="D4" s="90">
        <v>580</v>
      </c>
      <c r="E4" s="90" t="s">
        <v>98</v>
      </c>
      <c r="F4" s="91">
        <v>2513.33</v>
      </c>
      <c r="J4" s="82">
        <f>F4</f>
        <v>2513.33</v>
      </c>
      <c r="K4" s="82">
        <f>J4*(1+Forecast!$F$2)</f>
        <v>2588.7298999999998</v>
      </c>
      <c r="L4" s="82">
        <f>K4*(1+Forecast!$F$2)</f>
        <v>2666.3917969999998</v>
      </c>
      <c r="M4" s="82">
        <f>L4*(1+Forecast!$F$2)</f>
        <v>2746.3835509099999</v>
      </c>
      <c r="N4" s="82">
        <f>M4*(1+Forecast!$F$2)</f>
        <v>2828.7750574372999</v>
      </c>
      <c r="O4" s="82">
        <f>N4*(1+Forecast!$F$2)</f>
        <v>2913.6383091604189</v>
      </c>
      <c r="P4" s="82">
        <f>O4*(1+Forecast!$F$2)</f>
        <v>3001.0474584352314</v>
      </c>
      <c r="Q4" s="82">
        <f>P4*(1+Forecast!$F$2)</f>
        <v>3091.0788821882884</v>
      </c>
      <c r="R4" s="82">
        <f>Q4*(1+Forecast!$F$2)</f>
        <v>3183.8112486539371</v>
      </c>
      <c r="S4" s="82">
        <f>R4*(1+Forecast!$F$2)</f>
        <v>3279.3255861135553</v>
      </c>
      <c r="T4" s="82">
        <f>S4*(1+Forecast!$F$2)</f>
        <v>3377.705353696962</v>
      </c>
      <c r="U4" s="82">
        <f>T4*(1+Forecast!$F$2)</f>
        <v>3479.0365143078711</v>
      </c>
      <c r="V4" s="82">
        <f>U4*(1+Forecast!$F$2)</f>
        <v>3583.4076097371076</v>
      </c>
      <c r="W4" s="82">
        <f>V4*(1+Forecast!$F$2)</f>
        <v>3690.9098380292207</v>
      </c>
      <c r="X4" s="82">
        <f>W4*(1+Forecast!$F$2)</f>
        <v>3801.6371331700975</v>
      </c>
      <c r="Y4" s="82">
        <f>X4*(1+Forecast!$F$2)</f>
        <v>3915.6862471652007</v>
      </c>
      <c r="Z4" s="82">
        <f>Y4*(1+Forecast!$F$2)</f>
        <v>4033.156834580157</v>
      </c>
      <c r="AA4" s="82">
        <f>Z4*(1+Forecast!$F$2)</f>
        <v>4154.1515396175619</v>
      </c>
      <c r="AB4" s="82">
        <f>AA4*(1+Forecast!$F$2)</f>
        <v>4278.7760858060892</v>
      </c>
      <c r="AC4" s="82">
        <f>AB4*(1+Forecast!$F$2)</f>
        <v>4407.1393683802717</v>
      </c>
      <c r="AD4" s="82">
        <f>AC4*(1+Forecast!$F$2)</f>
        <v>4539.3535494316802</v>
      </c>
      <c r="AE4" s="82">
        <f>AD4*(1+Forecast!$F$2)</f>
        <v>4675.5341559146309</v>
      </c>
      <c r="AF4" s="82">
        <f>AE4*(1+Forecast!$F$2)</f>
        <v>4815.8001805920703</v>
      </c>
      <c r="AG4" s="82">
        <f>AF4*(1+Forecast!$F$2)</f>
        <v>4960.2741860098322</v>
      </c>
      <c r="AH4" s="82">
        <f>AG4*(1+Forecast!$F$2)</f>
        <v>5109.0824115901269</v>
      </c>
      <c r="AI4" s="82">
        <f>AH4*(1+Forecast!$F$2)</f>
        <v>5262.3548839378309</v>
      </c>
      <c r="AJ4" s="82">
        <f>AI4*(1+Forecast!$F$2)</f>
        <v>5420.2255304559658</v>
      </c>
      <c r="AK4" s="82">
        <f>AJ4*(1+Forecast!$F$2)</f>
        <v>5582.8322963696446</v>
      </c>
      <c r="AL4" s="82">
        <f>AK4*(1+Forecast!$F$2)</f>
        <v>5750.3172652607345</v>
      </c>
      <c r="AM4" s="82">
        <f>AL4*(1+Forecast!$F$2)</f>
        <v>5922.8267832185566</v>
      </c>
    </row>
    <row r="5" spans="2:39" ht="27.5" customHeight="1" thickBot="1">
      <c r="B5" s="88"/>
      <c r="C5" s="92" t="s">
        <v>99</v>
      </c>
      <c r="D5" s="90">
        <v>560</v>
      </c>
      <c r="E5" s="90" t="s">
        <v>100</v>
      </c>
      <c r="F5" s="91">
        <v>560</v>
      </c>
      <c r="J5" s="82">
        <f t="shared" ref="J5:J41" si="1">F5</f>
        <v>560</v>
      </c>
      <c r="K5" s="82">
        <f>J5*(1+Forecast!$F$2)</f>
        <v>576.80000000000007</v>
      </c>
      <c r="L5" s="82">
        <f>K5*(1+Forecast!$F$2)</f>
        <v>594.10400000000004</v>
      </c>
      <c r="M5" s="82">
        <f>L5*(1+Forecast!$F$2)</f>
        <v>611.92712000000006</v>
      </c>
      <c r="N5" s="82">
        <f>M5*(1+Forecast!$F$2)</f>
        <v>630.28493360000004</v>
      </c>
      <c r="O5" s="82">
        <f>N5*(1+Forecast!$F$2)</f>
        <v>649.19348160800007</v>
      </c>
      <c r="P5" s="82">
        <f>O5*(1+Forecast!$F$2)</f>
        <v>668.66928605624014</v>
      </c>
      <c r="Q5" s="82">
        <f>P5*(1+Forecast!$F$2)</f>
        <v>688.72936463792735</v>
      </c>
      <c r="R5" s="82">
        <f>Q5*(1+Forecast!$F$2)</f>
        <v>709.39124557706521</v>
      </c>
      <c r="S5" s="82">
        <f>R5*(1+Forecast!$F$2)</f>
        <v>730.67298294437717</v>
      </c>
      <c r="T5" s="82">
        <f>S5*(1+Forecast!$F$2)</f>
        <v>752.59317243270846</v>
      </c>
      <c r="U5" s="82">
        <f>T5*(1+Forecast!$F$2)</f>
        <v>775.17096760568973</v>
      </c>
      <c r="V5" s="82">
        <f>U5*(1+Forecast!$F$2)</f>
        <v>798.42609663386042</v>
      </c>
      <c r="W5" s="82">
        <f>V5*(1+Forecast!$F$2)</f>
        <v>822.37887953287623</v>
      </c>
      <c r="X5" s="82">
        <f>W5*(1+Forecast!$F$2)</f>
        <v>847.05024591886252</v>
      </c>
      <c r="Y5" s="82">
        <f>X5*(1+Forecast!$F$2)</f>
        <v>872.46175329642847</v>
      </c>
      <c r="Z5" s="82">
        <f>Y5*(1+Forecast!$F$2)</f>
        <v>898.63560589532131</v>
      </c>
      <c r="AA5" s="82">
        <f>Z5*(1+Forecast!$F$2)</f>
        <v>925.59467407218096</v>
      </c>
      <c r="AB5" s="82">
        <f>AA5*(1+Forecast!$F$2)</f>
        <v>953.3625142943464</v>
      </c>
      <c r="AC5" s="82">
        <f>AB5*(1+Forecast!$F$2)</f>
        <v>981.96338972317676</v>
      </c>
      <c r="AD5" s="82">
        <f>AC5*(1+Forecast!$F$2)</f>
        <v>1011.4222914148721</v>
      </c>
      <c r="AE5" s="82">
        <f>AD5*(1+Forecast!$F$2)</f>
        <v>1041.7649601573182</v>
      </c>
      <c r="AF5" s="82">
        <f>AE5*(1+Forecast!$F$2)</f>
        <v>1073.0179089620378</v>
      </c>
      <c r="AG5" s="82">
        <f>AF5*(1+Forecast!$F$2)</f>
        <v>1105.208446230899</v>
      </c>
      <c r="AH5" s="82">
        <f>AG5*(1+Forecast!$F$2)</f>
        <v>1138.3646996178259</v>
      </c>
      <c r="AI5" s="82">
        <f>AH5*(1+Forecast!$F$2)</f>
        <v>1172.5156406063606</v>
      </c>
      <c r="AJ5" s="82">
        <f>AI5*(1+Forecast!$F$2)</f>
        <v>1207.6911098245514</v>
      </c>
      <c r="AK5" s="82">
        <f>AJ5*(1+Forecast!$F$2)</f>
        <v>1243.921843119288</v>
      </c>
      <c r="AL5" s="82">
        <f>AK5*(1+Forecast!$F$2)</f>
        <v>1281.2394984128666</v>
      </c>
      <c r="AM5" s="82">
        <f>AL5*(1+Forecast!$F$2)</f>
        <v>1319.6766833652528</v>
      </c>
    </row>
    <row r="6" spans="2:39" ht="27.5" customHeight="1" thickBot="1">
      <c r="B6" s="88"/>
      <c r="C6" s="92" t="s">
        <v>62</v>
      </c>
      <c r="D6" s="90">
        <v>0</v>
      </c>
      <c r="E6" s="90">
        <v>0</v>
      </c>
      <c r="F6" s="93">
        <v>0</v>
      </c>
      <c r="J6" s="82">
        <f t="shared" si="1"/>
        <v>0</v>
      </c>
      <c r="K6" s="82">
        <f>J6*(1+Forecast!$F$2)</f>
        <v>0</v>
      </c>
      <c r="L6" s="82">
        <f>K6*(1+Forecast!$F$2)</f>
        <v>0</v>
      </c>
      <c r="M6" s="82">
        <f>L6*(1+Forecast!$F$2)</f>
        <v>0</v>
      </c>
      <c r="N6" s="82">
        <f>M6*(1+Forecast!$F$2)</f>
        <v>0</v>
      </c>
      <c r="O6" s="82">
        <f>N6*(1+Forecast!$F$2)</f>
        <v>0</v>
      </c>
      <c r="P6" s="82">
        <f>O6*(1+Forecast!$F$2)</f>
        <v>0</v>
      </c>
      <c r="Q6" s="82">
        <f>P6*(1+Forecast!$F$2)</f>
        <v>0</v>
      </c>
      <c r="R6" s="82">
        <f>Q6*(1+Forecast!$F$2)</f>
        <v>0</v>
      </c>
      <c r="S6" s="82">
        <f>R6*(1+Forecast!$F$2)</f>
        <v>0</v>
      </c>
      <c r="T6" s="82">
        <f>S6*(1+Forecast!$F$2)</f>
        <v>0</v>
      </c>
      <c r="U6" s="82">
        <f>T6*(1+Forecast!$F$2)</f>
        <v>0</v>
      </c>
      <c r="V6" s="82">
        <f>U6*(1+Forecast!$F$2)</f>
        <v>0</v>
      </c>
      <c r="W6" s="82">
        <f>V6*(1+Forecast!$F$2)</f>
        <v>0</v>
      </c>
      <c r="X6" s="82">
        <f>W6*(1+Forecast!$F$2)</f>
        <v>0</v>
      </c>
      <c r="Y6" s="82">
        <f>X6*(1+Forecast!$F$2)</f>
        <v>0</v>
      </c>
      <c r="Z6" s="82">
        <f>Y6*(1+Forecast!$F$2)</f>
        <v>0</v>
      </c>
      <c r="AA6" s="82">
        <f>Z6*(1+Forecast!$F$2)</f>
        <v>0</v>
      </c>
      <c r="AB6" s="82">
        <f>AA6*(1+Forecast!$F$2)</f>
        <v>0</v>
      </c>
      <c r="AC6" s="82">
        <f>AB6*(1+Forecast!$F$2)</f>
        <v>0</v>
      </c>
      <c r="AD6" s="82">
        <f>AC6*(1+Forecast!$F$2)</f>
        <v>0</v>
      </c>
      <c r="AE6" s="82">
        <f>AD6*(1+Forecast!$F$2)</f>
        <v>0</v>
      </c>
      <c r="AF6" s="82">
        <f>AE6*(1+Forecast!$F$2)</f>
        <v>0</v>
      </c>
      <c r="AG6" s="82">
        <f>AF6*(1+Forecast!$F$2)</f>
        <v>0</v>
      </c>
      <c r="AH6" s="82">
        <f>AG6*(1+Forecast!$F$2)</f>
        <v>0</v>
      </c>
      <c r="AI6" s="82">
        <f>AH6*(1+Forecast!$F$2)</f>
        <v>0</v>
      </c>
      <c r="AJ6" s="82">
        <f>AI6*(1+Forecast!$F$2)</f>
        <v>0</v>
      </c>
      <c r="AK6" s="82">
        <f>AJ6*(1+Forecast!$F$2)</f>
        <v>0</v>
      </c>
      <c r="AL6" s="82">
        <f>AK6*(1+Forecast!$F$2)</f>
        <v>0</v>
      </c>
      <c r="AM6" s="82">
        <f>AL6*(1+Forecast!$F$2)</f>
        <v>0</v>
      </c>
    </row>
    <row r="7" spans="2:39" ht="27.5" customHeight="1" thickBot="1">
      <c r="B7" s="86" t="s">
        <v>63</v>
      </c>
      <c r="C7" s="87"/>
      <c r="D7" s="94"/>
      <c r="E7" s="95"/>
      <c r="F7" s="96"/>
      <c r="J7" s="82">
        <f t="shared" si="1"/>
        <v>0</v>
      </c>
      <c r="K7" s="82">
        <f>J7*(1+Forecast!$F$2)</f>
        <v>0</v>
      </c>
      <c r="L7" s="82">
        <f>K7*(1+Forecast!$F$2)</f>
        <v>0</v>
      </c>
      <c r="M7" s="82">
        <f>L7*(1+Forecast!$F$2)</f>
        <v>0</v>
      </c>
      <c r="N7" s="82">
        <f>M7*(1+Forecast!$F$2)</f>
        <v>0</v>
      </c>
      <c r="O7" s="82">
        <f>N7*(1+Forecast!$F$2)</f>
        <v>0</v>
      </c>
      <c r="P7" s="82">
        <f>O7*(1+Forecast!$F$2)</f>
        <v>0</v>
      </c>
      <c r="Q7" s="82">
        <f>P7*(1+Forecast!$F$2)</f>
        <v>0</v>
      </c>
      <c r="R7" s="82">
        <f>Q7*(1+Forecast!$F$2)</f>
        <v>0</v>
      </c>
      <c r="S7" s="82">
        <f>R7*(1+Forecast!$F$2)</f>
        <v>0</v>
      </c>
      <c r="T7" s="82">
        <f>S7*(1+Forecast!$F$2)</f>
        <v>0</v>
      </c>
      <c r="U7" s="82">
        <f>T7*(1+Forecast!$F$2)</f>
        <v>0</v>
      </c>
      <c r="V7" s="82">
        <f>U7*(1+Forecast!$F$2)</f>
        <v>0</v>
      </c>
      <c r="W7" s="82">
        <f>V7*(1+Forecast!$F$2)</f>
        <v>0</v>
      </c>
      <c r="X7" s="82">
        <f>W7*(1+Forecast!$F$2)</f>
        <v>0</v>
      </c>
      <c r="Y7" s="82">
        <f>X7*(1+Forecast!$F$2)</f>
        <v>0</v>
      </c>
      <c r="Z7" s="82">
        <f>Y7*(1+Forecast!$F$2)</f>
        <v>0</v>
      </c>
      <c r="AA7" s="82">
        <f>Z7*(1+Forecast!$F$2)</f>
        <v>0</v>
      </c>
      <c r="AB7" s="82">
        <f>AA7*(1+Forecast!$F$2)</f>
        <v>0</v>
      </c>
      <c r="AC7" s="82">
        <f>AB7*(1+Forecast!$F$2)</f>
        <v>0</v>
      </c>
      <c r="AD7" s="82">
        <f>AC7*(1+Forecast!$F$2)</f>
        <v>0</v>
      </c>
      <c r="AE7" s="82">
        <f>AD7*(1+Forecast!$F$2)</f>
        <v>0</v>
      </c>
      <c r="AF7" s="82">
        <f>AE7*(1+Forecast!$F$2)</f>
        <v>0</v>
      </c>
      <c r="AG7" s="82">
        <f>AF7*(1+Forecast!$F$2)</f>
        <v>0</v>
      </c>
      <c r="AH7" s="82">
        <f>AG7*(1+Forecast!$F$2)</f>
        <v>0</v>
      </c>
      <c r="AI7" s="82">
        <f>AH7*(1+Forecast!$F$2)</f>
        <v>0</v>
      </c>
      <c r="AJ7" s="82">
        <f>AI7*(1+Forecast!$F$2)</f>
        <v>0</v>
      </c>
      <c r="AK7" s="82">
        <f>AJ7*(1+Forecast!$F$2)</f>
        <v>0</v>
      </c>
      <c r="AL7" s="82">
        <f>AK7*(1+Forecast!$F$2)</f>
        <v>0</v>
      </c>
      <c r="AM7" s="82">
        <f>AL7*(1+Forecast!$F$2)</f>
        <v>0</v>
      </c>
    </row>
    <row r="8" spans="2:39" ht="27.5" customHeight="1" thickBot="1">
      <c r="B8" s="88"/>
      <c r="C8" s="89" t="s">
        <v>64</v>
      </c>
      <c r="D8" s="90">
        <v>500</v>
      </c>
      <c r="E8" s="97" t="s">
        <v>101</v>
      </c>
      <c r="F8" s="93">
        <v>41.67</v>
      </c>
      <c r="J8" s="82">
        <f t="shared" si="1"/>
        <v>41.67</v>
      </c>
      <c r="K8" s="82">
        <f>J8*(1+Forecast!$F$2)</f>
        <v>42.920100000000005</v>
      </c>
      <c r="L8" s="82">
        <f>K8*(1+Forecast!$F$2)</f>
        <v>44.207703000000009</v>
      </c>
      <c r="M8" s="82">
        <f>L8*(1+Forecast!$F$2)</f>
        <v>45.53393409000001</v>
      </c>
      <c r="N8" s="82">
        <f>M8*(1+Forecast!$F$2)</f>
        <v>46.899952112700014</v>
      </c>
      <c r="O8" s="82">
        <f>N8*(1+Forecast!$F$2)</f>
        <v>48.306950676081016</v>
      </c>
      <c r="P8" s="82">
        <f>O8*(1+Forecast!$F$2)</f>
        <v>49.756159196363448</v>
      </c>
      <c r="Q8" s="82">
        <f>P8*(1+Forecast!$F$2)</f>
        <v>51.248843972254356</v>
      </c>
      <c r="R8" s="82">
        <f>Q8*(1+Forecast!$F$2)</f>
        <v>52.786309291421986</v>
      </c>
      <c r="S8" s="82">
        <f>R8*(1+Forecast!$F$2)</f>
        <v>54.369898570164651</v>
      </c>
      <c r="T8" s="82">
        <f>S8*(1+Forecast!$F$2)</f>
        <v>56.000995527269595</v>
      </c>
      <c r="U8" s="82">
        <f>T8*(1+Forecast!$F$2)</f>
        <v>57.681025393087687</v>
      </c>
      <c r="V8" s="82">
        <f>U8*(1+Forecast!$F$2)</f>
        <v>59.41145615488032</v>
      </c>
      <c r="W8" s="82">
        <f>V8*(1+Forecast!$F$2)</f>
        <v>61.193799839526733</v>
      </c>
      <c r="X8" s="82">
        <f>W8*(1+Forecast!$F$2)</f>
        <v>63.029613834712535</v>
      </c>
      <c r="Y8" s="82">
        <f>X8*(1+Forecast!$F$2)</f>
        <v>64.920502249753909</v>
      </c>
      <c r="Z8" s="82">
        <f>Y8*(1+Forecast!$F$2)</f>
        <v>66.868117317246529</v>
      </c>
      <c r="AA8" s="82">
        <f>Z8*(1+Forecast!$F$2)</f>
        <v>68.87416083676392</v>
      </c>
      <c r="AB8" s="82">
        <f>AA8*(1+Forecast!$F$2)</f>
        <v>70.940385661866841</v>
      </c>
      <c r="AC8" s="82">
        <f>AB8*(1+Forecast!$F$2)</f>
        <v>73.068597231722848</v>
      </c>
      <c r="AD8" s="82">
        <f>AC8*(1+Forecast!$F$2)</f>
        <v>75.26065514867453</v>
      </c>
      <c r="AE8" s="82">
        <f>AD8*(1+Forecast!$F$2)</f>
        <v>77.518474803134765</v>
      </c>
      <c r="AF8" s="82">
        <f>AE8*(1+Forecast!$F$2)</f>
        <v>79.844029047228815</v>
      </c>
      <c r="AG8" s="82">
        <f>AF8*(1+Forecast!$F$2)</f>
        <v>82.239349918645686</v>
      </c>
      <c r="AH8" s="82">
        <f>AG8*(1+Forecast!$F$2)</f>
        <v>84.706530416205055</v>
      </c>
      <c r="AI8" s="82">
        <f>AH8*(1+Forecast!$F$2)</f>
        <v>87.247726328691215</v>
      </c>
      <c r="AJ8" s="82">
        <f>AI8*(1+Forecast!$F$2)</f>
        <v>89.86515811855196</v>
      </c>
      <c r="AK8" s="82">
        <f>AJ8*(1+Forecast!$F$2)</f>
        <v>92.561112862108516</v>
      </c>
      <c r="AL8" s="82">
        <f>AK8*(1+Forecast!$F$2)</f>
        <v>95.337946247971772</v>
      </c>
      <c r="AM8" s="82">
        <f>AL8*(1+Forecast!$F$2)</f>
        <v>98.198084635410922</v>
      </c>
    </row>
    <row r="9" spans="2:39" ht="27.5" customHeight="1" thickBot="1">
      <c r="B9" s="88"/>
      <c r="C9" s="89" t="s">
        <v>65</v>
      </c>
      <c r="D9" s="90">
        <v>8500</v>
      </c>
      <c r="E9" s="97" t="s">
        <v>101</v>
      </c>
      <c r="F9" s="93">
        <v>708.33</v>
      </c>
      <c r="J9" s="82">
        <f t="shared" si="1"/>
        <v>708.33</v>
      </c>
      <c r="K9" s="82">
        <f>J9*(1+Forecast!$F$2)</f>
        <v>729.57990000000007</v>
      </c>
      <c r="L9" s="82">
        <f>K9*(1+Forecast!$F$2)</f>
        <v>751.46729700000014</v>
      </c>
      <c r="M9" s="82">
        <f>L9*(1+Forecast!$F$2)</f>
        <v>774.01131591000012</v>
      </c>
      <c r="N9" s="82">
        <f>M9*(1+Forecast!$F$2)</f>
        <v>797.23165538730018</v>
      </c>
      <c r="O9" s="82">
        <f>N9*(1+Forecast!$F$2)</f>
        <v>821.14860504891919</v>
      </c>
      <c r="P9" s="82">
        <f>O9*(1+Forecast!$F$2)</f>
        <v>845.78306320038678</v>
      </c>
      <c r="Q9" s="82">
        <f>P9*(1+Forecast!$F$2)</f>
        <v>871.15655509639839</v>
      </c>
      <c r="R9" s="82">
        <f>Q9*(1+Forecast!$F$2)</f>
        <v>897.29125174929038</v>
      </c>
      <c r="S9" s="82">
        <f>R9*(1+Forecast!$F$2)</f>
        <v>924.20998930176916</v>
      </c>
      <c r="T9" s="82">
        <f>S9*(1+Forecast!$F$2)</f>
        <v>951.93628898082227</v>
      </c>
      <c r="U9" s="82">
        <f>T9*(1+Forecast!$F$2)</f>
        <v>980.49437765024697</v>
      </c>
      <c r="V9" s="82">
        <f>U9*(1+Forecast!$F$2)</f>
        <v>1009.9092089797545</v>
      </c>
      <c r="W9" s="82">
        <f>V9*(1+Forecast!$F$2)</f>
        <v>1040.2064852491471</v>
      </c>
      <c r="X9" s="82">
        <f>W9*(1+Forecast!$F$2)</f>
        <v>1071.4126798066216</v>
      </c>
      <c r="Y9" s="82">
        <f>X9*(1+Forecast!$F$2)</f>
        <v>1103.5550602008202</v>
      </c>
      <c r="Z9" s="82">
        <f>Y9*(1+Forecast!$F$2)</f>
        <v>1136.6617120068449</v>
      </c>
      <c r="AA9" s="82">
        <f>Z9*(1+Forecast!$F$2)</f>
        <v>1170.7615633670503</v>
      </c>
      <c r="AB9" s="82">
        <f>AA9*(1+Forecast!$F$2)</f>
        <v>1205.8844102680619</v>
      </c>
      <c r="AC9" s="82">
        <f>AB9*(1+Forecast!$F$2)</f>
        <v>1242.0609425761038</v>
      </c>
      <c r="AD9" s="82">
        <f>AC9*(1+Forecast!$F$2)</f>
        <v>1279.3227708533871</v>
      </c>
      <c r="AE9" s="82">
        <f>AD9*(1+Forecast!$F$2)</f>
        <v>1317.7024539789886</v>
      </c>
      <c r="AF9" s="82">
        <f>AE9*(1+Forecast!$F$2)</f>
        <v>1357.2335275983583</v>
      </c>
      <c r="AG9" s="82">
        <f>AF9*(1+Forecast!$F$2)</f>
        <v>1397.950533426309</v>
      </c>
      <c r="AH9" s="82">
        <f>AG9*(1+Forecast!$F$2)</f>
        <v>1439.8890494290983</v>
      </c>
      <c r="AI9" s="82">
        <f>AH9*(1+Forecast!$F$2)</f>
        <v>1483.0857209119713</v>
      </c>
      <c r="AJ9" s="82">
        <f>AI9*(1+Forecast!$F$2)</f>
        <v>1527.5782925393305</v>
      </c>
      <c r="AK9" s="82">
        <f>AJ9*(1+Forecast!$F$2)</f>
        <v>1573.4056413155104</v>
      </c>
      <c r="AL9" s="82">
        <f>AK9*(1+Forecast!$F$2)</f>
        <v>1620.6078105549757</v>
      </c>
      <c r="AM9" s="82">
        <f>AL9*(1+Forecast!$F$2)</f>
        <v>1669.2260448716249</v>
      </c>
    </row>
    <row r="10" spans="2:39" ht="27.5" customHeight="1" thickBot="1">
      <c r="B10" s="88"/>
      <c r="C10" s="89" t="s">
        <v>66</v>
      </c>
      <c r="D10" s="90">
        <v>0</v>
      </c>
      <c r="E10" s="97" t="s">
        <v>101</v>
      </c>
      <c r="F10" s="93">
        <v>0</v>
      </c>
      <c r="J10" s="82">
        <f t="shared" si="1"/>
        <v>0</v>
      </c>
      <c r="K10" s="82">
        <f>J10*(1+Forecast!$F$2)</f>
        <v>0</v>
      </c>
      <c r="L10" s="82">
        <f>K10*(1+Forecast!$F$2)</f>
        <v>0</v>
      </c>
      <c r="M10" s="82">
        <f>L10*(1+Forecast!$F$2)</f>
        <v>0</v>
      </c>
      <c r="N10" s="82">
        <f>M10*(1+Forecast!$F$2)</f>
        <v>0</v>
      </c>
      <c r="O10" s="82">
        <f>N10*(1+Forecast!$F$2)</f>
        <v>0</v>
      </c>
      <c r="P10" s="82">
        <f>O10*(1+Forecast!$F$2)</f>
        <v>0</v>
      </c>
      <c r="Q10" s="82">
        <f>P10*(1+Forecast!$F$2)</f>
        <v>0</v>
      </c>
      <c r="R10" s="82">
        <f>Q10*(1+Forecast!$F$2)</f>
        <v>0</v>
      </c>
      <c r="S10" s="82">
        <f>R10*(1+Forecast!$F$2)</f>
        <v>0</v>
      </c>
      <c r="T10" s="82">
        <f>S10*(1+Forecast!$F$2)</f>
        <v>0</v>
      </c>
      <c r="U10" s="82">
        <f>T10*(1+Forecast!$F$2)</f>
        <v>0</v>
      </c>
      <c r="V10" s="82">
        <f>U10*(1+Forecast!$F$2)</f>
        <v>0</v>
      </c>
      <c r="W10" s="82">
        <f>V10*(1+Forecast!$F$2)</f>
        <v>0</v>
      </c>
      <c r="X10" s="82">
        <f>W10*(1+Forecast!$F$2)</f>
        <v>0</v>
      </c>
      <c r="Y10" s="82">
        <f>X10*(1+Forecast!$F$2)</f>
        <v>0</v>
      </c>
      <c r="Z10" s="82">
        <f>Y10*(1+Forecast!$F$2)</f>
        <v>0</v>
      </c>
      <c r="AA10" s="82">
        <f>Z10*(1+Forecast!$F$2)</f>
        <v>0</v>
      </c>
      <c r="AB10" s="82">
        <f>AA10*(1+Forecast!$F$2)</f>
        <v>0</v>
      </c>
      <c r="AC10" s="82">
        <f>AB10*(1+Forecast!$F$2)</f>
        <v>0</v>
      </c>
      <c r="AD10" s="82">
        <f>AC10*(1+Forecast!$F$2)</f>
        <v>0</v>
      </c>
      <c r="AE10" s="82">
        <f>AD10*(1+Forecast!$F$2)</f>
        <v>0</v>
      </c>
      <c r="AF10" s="82">
        <f>AE10*(1+Forecast!$F$2)</f>
        <v>0</v>
      </c>
      <c r="AG10" s="82">
        <f>AF10*(1+Forecast!$F$2)</f>
        <v>0</v>
      </c>
      <c r="AH10" s="82">
        <f>AG10*(1+Forecast!$F$2)</f>
        <v>0</v>
      </c>
      <c r="AI10" s="82">
        <f>AH10*(1+Forecast!$F$2)</f>
        <v>0</v>
      </c>
      <c r="AJ10" s="82">
        <f>AI10*(1+Forecast!$F$2)</f>
        <v>0</v>
      </c>
      <c r="AK10" s="82">
        <f>AJ10*(1+Forecast!$F$2)</f>
        <v>0</v>
      </c>
      <c r="AL10" s="82">
        <f>AK10*(1+Forecast!$F$2)</f>
        <v>0</v>
      </c>
      <c r="AM10" s="82">
        <f>AL10*(1+Forecast!$F$2)</f>
        <v>0</v>
      </c>
    </row>
    <row r="11" spans="2:39" ht="27.5" customHeight="1" thickBot="1">
      <c r="B11" s="88"/>
      <c r="C11" s="89" t="s">
        <v>67</v>
      </c>
      <c r="D11" s="90">
        <v>800</v>
      </c>
      <c r="E11" s="97" t="s">
        <v>101</v>
      </c>
      <c r="F11" s="93">
        <v>66.67</v>
      </c>
      <c r="J11" s="82">
        <f t="shared" si="1"/>
        <v>66.67</v>
      </c>
      <c r="K11" s="82">
        <f>J11*(1+Forecast!$F$2)</f>
        <v>68.670100000000005</v>
      </c>
      <c r="L11" s="82">
        <f>K11*(1+Forecast!$F$2)</f>
        <v>70.730203000000003</v>
      </c>
      <c r="M11" s="82">
        <f>L11*(1+Forecast!$F$2)</f>
        <v>72.852109089999999</v>
      </c>
      <c r="N11" s="82">
        <f>M11*(1+Forecast!$F$2)</f>
        <v>75.037672362700008</v>
      </c>
      <c r="O11" s="82">
        <f>N11*(1+Forecast!$F$2)</f>
        <v>77.288802533581006</v>
      </c>
      <c r="P11" s="82">
        <f>O11*(1+Forecast!$F$2)</f>
        <v>79.607466609588442</v>
      </c>
      <c r="Q11" s="82">
        <f>P11*(1+Forecast!$F$2)</f>
        <v>81.995690607876099</v>
      </c>
      <c r="R11" s="82">
        <f>Q11*(1+Forecast!$F$2)</f>
        <v>84.455561326112388</v>
      </c>
      <c r="S11" s="82">
        <f>R11*(1+Forecast!$F$2)</f>
        <v>86.989228165895767</v>
      </c>
      <c r="T11" s="82">
        <f>S11*(1+Forecast!$F$2)</f>
        <v>89.598905010872642</v>
      </c>
      <c r="U11" s="82">
        <f>T11*(1+Forecast!$F$2)</f>
        <v>92.286872161198829</v>
      </c>
      <c r="V11" s="82">
        <f>U11*(1+Forecast!$F$2)</f>
        <v>95.055478326034802</v>
      </c>
      <c r="W11" s="82">
        <f>V11*(1+Forecast!$F$2)</f>
        <v>97.907142675815848</v>
      </c>
      <c r="X11" s="82">
        <f>W11*(1+Forecast!$F$2)</f>
        <v>100.84435695609032</v>
      </c>
      <c r="Y11" s="82">
        <f>X11*(1+Forecast!$F$2)</f>
        <v>103.86968766477304</v>
      </c>
      <c r="Z11" s="82">
        <f>Y11*(1+Forecast!$F$2)</f>
        <v>106.98577829471623</v>
      </c>
      <c r="AA11" s="82">
        <f>Z11*(1+Forecast!$F$2)</f>
        <v>110.19535164355771</v>
      </c>
      <c r="AB11" s="82">
        <f>AA11*(1+Forecast!$F$2)</f>
        <v>113.50121219286444</v>
      </c>
      <c r="AC11" s="82">
        <f>AB11*(1+Forecast!$F$2)</f>
        <v>116.90624855865038</v>
      </c>
      <c r="AD11" s="82">
        <f>AC11*(1+Forecast!$F$2)</f>
        <v>120.41343601540989</v>
      </c>
      <c r="AE11" s="82">
        <f>AD11*(1+Forecast!$F$2)</f>
        <v>124.02583909587219</v>
      </c>
      <c r="AF11" s="82">
        <f>AE11*(1+Forecast!$F$2)</f>
        <v>127.74661426874836</v>
      </c>
      <c r="AG11" s="82">
        <f>AF11*(1+Forecast!$F$2)</f>
        <v>131.57901269681082</v>
      </c>
      <c r="AH11" s="82">
        <f>AG11*(1+Forecast!$F$2)</f>
        <v>135.52638307771514</v>
      </c>
      <c r="AI11" s="82">
        <f>AH11*(1+Forecast!$F$2)</f>
        <v>139.59217457004661</v>
      </c>
      <c r="AJ11" s="82">
        <f>AI11*(1+Forecast!$F$2)</f>
        <v>143.779939807148</v>
      </c>
      <c r="AK11" s="82">
        <f>AJ11*(1+Forecast!$F$2)</f>
        <v>148.09333800136244</v>
      </c>
      <c r="AL11" s="82">
        <f>AK11*(1+Forecast!$F$2)</f>
        <v>152.53613814140331</v>
      </c>
      <c r="AM11" s="82">
        <f>AL11*(1+Forecast!$F$2)</f>
        <v>157.11222228564543</v>
      </c>
    </row>
    <row r="12" spans="2:39" ht="27.5" customHeight="1" thickBot="1">
      <c r="B12" s="88"/>
      <c r="C12" s="89" t="s">
        <v>68</v>
      </c>
      <c r="D12" s="90">
        <v>240</v>
      </c>
      <c r="E12" s="90" t="s">
        <v>100</v>
      </c>
      <c r="F12" s="93">
        <v>240</v>
      </c>
      <c r="J12" s="82">
        <f t="shared" si="1"/>
        <v>240</v>
      </c>
      <c r="K12" s="82">
        <f>J12*(1+Forecast!$F$2)</f>
        <v>247.20000000000002</v>
      </c>
      <c r="L12" s="82">
        <f>K12*(1+Forecast!$F$2)</f>
        <v>254.61600000000001</v>
      </c>
      <c r="M12" s="82">
        <f>L12*(1+Forecast!$F$2)</f>
        <v>262.25448</v>
      </c>
      <c r="N12" s="82">
        <f>M12*(1+Forecast!$F$2)</f>
        <v>270.12211439999999</v>
      </c>
      <c r="O12" s="82">
        <f>N12*(1+Forecast!$F$2)</f>
        <v>278.22577783200001</v>
      </c>
      <c r="P12" s="82">
        <f>O12*(1+Forecast!$F$2)</f>
        <v>286.57255116696001</v>
      </c>
      <c r="Q12" s="82">
        <f>P12*(1+Forecast!$F$2)</f>
        <v>295.16972770196884</v>
      </c>
      <c r="R12" s="82">
        <f>Q12*(1+Forecast!$F$2)</f>
        <v>304.02481953302794</v>
      </c>
      <c r="S12" s="82">
        <f>R12*(1+Forecast!$F$2)</f>
        <v>313.14556411901879</v>
      </c>
      <c r="T12" s="82">
        <f>S12*(1+Forecast!$F$2)</f>
        <v>322.53993104258933</v>
      </c>
      <c r="U12" s="82">
        <f>T12*(1+Forecast!$F$2)</f>
        <v>332.216128973867</v>
      </c>
      <c r="V12" s="82">
        <f>U12*(1+Forecast!$F$2)</f>
        <v>342.18261284308301</v>
      </c>
      <c r="W12" s="82">
        <f>V12*(1+Forecast!$F$2)</f>
        <v>352.44809122837552</v>
      </c>
      <c r="X12" s="82">
        <f>W12*(1+Forecast!$F$2)</f>
        <v>363.02153396522681</v>
      </c>
      <c r="Y12" s="82">
        <f>X12*(1+Forecast!$F$2)</f>
        <v>373.91217998418364</v>
      </c>
      <c r="Z12" s="82">
        <f>Y12*(1+Forecast!$F$2)</f>
        <v>385.12954538370917</v>
      </c>
      <c r="AA12" s="82">
        <f>Z12*(1+Forecast!$F$2)</f>
        <v>396.68343174522045</v>
      </c>
      <c r="AB12" s="82">
        <f>AA12*(1+Forecast!$F$2)</f>
        <v>408.58393469757709</v>
      </c>
      <c r="AC12" s="82">
        <f>AB12*(1+Forecast!$F$2)</f>
        <v>420.84145273850442</v>
      </c>
      <c r="AD12" s="82">
        <f>AC12*(1+Forecast!$F$2)</f>
        <v>433.46669632065954</v>
      </c>
      <c r="AE12" s="82">
        <f>AD12*(1+Forecast!$F$2)</f>
        <v>446.47069721027935</v>
      </c>
      <c r="AF12" s="82">
        <f>AE12*(1+Forecast!$F$2)</f>
        <v>459.86481812658775</v>
      </c>
      <c r="AG12" s="82">
        <f>AF12*(1+Forecast!$F$2)</f>
        <v>473.6607626703854</v>
      </c>
      <c r="AH12" s="82">
        <f>AG12*(1+Forecast!$F$2)</f>
        <v>487.87058555049697</v>
      </c>
      <c r="AI12" s="82">
        <f>AH12*(1+Forecast!$F$2)</f>
        <v>502.50670311701191</v>
      </c>
      <c r="AJ12" s="82">
        <f>AI12*(1+Forecast!$F$2)</f>
        <v>517.58190421052223</v>
      </c>
      <c r="AK12" s="82">
        <f>AJ12*(1+Forecast!$F$2)</f>
        <v>533.10936133683788</v>
      </c>
      <c r="AL12" s="82">
        <f>AK12*(1+Forecast!$F$2)</f>
        <v>549.10264217694305</v>
      </c>
      <c r="AM12" s="82">
        <f>AL12*(1+Forecast!$F$2)</f>
        <v>565.57572144225139</v>
      </c>
    </row>
    <row r="13" spans="2:39" ht="27.5" customHeight="1" thickBot="1">
      <c r="B13" s="88"/>
      <c r="C13" s="89" t="s">
        <v>69</v>
      </c>
      <c r="D13" s="90">
        <v>20</v>
      </c>
      <c r="E13" s="97" t="s">
        <v>100</v>
      </c>
      <c r="F13" s="93">
        <v>20</v>
      </c>
      <c r="J13" s="82">
        <f t="shared" si="1"/>
        <v>20</v>
      </c>
      <c r="K13" s="82">
        <f>J13*(1+Forecast!$F$2)</f>
        <v>20.6</v>
      </c>
      <c r="L13" s="82">
        <f>K13*(1+Forecast!$F$2)</f>
        <v>21.218000000000004</v>
      </c>
      <c r="M13" s="82">
        <f>L13*(1+Forecast!$F$2)</f>
        <v>21.854540000000004</v>
      </c>
      <c r="N13" s="82">
        <f>M13*(1+Forecast!$F$2)</f>
        <v>22.510176200000004</v>
      </c>
      <c r="O13" s="82">
        <f>N13*(1+Forecast!$F$2)</f>
        <v>23.185481486000004</v>
      </c>
      <c r="P13" s="82">
        <f>O13*(1+Forecast!$F$2)</f>
        <v>23.881045930580004</v>
      </c>
      <c r="Q13" s="82">
        <f>P13*(1+Forecast!$F$2)</f>
        <v>24.597477308497407</v>
      </c>
      <c r="R13" s="82">
        <f>Q13*(1+Forecast!$F$2)</f>
        <v>25.335401627752329</v>
      </c>
      <c r="S13" s="82">
        <f>R13*(1+Forecast!$F$2)</f>
        <v>26.095463676584899</v>
      </c>
      <c r="T13" s="82">
        <f>S13*(1+Forecast!$F$2)</f>
        <v>26.878327586882445</v>
      </c>
      <c r="U13" s="82">
        <f>T13*(1+Forecast!$F$2)</f>
        <v>27.68467741448892</v>
      </c>
      <c r="V13" s="82">
        <f>U13*(1+Forecast!$F$2)</f>
        <v>28.515217736923589</v>
      </c>
      <c r="W13" s="82">
        <f>V13*(1+Forecast!$F$2)</f>
        <v>29.370674269031298</v>
      </c>
      <c r="X13" s="82">
        <f>W13*(1+Forecast!$F$2)</f>
        <v>30.251794497102239</v>
      </c>
      <c r="Y13" s="82">
        <f>X13*(1+Forecast!$F$2)</f>
        <v>31.159348332015306</v>
      </c>
      <c r="Z13" s="82">
        <f>Y13*(1+Forecast!$F$2)</f>
        <v>32.094128781975769</v>
      </c>
      <c r="AA13" s="82">
        <f>Z13*(1+Forecast!$F$2)</f>
        <v>33.05695264543504</v>
      </c>
      <c r="AB13" s="82">
        <f>AA13*(1+Forecast!$F$2)</f>
        <v>34.048661224798089</v>
      </c>
      <c r="AC13" s="82">
        <f>AB13*(1+Forecast!$F$2)</f>
        <v>35.070121061542032</v>
      </c>
      <c r="AD13" s="82">
        <f>AC13*(1+Forecast!$F$2)</f>
        <v>36.122224693388297</v>
      </c>
      <c r="AE13" s="82">
        <f>AD13*(1+Forecast!$F$2)</f>
        <v>37.205891434189944</v>
      </c>
      <c r="AF13" s="82">
        <f>AE13*(1+Forecast!$F$2)</f>
        <v>38.322068177215641</v>
      </c>
      <c r="AG13" s="82">
        <f>AF13*(1+Forecast!$F$2)</f>
        <v>39.471730222532109</v>
      </c>
      <c r="AH13" s="82">
        <f>AG13*(1+Forecast!$F$2)</f>
        <v>40.655882129208074</v>
      </c>
      <c r="AI13" s="82">
        <f>AH13*(1+Forecast!$F$2)</f>
        <v>41.875558593084314</v>
      </c>
      <c r="AJ13" s="82">
        <f>AI13*(1+Forecast!$F$2)</f>
        <v>43.131825350876845</v>
      </c>
      <c r="AK13" s="82">
        <f>AJ13*(1+Forecast!$F$2)</f>
        <v>44.425780111403149</v>
      </c>
      <c r="AL13" s="82">
        <f>AK13*(1+Forecast!$F$2)</f>
        <v>45.758553514745245</v>
      </c>
      <c r="AM13" s="82">
        <f>AL13*(1+Forecast!$F$2)</f>
        <v>47.131310120187607</v>
      </c>
    </row>
    <row r="14" spans="2:39" ht="27.5" customHeight="1" thickBot="1">
      <c r="B14" s="88"/>
      <c r="C14" s="89" t="s">
        <v>70</v>
      </c>
      <c r="D14" s="90">
        <v>1000</v>
      </c>
      <c r="E14" s="97" t="s">
        <v>101</v>
      </c>
      <c r="F14" s="93">
        <v>83.33</v>
      </c>
      <c r="J14" s="82">
        <f t="shared" si="1"/>
        <v>83.33</v>
      </c>
      <c r="K14" s="82">
        <f>J14*(1+Forecast!$F$2)</f>
        <v>85.829899999999995</v>
      </c>
      <c r="L14" s="82">
        <f>K14*(1+Forecast!$F$2)</f>
        <v>88.404797000000002</v>
      </c>
      <c r="M14" s="82">
        <f>L14*(1+Forecast!$F$2)</f>
        <v>91.056940910000009</v>
      </c>
      <c r="N14" s="82">
        <f>M14*(1+Forecast!$F$2)</f>
        <v>93.788649137300013</v>
      </c>
      <c r="O14" s="82">
        <f>N14*(1+Forecast!$F$2)</f>
        <v>96.602308611419019</v>
      </c>
      <c r="P14" s="82">
        <f>O14*(1+Forecast!$F$2)</f>
        <v>99.500377869761593</v>
      </c>
      <c r="Q14" s="82">
        <f>P14*(1+Forecast!$F$2)</f>
        <v>102.48538920585445</v>
      </c>
      <c r="R14" s="82">
        <f>Q14*(1+Forecast!$F$2)</f>
        <v>105.55995088203008</v>
      </c>
      <c r="S14" s="82">
        <f>R14*(1+Forecast!$F$2)</f>
        <v>108.72674940849099</v>
      </c>
      <c r="T14" s="82">
        <f>S14*(1+Forecast!$F$2)</f>
        <v>111.98855189074573</v>
      </c>
      <c r="U14" s="82">
        <f>T14*(1+Forecast!$F$2)</f>
        <v>115.3482084474681</v>
      </c>
      <c r="V14" s="82">
        <f>U14*(1+Forecast!$F$2)</f>
        <v>118.80865470089215</v>
      </c>
      <c r="W14" s="82">
        <f>V14*(1+Forecast!$F$2)</f>
        <v>122.37291434191891</v>
      </c>
      <c r="X14" s="82">
        <f>W14*(1+Forecast!$F$2)</f>
        <v>126.04410177217649</v>
      </c>
      <c r="Y14" s="82">
        <f>X14*(1+Forecast!$F$2)</f>
        <v>129.8254248253418</v>
      </c>
      <c r="Z14" s="82">
        <f>Y14*(1+Forecast!$F$2)</f>
        <v>133.72018757010207</v>
      </c>
      <c r="AA14" s="82">
        <f>Z14*(1+Forecast!$F$2)</f>
        <v>137.73179319720512</v>
      </c>
      <c r="AB14" s="82">
        <f>AA14*(1+Forecast!$F$2)</f>
        <v>141.86374699312128</v>
      </c>
      <c r="AC14" s="82">
        <f>AB14*(1+Forecast!$F$2)</f>
        <v>146.11965940291492</v>
      </c>
      <c r="AD14" s="82">
        <f>AC14*(1+Forecast!$F$2)</f>
        <v>150.50324918500237</v>
      </c>
      <c r="AE14" s="82">
        <f>AD14*(1+Forecast!$F$2)</f>
        <v>155.01834666055245</v>
      </c>
      <c r="AF14" s="82">
        <f>AE14*(1+Forecast!$F$2)</f>
        <v>159.66889706036903</v>
      </c>
      <c r="AG14" s="82">
        <f>AF14*(1+Forecast!$F$2)</f>
        <v>164.4589639721801</v>
      </c>
      <c r="AH14" s="82">
        <f>AG14*(1+Forecast!$F$2)</f>
        <v>169.3927328913455</v>
      </c>
      <c r="AI14" s="82">
        <f>AH14*(1+Forecast!$F$2)</f>
        <v>174.47451487808587</v>
      </c>
      <c r="AJ14" s="82">
        <f>AI14*(1+Forecast!$F$2)</f>
        <v>179.70875032442845</v>
      </c>
      <c r="AK14" s="82">
        <f>AJ14*(1+Forecast!$F$2)</f>
        <v>185.1000128341613</v>
      </c>
      <c r="AL14" s="82">
        <f>AK14*(1+Forecast!$F$2)</f>
        <v>190.65301321918614</v>
      </c>
      <c r="AM14" s="82">
        <f>AL14*(1+Forecast!$F$2)</f>
        <v>196.37260361576173</v>
      </c>
    </row>
    <row r="15" spans="2:39" ht="27.5" customHeight="1" thickBot="1">
      <c r="B15" s="88"/>
      <c r="C15" s="89" t="s">
        <v>71</v>
      </c>
      <c r="D15" s="90">
        <v>0</v>
      </c>
      <c r="E15" s="97" t="s">
        <v>101</v>
      </c>
      <c r="F15" s="93">
        <v>0</v>
      </c>
      <c r="J15" s="82">
        <f t="shared" si="1"/>
        <v>0</v>
      </c>
      <c r="K15" s="82">
        <f>J15*(1+Forecast!$F$2)</f>
        <v>0</v>
      </c>
      <c r="L15" s="82">
        <f>K15*(1+Forecast!$F$2)</f>
        <v>0</v>
      </c>
      <c r="M15" s="82">
        <f>L15*(1+Forecast!$F$2)</f>
        <v>0</v>
      </c>
      <c r="N15" s="82">
        <f>M15*(1+Forecast!$F$2)</f>
        <v>0</v>
      </c>
      <c r="O15" s="82">
        <f>N15*(1+Forecast!$F$2)</f>
        <v>0</v>
      </c>
      <c r="P15" s="82">
        <f>O15*(1+Forecast!$F$2)</f>
        <v>0</v>
      </c>
      <c r="Q15" s="82">
        <f>P15*(1+Forecast!$F$2)</f>
        <v>0</v>
      </c>
      <c r="R15" s="82">
        <f>Q15*(1+Forecast!$F$2)</f>
        <v>0</v>
      </c>
      <c r="S15" s="82">
        <f>R15*(1+Forecast!$F$2)</f>
        <v>0</v>
      </c>
      <c r="T15" s="82">
        <f>S15*(1+Forecast!$F$2)</f>
        <v>0</v>
      </c>
      <c r="U15" s="82">
        <f>T15*(1+Forecast!$F$2)</f>
        <v>0</v>
      </c>
      <c r="V15" s="82">
        <f>U15*(1+Forecast!$F$2)</f>
        <v>0</v>
      </c>
      <c r="W15" s="82">
        <f>V15*(1+Forecast!$F$2)</f>
        <v>0</v>
      </c>
      <c r="X15" s="82">
        <f>W15*(1+Forecast!$F$2)</f>
        <v>0</v>
      </c>
      <c r="Y15" s="82">
        <f>X15*(1+Forecast!$F$2)</f>
        <v>0</v>
      </c>
      <c r="Z15" s="82">
        <f>Y15*(1+Forecast!$F$2)</f>
        <v>0</v>
      </c>
      <c r="AA15" s="82">
        <f>Z15*(1+Forecast!$F$2)</f>
        <v>0</v>
      </c>
      <c r="AB15" s="82">
        <f>AA15*(1+Forecast!$F$2)</f>
        <v>0</v>
      </c>
      <c r="AC15" s="82">
        <f>AB15*(1+Forecast!$F$2)</f>
        <v>0</v>
      </c>
      <c r="AD15" s="82">
        <f>AC15*(1+Forecast!$F$2)</f>
        <v>0</v>
      </c>
      <c r="AE15" s="82">
        <f>AD15*(1+Forecast!$F$2)</f>
        <v>0</v>
      </c>
      <c r="AF15" s="82">
        <f>AE15*(1+Forecast!$F$2)</f>
        <v>0</v>
      </c>
      <c r="AG15" s="82">
        <f>AF15*(1+Forecast!$F$2)</f>
        <v>0</v>
      </c>
      <c r="AH15" s="82">
        <f>AG15*(1+Forecast!$F$2)</f>
        <v>0</v>
      </c>
      <c r="AI15" s="82">
        <f>AH15*(1+Forecast!$F$2)</f>
        <v>0</v>
      </c>
      <c r="AJ15" s="82">
        <f>AI15*(1+Forecast!$F$2)</f>
        <v>0</v>
      </c>
      <c r="AK15" s="82">
        <f>AJ15*(1+Forecast!$F$2)</f>
        <v>0</v>
      </c>
      <c r="AL15" s="82">
        <f>AK15*(1+Forecast!$F$2)</f>
        <v>0</v>
      </c>
      <c r="AM15" s="82">
        <f>AL15*(1+Forecast!$F$2)</f>
        <v>0</v>
      </c>
    </row>
    <row r="16" spans="2:39" ht="27.5" customHeight="1" thickBot="1">
      <c r="B16" s="88"/>
      <c r="C16" s="89" t="s">
        <v>72</v>
      </c>
      <c r="D16" s="90">
        <v>0</v>
      </c>
      <c r="E16" s="97">
        <v>0</v>
      </c>
      <c r="F16" s="93">
        <v>0</v>
      </c>
      <c r="J16" s="82">
        <f t="shared" si="1"/>
        <v>0</v>
      </c>
      <c r="K16" s="82">
        <f>J16*(1+Forecast!$F$2)</f>
        <v>0</v>
      </c>
      <c r="L16" s="82">
        <f>K16*(1+Forecast!$F$2)</f>
        <v>0</v>
      </c>
      <c r="M16" s="82">
        <f>L16*(1+Forecast!$F$2)</f>
        <v>0</v>
      </c>
      <c r="N16" s="82">
        <f>M16*(1+Forecast!$F$2)</f>
        <v>0</v>
      </c>
      <c r="O16" s="82">
        <f>N16*(1+Forecast!$F$2)</f>
        <v>0</v>
      </c>
      <c r="P16" s="82">
        <f>O16*(1+Forecast!$F$2)</f>
        <v>0</v>
      </c>
      <c r="Q16" s="82">
        <f>P16*(1+Forecast!$F$2)</f>
        <v>0</v>
      </c>
      <c r="R16" s="82">
        <f>Q16*(1+Forecast!$F$2)</f>
        <v>0</v>
      </c>
      <c r="S16" s="82">
        <f>R16*(1+Forecast!$F$2)</f>
        <v>0</v>
      </c>
      <c r="T16" s="82">
        <f>S16*(1+Forecast!$F$2)</f>
        <v>0</v>
      </c>
      <c r="U16" s="82">
        <f>T16*(1+Forecast!$F$2)</f>
        <v>0</v>
      </c>
      <c r="V16" s="82">
        <f>U16*(1+Forecast!$F$2)</f>
        <v>0</v>
      </c>
      <c r="W16" s="82">
        <f>V16*(1+Forecast!$F$2)</f>
        <v>0</v>
      </c>
      <c r="X16" s="82">
        <f>W16*(1+Forecast!$F$2)</f>
        <v>0</v>
      </c>
      <c r="Y16" s="82">
        <f>X16*(1+Forecast!$F$2)</f>
        <v>0</v>
      </c>
      <c r="Z16" s="82">
        <f>Y16*(1+Forecast!$F$2)</f>
        <v>0</v>
      </c>
      <c r="AA16" s="82">
        <f>Z16*(1+Forecast!$F$2)</f>
        <v>0</v>
      </c>
      <c r="AB16" s="82">
        <f>AA16*(1+Forecast!$F$2)</f>
        <v>0</v>
      </c>
      <c r="AC16" s="82">
        <f>AB16*(1+Forecast!$F$2)</f>
        <v>0</v>
      </c>
      <c r="AD16" s="82">
        <f>AC16*(1+Forecast!$F$2)</f>
        <v>0</v>
      </c>
      <c r="AE16" s="82">
        <f>AD16*(1+Forecast!$F$2)</f>
        <v>0</v>
      </c>
      <c r="AF16" s="82">
        <f>AE16*(1+Forecast!$F$2)</f>
        <v>0</v>
      </c>
      <c r="AG16" s="82">
        <f>AF16*(1+Forecast!$F$2)</f>
        <v>0</v>
      </c>
      <c r="AH16" s="82">
        <f>AG16*(1+Forecast!$F$2)</f>
        <v>0</v>
      </c>
      <c r="AI16" s="82">
        <f>AH16*(1+Forecast!$F$2)</f>
        <v>0</v>
      </c>
      <c r="AJ16" s="82">
        <f>AI16*(1+Forecast!$F$2)</f>
        <v>0</v>
      </c>
      <c r="AK16" s="82">
        <f>AJ16*(1+Forecast!$F$2)</f>
        <v>0</v>
      </c>
      <c r="AL16" s="82">
        <f>AK16*(1+Forecast!$F$2)</f>
        <v>0</v>
      </c>
      <c r="AM16" s="82">
        <f>AL16*(1+Forecast!$F$2)</f>
        <v>0</v>
      </c>
    </row>
    <row r="17" spans="2:39" ht="27.5" customHeight="1" thickBot="1">
      <c r="B17" s="86" t="s">
        <v>73</v>
      </c>
      <c r="C17" s="87"/>
      <c r="D17" s="87"/>
      <c r="E17" s="98"/>
      <c r="F17" s="99"/>
      <c r="J17" s="82">
        <f t="shared" si="1"/>
        <v>0</v>
      </c>
      <c r="K17" s="82">
        <f>J17*(1+Forecast!$F$2)</f>
        <v>0</v>
      </c>
      <c r="L17" s="82">
        <f>K17*(1+Forecast!$F$2)</f>
        <v>0</v>
      </c>
      <c r="M17" s="82">
        <f>L17*(1+Forecast!$F$2)</f>
        <v>0</v>
      </c>
      <c r="N17" s="82">
        <f>M17*(1+Forecast!$F$2)</f>
        <v>0</v>
      </c>
      <c r="O17" s="82">
        <f>N17*(1+Forecast!$F$2)</f>
        <v>0</v>
      </c>
      <c r="P17" s="82">
        <f>O17*(1+Forecast!$F$2)</f>
        <v>0</v>
      </c>
      <c r="Q17" s="82">
        <f>P17*(1+Forecast!$F$2)</f>
        <v>0</v>
      </c>
      <c r="R17" s="82">
        <f>Q17*(1+Forecast!$F$2)</f>
        <v>0</v>
      </c>
      <c r="S17" s="82">
        <f>R17*(1+Forecast!$F$2)</f>
        <v>0</v>
      </c>
      <c r="T17" s="82">
        <f>S17*(1+Forecast!$F$2)</f>
        <v>0</v>
      </c>
      <c r="U17" s="82">
        <f>T17*(1+Forecast!$F$2)</f>
        <v>0</v>
      </c>
      <c r="V17" s="82">
        <f>U17*(1+Forecast!$F$2)</f>
        <v>0</v>
      </c>
      <c r="W17" s="82">
        <f>V17*(1+Forecast!$F$2)</f>
        <v>0</v>
      </c>
      <c r="X17" s="82">
        <f>W17*(1+Forecast!$F$2)</f>
        <v>0</v>
      </c>
      <c r="Y17" s="82">
        <f>X17*(1+Forecast!$F$2)</f>
        <v>0</v>
      </c>
      <c r="Z17" s="82">
        <f>Y17*(1+Forecast!$F$2)</f>
        <v>0</v>
      </c>
      <c r="AA17" s="82">
        <f>Z17*(1+Forecast!$F$2)</f>
        <v>0</v>
      </c>
      <c r="AB17" s="82">
        <f>AA17*(1+Forecast!$F$2)</f>
        <v>0</v>
      </c>
      <c r="AC17" s="82">
        <f>AB17*(1+Forecast!$F$2)</f>
        <v>0</v>
      </c>
      <c r="AD17" s="82">
        <f>AC17*(1+Forecast!$F$2)</f>
        <v>0</v>
      </c>
      <c r="AE17" s="82">
        <f>AD17*(1+Forecast!$F$2)</f>
        <v>0</v>
      </c>
      <c r="AF17" s="82">
        <f>AE17*(1+Forecast!$F$2)</f>
        <v>0</v>
      </c>
      <c r="AG17" s="82">
        <f>AF17*(1+Forecast!$F$2)</f>
        <v>0</v>
      </c>
      <c r="AH17" s="82">
        <f>AG17*(1+Forecast!$F$2)</f>
        <v>0</v>
      </c>
      <c r="AI17" s="82">
        <f>AH17*(1+Forecast!$F$2)</f>
        <v>0</v>
      </c>
      <c r="AJ17" s="82">
        <f>AI17*(1+Forecast!$F$2)</f>
        <v>0</v>
      </c>
      <c r="AK17" s="82">
        <f>AJ17*(1+Forecast!$F$2)</f>
        <v>0</v>
      </c>
      <c r="AL17" s="82">
        <f>AK17*(1+Forecast!$F$2)</f>
        <v>0</v>
      </c>
      <c r="AM17" s="82">
        <f>AL17*(1+Forecast!$F$2)</f>
        <v>0</v>
      </c>
    </row>
    <row r="18" spans="2:39" ht="27.5" customHeight="1" thickBot="1">
      <c r="B18" s="88"/>
      <c r="C18" s="89" t="s">
        <v>74</v>
      </c>
      <c r="D18" s="90">
        <v>1600</v>
      </c>
      <c r="E18" s="97" t="s">
        <v>101</v>
      </c>
      <c r="F18" s="93">
        <v>133.33000000000001</v>
      </c>
      <c r="J18" s="82">
        <f t="shared" si="1"/>
        <v>133.33000000000001</v>
      </c>
      <c r="K18" s="82">
        <f>J18*(1+Forecast!$F$2)</f>
        <v>137.32990000000001</v>
      </c>
      <c r="L18" s="82">
        <f>K18*(1+Forecast!$F$2)</f>
        <v>141.44979700000002</v>
      </c>
      <c r="M18" s="82">
        <f>L18*(1+Forecast!$F$2)</f>
        <v>145.69329091000003</v>
      </c>
      <c r="N18" s="82">
        <f>M18*(1+Forecast!$F$2)</f>
        <v>150.06408963730004</v>
      </c>
      <c r="O18" s="82">
        <f>N18*(1+Forecast!$F$2)</f>
        <v>154.56601232641904</v>
      </c>
      <c r="P18" s="82">
        <f>O18*(1+Forecast!$F$2)</f>
        <v>159.20299269621162</v>
      </c>
      <c r="Q18" s="82">
        <f>P18*(1+Forecast!$F$2)</f>
        <v>163.97908247709799</v>
      </c>
      <c r="R18" s="82">
        <f>Q18*(1+Forecast!$F$2)</f>
        <v>168.89845495141094</v>
      </c>
      <c r="S18" s="82">
        <f>R18*(1+Forecast!$F$2)</f>
        <v>173.96540859995326</v>
      </c>
      <c r="T18" s="82">
        <f>S18*(1+Forecast!$F$2)</f>
        <v>179.18437085795188</v>
      </c>
      <c r="U18" s="82">
        <f>T18*(1+Forecast!$F$2)</f>
        <v>184.55990198369042</v>
      </c>
      <c r="V18" s="82">
        <f>U18*(1+Forecast!$F$2)</f>
        <v>190.09669904320114</v>
      </c>
      <c r="W18" s="82">
        <f>V18*(1+Forecast!$F$2)</f>
        <v>195.79960001449717</v>
      </c>
      <c r="X18" s="82">
        <f>W18*(1+Forecast!$F$2)</f>
        <v>201.67358801493211</v>
      </c>
      <c r="Y18" s="82">
        <f>X18*(1+Forecast!$F$2)</f>
        <v>207.72379565538009</v>
      </c>
      <c r="Z18" s="82">
        <f>Y18*(1+Forecast!$F$2)</f>
        <v>213.95550952504149</v>
      </c>
      <c r="AA18" s="82">
        <f>Z18*(1+Forecast!$F$2)</f>
        <v>220.37417481079274</v>
      </c>
      <c r="AB18" s="82">
        <f>AA18*(1+Forecast!$F$2)</f>
        <v>226.98540005511651</v>
      </c>
      <c r="AC18" s="82">
        <f>AB18*(1+Forecast!$F$2)</f>
        <v>233.79496205677</v>
      </c>
      <c r="AD18" s="82">
        <f>AC18*(1+Forecast!$F$2)</f>
        <v>240.80881091847311</v>
      </c>
      <c r="AE18" s="82">
        <f>AD18*(1+Forecast!$F$2)</f>
        <v>248.03307524602732</v>
      </c>
      <c r="AF18" s="82">
        <f>AE18*(1+Forecast!$F$2)</f>
        <v>255.47406750340815</v>
      </c>
      <c r="AG18" s="82">
        <f>AF18*(1+Forecast!$F$2)</f>
        <v>263.13828952851043</v>
      </c>
      <c r="AH18" s="82">
        <f>AG18*(1+Forecast!$F$2)</f>
        <v>271.03243821436575</v>
      </c>
      <c r="AI18" s="82">
        <f>AH18*(1+Forecast!$F$2)</f>
        <v>279.16341136079672</v>
      </c>
      <c r="AJ18" s="82">
        <f>AI18*(1+Forecast!$F$2)</f>
        <v>287.53831370162061</v>
      </c>
      <c r="AK18" s="82">
        <f>AJ18*(1+Forecast!$F$2)</f>
        <v>296.16446311266924</v>
      </c>
      <c r="AL18" s="82">
        <f>AK18*(1+Forecast!$F$2)</f>
        <v>305.04939700604933</v>
      </c>
      <c r="AM18" s="82">
        <f>AL18*(1+Forecast!$F$2)</f>
        <v>314.20087891623081</v>
      </c>
    </row>
    <row r="19" spans="2:39" ht="27.5" customHeight="1" thickBot="1">
      <c r="B19" s="88"/>
      <c r="C19" s="89" t="s">
        <v>75</v>
      </c>
      <c r="D19" s="90">
        <v>15640</v>
      </c>
      <c r="E19" s="97" t="s">
        <v>101</v>
      </c>
      <c r="F19" s="93">
        <v>1303.33</v>
      </c>
      <c r="J19" s="82">
        <f t="shared" si="1"/>
        <v>1303.33</v>
      </c>
      <c r="K19" s="82">
        <f>J19*(1+Forecast!$F$2)</f>
        <v>1342.4298999999999</v>
      </c>
      <c r="L19" s="82">
        <f>K19*(1+Forecast!$F$2)</f>
        <v>1382.7027969999999</v>
      </c>
      <c r="M19" s="82">
        <f>L19*(1+Forecast!$F$2)</f>
        <v>1424.18388091</v>
      </c>
      <c r="N19" s="82">
        <f>M19*(1+Forecast!$F$2)</f>
        <v>1466.9093973373001</v>
      </c>
      <c r="O19" s="82">
        <f>N19*(1+Forecast!$F$2)</f>
        <v>1510.9166792574192</v>
      </c>
      <c r="P19" s="82">
        <f>O19*(1+Forecast!$F$2)</f>
        <v>1556.2441796351418</v>
      </c>
      <c r="Q19" s="82">
        <f>P19*(1+Forecast!$F$2)</f>
        <v>1602.931505024196</v>
      </c>
      <c r="R19" s="82">
        <f>Q19*(1+Forecast!$F$2)</f>
        <v>1651.019450174922</v>
      </c>
      <c r="S19" s="82">
        <f>R19*(1+Forecast!$F$2)</f>
        <v>1700.5500336801697</v>
      </c>
      <c r="T19" s="82">
        <f>S19*(1+Forecast!$F$2)</f>
        <v>1751.5665346905748</v>
      </c>
      <c r="U19" s="82">
        <f>T19*(1+Forecast!$F$2)</f>
        <v>1804.113530731292</v>
      </c>
      <c r="V19" s="82">
        <f>U19*(1+Forecast!$F$2)</f>
        <v>1858.2369366532309</v>
      </c>
      <c r="W19" s="82">
        <f>V19*(1+Forecast!$F$2)</f>
        <v>1913.9840447528279</v>
      </c>
      <c r="X19" s="82">
        <f>W19*(1+Forecast!$F$2)</f>
        <v>1971.4035660954128</v>
      </c>
      <c r="Y19" s="82">
        <f>X19*(1+Forecast!$F$2)</f>
        <v>2030.5456730782753</v>
      </c>
      <c r="Z19" s="82">
        <f>Y19*(1+Forecast!$F$2)</f>
        <v>2091.4620432706238</v>
      </c>
      <c r="AA19" s="82">
        <f>Z19*(1+Forecast!$F$2)</f>
        <v>2154.2059045687424</v>
      </c>
      <c r="AB19" s="82">
        <f>AA19*(1+Forecast!$F$2)</f>
        <v>2218.8320817058047</v>
      </c>
      <c r="AC19" s="82">
        <f>AB19*(1+Forecast!$F$2)</f>
        <v>2285.3970441569791</v>
      </c>
      <c r="AD19" s="82">
        <f>AC19*(1+Forecast!$F$2)</f>
        <v>2353.9589554816885</v>
      </c>
      <c r="AE19" s="82">
        <f>AD19*(1+Forecast!$F$2)</f>
        <v>2424.5777241461392</v>
      </c>
      <c r="AF19" s="82">
        <f>AE19*(1+Forecast!$F$2)</f>
        <v>2497.3150558705233</v>
      </c>
      <c r="AG19" s="82">
        <f>AF19*(1+Forecast!$F$2)</f>
        <v>2572.2345075466392</v>
      </c>
      <c r="AH19" s="82">
        <f>AG19*(1+Forecast!$F$2)</f>
        <v>2649.4015427730383</v>
      </c>
      <c r="AI19" s="82">
        <f>AH19*(1+Forecast!$F$2)</f>
        <v>2728.8835890562295</v>
      </c>
      <c r="AJ19" s="82">
        <f>AI19*(1+Forecast!$F$2)</f>
        <v>2810.7500967279166</v>
      </c>
      <c r="AK19" s="82">
        <f>AJ19*(1+Forecast!$F$2)</f>
        <v>2895.0725996297542</v>
      </c>
      <c r="AL19" s="82">
        <f>AK19*(1+Forecast!$F$2)</f>
        <v>2981.9247776186471</v>
      </c>
      <c r="AM19" s="82">
        <f>AL19*(1+Forecast!$F$2)</f>
        <v>3071.3825209472066</v>
      </c>
    </row>
    <row r="20" spans="2:39" ht="27.5" customHeight="1" thickBot="1">
      <c r="B20" s="88"/>
      <c r="C20" s="89" t="s">
        <v>76</v>
      </c>
      <c r="D20" s="90">
        <v>820</v>
      </c>
      <c r="E20" s="97" t="s">
        <v>100</v>
      </c>
      <c r="F20" s="93">
        <v>820</v>
      </c>
      <c r="J20" s="82">
        <f t="shared" si="1"/>
        <v>820</v>
      </c>
      <c r="K20" s="82">
        <f>J20*(1+Forecast!$F$2)</f>
        <v>844.6</v>
      </c>
      <c r="L20" s="82">
        <f>K20*(1+Forecast!$F$2)</f>
        <v>869.9380000000001</v>
      </c>
      <c r="M20" s="82">
        <f>L20*(1+Forecast!$F$2)</f>
        <v>896.03614000000016</v>
      </c>
      <c r="N20" s="82">
        <f>M20*(1+Forecast!$F$2)</f>
        <v>922.91722420000019</v>
      </c>
      <c r="O20" s="82">
        <f>N20*(1+Forecast!$F$2)</f>
        <v>950.6047409260002</v>
      </c>
      <c r="P20" s="82">
        <f>O20*(1+Forecast!$F$2)</f>
        <v>979.12288315378021</v>
      </c>
      <c r="Q20" s="82">
        <f>P20*(1+Forecast!$F$2)</f>
        <v>1008.4965696483937</v>
      </c>
      <c r="R20" s="82">
        <f>Q20*(1+Forecast!$F$2)</f>
        <v>1038.7514667378455</v>
      </c>
      <c r="S20" s="82">
        <f>R20*(1+Forecast!$F$2)</f>
        <v>1069.9140107399808</v>
      </c>
      <c r="T20" s="82">
        <f>S20*(1+Forecast!$F$2)</f>
        <v>1102.0114310621802</v>
      </c>
      <c r="U20" s="82">
        <f>T20*(1+Forecast!$F$2)</f>
        <v>1135.0717739940458</v>
      </c>
      <c r="V20" s="82">
        <f>U20*(1+Forecast!$F$2)</f>
        <v>1169.1239272138671</v>
      </c>
      <c r="W20" s="82">
        <f>V20*(1+Forecast!$F$2)</f>
        <v>1204.1976450302832</v>
      </c>
      <c r="X20" s="82">
        <f>W20*(1+Forecast!$F$2)</f>
        <v>1240.3235743811917</v>
      </c>
      <c r="Y20" s="82">
        <f>X20*(1+Forecast!$F$2)</f>
        <v>1277.5332816126274</v>
      </c>
      <c r="Z20" s="82">
        <f>Y20*(1+Forecast!$F$2)</f>
        <v>1315.8592800610063</v>
      </c>
      <c r="AA20" s="82">
        <f>Z20*(1+Forecast!$F$2)</f>
        <v>1355.3350584628365</v>
      </c>
      <c r="AB20" s="82">
        <f>AA20*(1+Forecast!$F$2)</f>
        <v>1395.9951102167217</v>
      </c>
      <c r="AC20" s="82">
        <f>AB20*(1+Forecast!$F$2)</f>
        <v>1437.8749635232234</v>
      </c>
      <c r="AD20" s="82">
        <f>AC20*(1+Forecast!$F$2)</f>
        <v>1481.0112124289201</v>
      </c>
      <c r="AE20" s="82">
        <f>AD20*(1+Forecast!$F$2)</f>
        <v>1525.4415488017878</v>
      </c>
      <c r="AF20" s="82">
        <f>AE20*(1+Forecast!$F$2)</f>
        <v>1571.2047952658415</v>
      </c>
      <c r="AG20" s="82">
        <f>AF20*(1+Forecast!$F$2)</f>
        <v>1618.3409391238167</v>
      </c>
      <c r="AH20" s="82">
        <f>AG20*(1+Forecast!$F$2)</f>
        <v>1666.8911672975312</v>
      </c>
      <c r="AI20" s="82">
        <f>AH20*(1+Forecast!$F$2)</f>
        <v>1716.8979023164572</v>
      </c>
      <c r="AJ20" s="82">
        <f>AI20*(1+Forecast!$F$2)</f>
        <v>1768.4048393859509</v>
      </c>
      <c r="AK20" s="82">
        <f>AJ20*(1+Forecast!$F$2)</f>
        <v>1821.4569845675296</v>
      </c>
      <c r="AL20" s="82">
        <f>AK20*(1+Forecast!$F$2)</f>
        <v>1876.1006941045555</v>
      </c>
      <c r="AM20" s="82">
        <f>AL20*(1+Forecast!$F$2)</f>
        <v>1932.3837149276922</v>
      </c>
    </row>
    <row r="21" spans="2:39" ht="27.5" customHeight="1" thickBot="1">
      <c r="B21" s="88"/>
      <c r="C21" s="89" t="s">
        <v>77</v>
      </c>
      <c r="D21" s="90">
        <v>0</v>
      </c>
      <c r="E21" s="97">
        <v>0</v>
      </c>
      <c r="F21" s="93">
        <v>0</v>
      </c>
      <c r="J21" s="82">
        <f t="shared" si="1"/>
        <v>0</v>
      </c>
      <c r="K21" s="82">
        <f>J21*(1+Forecast!$F$2)</f>
        <v>0</v>
      </c>
      <c r="L21" s="82">
        <f>K21*(1+Forecast!$F$2)</f>
        <v>0</v>
      </c>
      <c r="M21" s="82">
        <f>L21*(1+Forecast!$F$2)</f>
        <v>0</v>
      </c>
      <c r="N21" s="82">
        <f>M21*(1+Forecast!$F$2)</f>
        <v>0</v>
      </c>
      <c r="O21" s="82">
        <f>N21*(1+Forecast!$F$2)</f>
        <v>0</v>
      </c>
      <c r="P21" s="82">
        <f>O21*(1+Forecast!$F$2)</f>
        <v>0</v>
      </c>
      <c r="Q21" s="82">
        <f>P21*(1+Forecast!$F$2)</f>
        <v>0</v>
      </c>
      <c r="R21" s="82">
        <f>Q21*(1+Forecast!$F$2)</f>
        <v>0</v>
      </c>
      <c r="S21" s="82">
        <f>R21*(1+Forecast!$F$2)</f>
        <v>0</v>
      </c>
      <c r="T21" s="82">
        <f>S21*(1+Forecast!$F$2)</f>
        <v>0</v>
      </c>
      <c r="U21" s="82">
        <f>T21*(1+Forecast!$F$2)</f>
        <v>0</v>
      </c>
      <c r="V21" s="82">
        <f>U21*(1+Forecast!$F$2)</f>
        <v>0</v>
      </c>
      <c r="W21" s="82">
        <f>V21*(1+Forecast!$F$2)</f>
        <v>0</v>
      </c>
      <c r="X21" s="82">
        <f>W21*(1+Forecast!$F$2)</f>
        <v>0</v>
      </c>
      <c r="Y21" s="82">
        <f>X21*(1+Forecast!$F$2)</f>
        <v>0</v>
      </c>
      <c r="Z21" s="82">
        <f>Y21*(1+Forecast!$F$2)</f>
        <v>0</v>
      </c>
      <c r="AA21" s="82">
        <f>Z21*(1+Forecast!$F$2)</f>
        <v>0</v>
      </c>
      <c r="AB21" s="82">
        <f>AA21*(1+Forecast!$F$2)</f>
        <v>0</v>
      </c>
      <c r="AC21" s="82">
        <f>AB21*(1+Forecast!$F$2)</f>
        <v>0</v>
      </c>
      <c r="AD21" s="82">
        <f>AC21*(1+Forecast!$F$2)</f>
        <v>0</v>
      </c>
      <c r="AE21" s="82">
        <f>AD21*(1+Forecast!$F$2)</f>
        <v>0</v>
      </c>
      <c r="AF21" s="82">
        <f>AE21*(1+Forecast!$F$2)</f>
        <v>0</v>
      </c>
      <c r="AG21" s="82">
        <f>AF21*(1+Forecast!$F$2)</f>
        <v>0</v>
      </c>
      <c r="AH21" s="82">
        <f>AG21*(1+Forecast!$F$2)</f>
        <v>0</v>
      </c>
      <c r="AI21" s="82">
        <f>AH21*(1+Forecast!$F$2)</f>
        <v>0</v>
      </c>
      <c r="AJ21" s="82">
        <f>AI21*(1+Forecast!$F$2)</f>
        <v>0</v>
      </c>
      <c r="AK21" s="82">
        <f>AJ21*(1+Forecast!$F$2)</f>
        <v>0</v>
      </c>
      <c r="AL21" s="82">
        <f>AK21*(1+Forecast!$F$2)</f>
        <v>0</v>
      </c>
      <c r="AM21" s="82">
        <f>AL21*(1+Forecast!$F$2)</f>
        <v>0</v>
      </c>
    </row>
    <row r="22" spans="2:39" ht="27.5" customHeight="1" thickBot="1">
      <c r="B22" s="86" t="s">
        <v>102</v>
      </c>
      <c r="C22" s="87"/>
      <c r="D22" s="94"/>
      <c r="E22" s="95"/>
      <c r="F22" s="96"/>
      <c r="J22" s="82">
        <f t="shared" si="1"/>
        <v>0</v>
      </c>
      <c r="K22" s="82">
        <f>J22*(1+Forecast!$F$2)</f>
        <v>0</v>
      </c>
      <c r="L22" s="82">
        <f>K22*(1+Forecast!$F$2)</f>
        <v>0</v>
      </c>
      <c r="M22" s="82">
        <f>L22*(1+Forecast!$F$2)</f>
        <v>0</v>
      </c>
      <c r="N22" s="82">
        <f>M22*(1+Forecast!$F$2)</f>
        <v>0</v>
      </c>
      <c r="O22" s="82">
        <f>N22*(1+Forecast!$F$2)</f>
        <v>0</v>
      </c>
      <c r="P22" s="82">
        <f>O22*(1+Forecast!$F$2)</f>
        <v>0</v>
      </c>
      <c r="Q22" s="82">
        <f>P22*(1+Forecast!$F$2)</f>
        <v>0</v>
      </c>
      <c r="R22" s="82">
        <f>Q22*(1+Forecast!$F$2)</f>
        <v>0</v>
      </c>
      <c r="S22" s="82">
        <f>R22*(1+Forecast!$F$2)</f>
        <v>0</v>
      </c>
      <c r="T22" s="82">
        <f>S22*(1+Forecast!$F$2)</f>
        <v>0</v>
      </c>
      <c r="U22" s="82">
        <f>T22*(1+Forecast!$F$2)</f>
        <v>0</v>
      </c>
      <c r="V22" s="82">
        <f>U22*(1+Forecast!$F$2)</f>
        <v>0</v>
      </c>
      <c r="W22" s="82">
        <f>V22*(1+Forecast!$F$2)</f>
        <v>0</v>
      </c>
      <c r="X22" s="82">
        <f>W22*(1+Forecast!$F$2)</f>
        <v>0</v>
      </c>
      <c r="Y22" s="82">
        <f>X22*(1+Forecast!$F$2)</f>
        <v>0</v>
      </c>
      <c r="Z22" s="82">
        <f>Y22*(1+Forecast!$F$2)</f>
        <v>0</v>
      </c>
      <c r="AA22" s="82">
        <f>Z22*(1+Forecast!$F$2)</f>
        <v>0</v>
      </c>
      <c r="AB22" s="82">
        <f>AA22*(1+Forecast!$F$2)</f>
        <v>0</v>
      </c>
      <c r="AC22" s="82">
        <f>AB22*(1+Forecast!$F$2)</f>
        <v>0</v>
      </c>
      <c r="AD22" s="82">
        <f>AC22*(1+Forecast!$F$2)</f>
        <v>0</v>
      </c>
      <c r="AE22" s="82">
        <f>AD22*(1+Forecast!$F$2)</f>
        <v>0</v>
      </c>
      <c r="AF22" s="82">
        <f>AE22*(1+Forecast!$F$2)</f>
        <v>0</v>
      </c>
      <c r="AG22" s="82">
        <f>AF22*(1+Forecast!$F$2)</f>
        <v>0</v>
      </c>
      <c r="AH22" s="82">
        <f>AG22*(1+Forecast!$F$2)</f>
        <v>0</v>
      </c>
      <c r="AI22" s="82">
        <f>AH22*(1+Forecast!$F$2)</f>
        <v>0</v>
      </c>
      <c r="AJ22" s="82">
        <f>AI22*(1+Forecast!$F$2)</f>
        <v>0</v>
      </c>
      <c r="AK22" s="82">
        <f>AJ22*(1+Forecast!$F$2)</f>
        <v>0</v>
      </c>
      <c r="AL22" s="82">
        <f>AK22*(1+Forecast!$F$2)</f>
        <v>0</v>
      </c>
      <c r="AM22" s="82">
        <f>AL22*(1+Forecast!$F$2)</f>
        <v>0</v>
      </c>
    </row>
    <row r="23" spans="2:39" ht="27.5" customHeight="1" thickBot="1">
      <c r="B23" s="88"/>
      <c r="C23" s="89" t="s">
        <v>78</v>
      </c>
      <c r="D23" s="97">
        <v>1100</v>
      </c>
      <c r="E23" s="97" t="s">
        <v>101</v>
      </c>
      <c r="F23" s="93">
        <v>91.67</v>
      </c>
      <c r="J23" s="82">
        <f t="shared" si="1"/>
        <v>91.67</v>
      </c>
      <c r="K23" s="82">
        <f>J23*(1+Forecast!$F$2)</f>
        <v>94.420100000000005</v>
      </c>
      <c r="L23" s="82">
        <f>K23*(1+Forecast!$F$2)</f>
        <v>97.252703000000011</v>
      </c>
      <c r="M23" s="82">
        <f>L23*(1+Forecast!$F$2)</f>
        <v>100.17028409000001</v>
      </c>
      <c r="N23" s="82">
        <f>M23*(1+Forecast!$F$2)</f>
        <v>103.17539261270001</v>
      </c>
      <c r="O23" s="82">
        <f>N23*(1+Forecast!$F$2)</f>
        <v>106.27065439108101</v>
      </c>
      <c r="P23" s="82">
        <f>O23*(1+Forecast!$F$2)</f>
        <v>109.45877402281344</v>
      </c>
      <c r="Q23" s="82">
        <f>P23*(1+Forecast!$F$2)</f>
        <v>112.74253724349785</v>
      </c>
      <c r="R23" s="82">
        <f>Q23*(1+Forecast!$F$2)</f>
        <v>116.12481336080279</v>
      </c>
      <c r="S23" s="82">
        <f>R23*(1+Forecast!$F$2)</f>
        <v>119.60855776162688</v>
      </c>
      <c r="T23" s="82">
        <f>S23*(1+Forecast!$F$2)</f>
        <v>123.19681449447569</v>
      </c>
      <c r="U23" s="82">
        <f>T23*(1+Forecast!$F$2)</f>
        <v>126.89271892930996</v>
      </c>
      <c r="V23" s="82">
        <f>U23*(1+Forecast!$F$2)</f>
        <v>130.69950049718926</v>
      </c>
      <c r="W23" s="82">
        <f>V23*(1+Forecast!$F$2)</f>
        <v>134.62048551210495</v>
      </c>
      <c r="X23" s="82">
        <f>W23*(1+Forecast!$F$2)</f>
        <v>138.65910007746811</v>
      </c>
      <c r="Y23" s="82">
        <f>X23*(1+Forecast!$F$2)</f>
        <v>142.81887307979216</v>
      </c>
      <c r="Z23" s="82">
        <f>Y23*(1+Forecast!$F$2)</f>
        <v>147.10343927218594</v>
      </c>
      <c r="AA23" s="82">
        <f>Z23*(1+Forecast!$F$2)</f>
        <v>151.51654245035152</v>
      </c>
      <c r="AB23" s="82">
        <f>AA23*(1+Forecast!$F$2)</f>
        <v>156.06203872386206</v>
      </c>
      <c r="AC23" s="82">
        <f>AB23*(1+Forecast!$F$2)</f>
        <v>160.74389988557792</v>
      </c>
      <c r="AD23" s="82">
        <f>AC23*(1+Forecast!$F$2)</f>
        <v>165.56621688214526</v>
      </c>
      <c r="AE23" s="82">
        <f>AD23*(1+Forecast!$F$2)</f>
        <v>170.53320338860962</v>
      </c>
      <c r="AF23" s="82">
        <f>AE23*(1+Forecast!$F$2)</f>
        <v>175.6491994902679</v>
      </c>
      <c r="AG23" s="82">
        <f>AF23*(1+Forecast!$F$2)</f>
        <v>180.91867547497594</v>
      </c>
      <c r="AH23" s="82">
        <f>AG23*(1+Forecast!$F$2)</f>
        <v>186.34623573922522</v>
      </c>
      <c r="AI23" s="82">
        <f>AH23*(1+Forecast!$F$2)</f>
        <v>191.93662281140197</v>
      </c>
      <c r="AJ23" s="82">
        <f>AI23*(1+Forecast!$F$2)</f>
        <v>197.69472149574403</v>
      </c>
      <c r="AK23" s="82">
        <f>AJ23*(1+Forecast!$F$2)</f>
        <v>203.62556314061635</v>
      </c>
      <c r="AL23" s="82">
        <f>AK23*(1+Forecast!$F$2)</f>
        <v>209.73433003483484</v>
      </c>
      <c r="AM23" s="82">
        <f>AL23*(1+Forecast!$F$2)</f>
        <v>216.0263599358799</v>
      </c>
    </row>
    <row r="24" spans="2:39" ht="27.5" customHeight="1" thickBot="1">
      <c r="B24" s="88"/>
      <c r="C24" s="89" t="s">
        <v>79</v>
      </c>
      <c r="D24" s="97">
        <v>580</v>
      </c>
      <c r="E24" s="97" t="s">
        <v>100</v>
      </c>
      <c r="F24" s="93">
        <v>580</v>
      </c>
      <c r="J24" s="82">
        <f t="shared" si="1"/>
        <v>580</v>
      </c>
      <c r="K24" s="82">
        <f>J24*(1+Forecast!$F$2)</f>
        <v>597.4</v>
      </c>
      <c r="L24" s="82">
        <f>K24*(1+Forecast!$F$2)</f>
        <v>615.322</v>
      </c>
      <c r="M24" s="82">
        <f>L24*(1+Forecast!$F$2)</f>
        <v>633.78165999999999</v>
      </c>
      <c r="N24" s="82">
        <f>M24*(1+Forecast!$F$2)</f>
        <v>652.79510979999998</v>
      </c>
      <c r="O24" s="82">
        <f>N24*(1+Forecast!$F$2)</f>
        <v>672.37896309400003</v>
      </c>
      <c r="P24" s="82">
        <f>O24*(1+Forecast!$F$2)</f>
        <v>692.55033198682008</v>
      </c>
      <c r="Q24" s="82">
        <f>P24*(1+Forecast!$F$2)</f>
        <v>713.32684194642468</v>
      </c>
      <c r="R24" s="82">
        <f>Q24*(1+Forecast!$F$2)</f>
        <v>734.72664720481748</v>
      </c>
      <c r="S24" s="82">
        <f>R24*(1+Forecast!$F$2)</f>
        <v>756.76844662096198</v>
      </c>
      <c r="T24" s="82">
        <f>S24*(1+Forecast!$F$2)</f>
        <v>779.47150001959085</v>
      </c>
      <c r="U24" s="82">
        <f>T24*(1+Forecast!$F$2)</f>
        <v>802.8556450201786</v>
      </c>
      <c r="V24" s="82">
        <f>U24*(1+Forecast!$F$2)</f>
        <v>826.94131437078397</v>
      </c>
      <c r="W24" s="82">
        <f>V24*(1+Forecast!$F$2)</f>
        <v>851.7495538019075</v>
      </c>
      <c r="X24" s="82">
        <f>W24*(1+Forecast!$F$2)</f>
        <v>877.30204041596471</v>
      </c>
      <c r="Y24" s="82">
        <f>X24*(1+Forecast!$F$2)</f>
        <v>903.62110162844363</v>
      </c>
      <c r="Z24" s="82">
        <f>Y24*(1+Forecast!$F$2)</f>
        <v>930.72973467729696</v>
      </c>
      <c r="AA24" s="82">
        <f>Z24*(1+Forecast!$F$2)</f>
        <v>958.65162671761584</v>
      </c>
      <c r="AB24" s="82">
        <f>AA24*(1+Forecast!$F$2)</f>
        <v>987.41117551914431</v>
      </c>
      <c r="AC24" s="82">
        <f>AB24*(1+Forecast!$F$2)</f>
        <v>1017.0335107847187</v>
      </c>
      <c r="AD24" s="82">
        <f>AC24*(1+Forecast!$F$2)</f>
        <v>1047.5445161082603</v>
      </c>
      <c r="AE24" s="82">
        <f>AD24*(1+Forecast!$F$2)</f>
        <v>1078.9708515915081</v>
      </c>
      <c r="AF24" s="82">
        <f>AE24*(1+Forecast!$F$2)</f>
        <v>1111.3399771392533</v>
      </c>
      <c r="AG24" s="82">
        <f>AF24*(1+Forecast!$F$2)</f>
        <v>1144.6801764534309</v>
      </c>
      <c r="AH24" s="82">
        <f>AG24*(1+Forecast!$F$2)</f>
        <v>1179.0205817470339</v>
      </c>
      <c r="AI24" s="82">
        <f>AH24*(1+Forecast!$F$2)</f>
        <v>1214.3911991994451</v>
      </c>
      <c r="AJ24" s="82">
        <f>AI24*(1+Forecast!$F$2)</f>
        <v>1250.8229351754285</v>
      </c>
      <c r="AK24" s="82">
        <f>AJ24*(1+Forecast!$F$2)</f>
        <v>1288.3476232306914</v>
      </c>
      <c r="AL24" s="82">
        <f>AK24*(1+Forecast!$F$2)</f>
        <v>1326.9980519276121</v>
      </c>
      <c r="AM24" s="82">
        <f>AL24*(1+Forecast!$F$2)</f>
        <v>1366.8079934854404</v>
      </c>
    </row>
    <row r="25" spans="2:39" ht="27.5" customHeight="1" thickBot="1">
      <c r="B25" s="88"/>
      <c r="C25" s="89" t="s">
        <v>103</v>
      </c>
      <c r="D25" s="97">
        <v>1800</v>
      </c>
      <c r="E25" s="97" t="s">
        <v>101</v>
      </c>
      <c r="F25" s="93">
        <v>150</v>
      </c>
      <c r="J25" s="82">
        <f t="shared" si="1"/>
        <v>150</v>
      </c>
      <c r="K25" s="82">
        <f>J25*(1+Forecast!$F$2)</f>
        <v>154.5</v>
      </c>
      <c r="L25" s="82">
        <f>K25*(1+Forecast!$F$2)</f>
        <v>159.13499999999999</v>
      </c>
      <c r="M25" s="82">
        <f>L25*(1+Forecast!$F$2)</f>
        <v>163.90905000000001</v>
      </c>
      <c r="N25" s="82">
        <f>M25*(1+Forecast!$F$2)</f>
        <v>168.82632150000001</v>
      </c>
      <c r="O25" s="82">
        <f>N25*(1+Forecast!$F$2)</f>
        <v>173.891111145</v>
      </c>
      <c r="P25" s="82">
        <f>O25*(1+Forecast!$F$2)</f>
        <v>179.10784447935001</v>
      </c>
      <c r="Q25" s="82">
        <f>P25*(1+Forecast!$F$2)</f>
        <v>184.4810798137305</v>
      </c>
      <c r="R25" s="82">
        <f>Q25*(1+Forecast!$F$2)</f>
        <v>190.01551220814241</v>
      </c>
      <c r="S25" s="82">
        <f>R25*(1+Forecast!$F$2)</f>
        <v>195.7159775743867</v>
      </c>
      <c r="T25" s="82">
        <f>S25*(1+Forecast!$F$2)</f>
        <v>201.58745690161831</v>
      </c>
      <c r="U25" s="82">
        <f>T25*(1+Forecast!$F$2)</f>
        <v>207.63508060866687</v>
      </c>
      <c r="V25" s="82">
        <f>U25*(1+Forecast!$F$2)</f>
        <v>213.86413302692688</v>
      </c>
      <c r="W25" s="82">
        <f>V25*(1+Forecast!$F$2)</f>
        <v>220.28005701773469</v>
      </c>
      <c r="X25" s="82">
        <f>W25*(1+Forecast!$F$2)</f>
        <v>226.88845872826673</v>
      </c>
      <c r="Y25" s="82">
        <f>X25*(1+Forecast!$F$2)</f>
        <v>233.69511249011472</v>
      </c>
      <c r="Z25" s="82">
        <f>Y25*(1+Forecast!$F$2)</f>
        <v>240.70596586481818</v>
      </c>
      <c r="AA25" s="82">
        <f>Z25*(1+Forecast!$F$2)</f>
        <v>247.92714484076274</v>
      </c>
      <c r="AB25" s="82">
        <f>AA25*(1+Forecast!$F$2)</f>
        <v>255.36495918598561</v>
      </c>
      <c r="AC25" s="82">
        <f>AB25*(1+Forecast!$F$2)</f>
        <v>263.02590796156517</v>
      </c>
      <c r="AD25" s="82">
        <f>AC25*(1+Forecast!$F$2)</f>
        <v>270.91668520041213</v>
      </c>
      <c r="AE25" s="82">
        <f>AD25*(1+Forecast!$F$2)</f>
        <v>279.0441857564245</v>
      </c>
      <c r="AF25" s="82">
        <f>AE25*(1+Forecast!$F$2)</f>
        <v>287.41551132911724</v>
      </c>
      <c r="AG25" s="82">
        <f>AF25*(1+Forecast!$F$2)</f>
        <v>296.03797666899078</v>
      </c>
      <c r="AH25" s="82">
        <f>AG25*(1+Forecast!$F$2)</f>
        <v>304.9191159690605</v>
      </c>
      <c r="AI25" s="82">
        <f>AH25*(1+Forecast!$F$2)</f>
        <v>314.06668944813231</v>
      </c>
      <c r="AJ25" s="82">
        <f>AI25*(1+Forecast!$F$2)</f>
        <v>323.48869013157628</v>
      </c>
      <c r="AK25" s="82">
        <f>AJ25*(1+Forecast!$F$2)</f>
        <v>333.19335083552357</v>
      </c>
      <c r="AL25" s="82">
        <f>AK25*(1+Forecast!$F$2)</f>
        <v>343.18915136058928</v>
      </c>
      <c r="AM25" s="82">
        <f>AL25*(1+Forecast!$F$2)</f>
        <v>353.48482590140696</v>
      </c>
    </row>
    <row r="26" spans="2:39" ht="27.5" customHeight="1" thickBot="1">
      <c r="B26" s="88"/>
      <c r="C26" s="89" t="s">
        <v>80</v>
      </c>
      <c r="D26" s="97">
        <v>2200</v>
      </c>
      <c r="E26" s="97" t="s">
        <v>101</v>
      </c>
      <c r="F26" s="93">
        <v>183.33</v>
      </c>
      <c r="J26" s="82">
        <f t="shared" si="1"/>
        <v>183.33</v>
      </c>
      <c r="K26" s="82">
        <f>J26*(1+Forecast!$F$2)</f>
        <v>188.82990000000001</v>
      </c>
      <c r="L26" s="82">
        <f>K26*(1+Forecast!$F$2)</f>
        <v>194.49479700000001</v>
      </c>
      <c r="M26" s="82">
        <f>L26*(1+Forecast!$F$2)</f>
        <v>200.32964091000002</v>
      </c>
      <c r="N26" s="82">
        <f>M26*(1+Forecast!$F$2)</f>
        <v>206.33953013730002</v>
      </c>
      <c r="O26" s="82">
        <f>N26*(1+Forecast!$F$2)</f>
        <v>212.52971604141902</v>
      </c>
      <c r="P26" s="82">
        <f>O26*(1+Forecast!$F$2)</f>
        <v>218.9056075226616</v>
      </c>
      <c r="Q26" s="82">
        <f>P26*(1+Forecast!$F$2)</f>
        <v>225.47277574834146</v>
      </c>
      <c r="R26" s="82">
        <f>Q26*(1+Forecast!$F$2)</f>
        <v>232.23695902079172</v>
      </c>
      <c r="S26" s="82">
        <f>R26*(1+Forecast!$F$2)</f>
        <v>239.20406779141547</v>
      </c>
      <c r="T26" s="82">
        <f>S26*(1+Forecast!$F$2)</f>
        <v>246.38018982515794</v>
      </c>
      <c r="U26" s="82">
        <f>T26*(1+Forecast!$F$2)</f>
        <v>253.77159551991269</v>
      </c>
      <c r="V26" s="82">
        <f>U26*(1+Forecast!$F$2)</f>
        <v>261.38474338551009</v>
      </c>
      <c r="W26" s="82">
        <f>V26*(1+Forecast!$F$2)</f>
        <v>269.2262856870754</v>
      </c>
      <c r="X26" s="82">
        <f>W26*(1+Forecast!$F$2)</f>
        <v>277.30307425768768</v>
      </c>
      <c r="Y26" s="82">
        <f>X26*(1+Forecast!$F$2)</f>
        <v>285.62216648541835</v>
      </c>
      <c r="Z26" s="82">
        <f>Y26*(1+Forecast!$F$2)</f>
        <v>294.19083147998089</v>
      </c>
      <c r="AA26" s="82">
        <f>Z26*(1+Forecast!$F$2)</f>
        <v>303.01655642438033</v>
      </c>
      <c r="AB26" s="82">
        <f>AA26*(1+Forecast!$F$2)</f>
        <v>312.10705311711172</v>
      </c>
      <c r="AC26" s="82">
        <f>AB26*(1+Forecast!$F$2)</f>
        <v>321.47026471062509</v>
      </c>
      <c r="AD26" s="82">
        <f>AC26*(1+Forecast!$F$2)</f>
        <v>331.11437265194382</v>
      </c>
      <c r="AE26" s="82">
        <f>AD26*(1+Forecast!$F$2)</f>
        <v>341.04780383150216</v>
      </c>
      <c r="AF26" s="82">
        <f>AE26*(1+Forecast!$F$2)</f>
        <v>351.27923794644721</v>
      </c>
      <c r="AG26" s="82">
        <f>AF26*(1+Forecast!$F$2)</f>
        <v>361.81761508484061</v>
      </c>
      <c r="AH26" s="82">
        <f>AG26*(1+Forecast!$F$2)</f>
        <v>372.67214353738586</v>
      </c>
      <c r="AI26" s="82">
        <f>AH26*(1+Forecast!$F$2)</f>
        <v>383.85230784350745</v>
      </c>
      <c r="AJ26" s="82">
        <f>AI26*(1+Forecast!$F$2)</f>
        <v>395.36787707881268</v>
      </c>
      <c r="AK26" s="82">
        <f>AJ26*(1+Forecast!$F$2)</f>
        <v>407.22891339117706</v>
      </c>
      <c r="AL26" s="82">
        <f>AK26*(1+Forecast!$F$2)</f>
        <v>419.44578079291239</v>
      </c>
      <c r="AM26" s="82">
        <f>AL26*(1+Forecast!$F$2)</f>
        <v>432.02915421669979</v>
      </c>
    </row>
    <row r="27" spans="2:39" ht="27.5" customHeight="1" thickBot="1">
      <c r="B27" s="86" t="s">
        <v>81</v>
      </c>
      <c r="C27" s="87"/>
      <c r="D27" s="94"/>
      <c r="E27" s="95"/>
      <c r="F27" s="96"/>
      <c r="J27" s="82">
        <f t="shared" si="1"/>
        <v>0</v>
      </c>
      <c r="K27" s="82">
        <f>J27*(1+Forecast!$F$2)</f>
        <v>0</v>
      </c>
      <c r="L27" s="82">
        <f>K27*(1+Forecast!$F$2)</f>
        <v>0</v>
      </c>
      <c r="M27" s="82">
        <f>L27*(1+Forecast!$F$2)</f>
        <v>0</v>
      </c>
      <c r="N27" s="82">
        <f>M27*(1+Forecast!$F$2)</f>
        <v>0</v>
      </c>
      <c r="O27" s="82">
        <f>N27*(1+Forecast!$F$2)</f>
        <v>0</v>
      </c>
      <c r="P27" s="82">
        <f>O27*(1+Forecast!$F$2)</f>
        <v>0</v>
      </c>
      <c r="Q27" s="82">
        <f>P27*(1+Forecast!$F$2)</f>
        <v>0</v>
      </c>
      <c r="R27" s="82">
        <f>Q27*(1+Forecast!$F$2)</f>
        <v>0</v>
      </c>
      <c r="S27" s="82">
        <f>R27*(1+Forecast!$F$2)</f>
        <v>0</v>
      </c>
      <c r="T27" s="82">
        <f>S27*(1+Forecast!$F$2)</f>
        <v>0</v>
      </c>
      <c r="U27" s="82">
        <f>T27*(1+Forecast!$F$2)</f>
        <v>0</v>
      </c>
      <c r="V27" s="82">
        <f>U27*(1+Forecast!$F$2)</f>
        <v>0</v>
      </c>
      <c r="W27" s="82">
        <f>V27*(1+Forecast!$F$2)</f>
        <v>0</v>
      </c>
      <c r="X27" s="82">
        <f>W27*(1+Forecast!$F$2)</f>
        <v>0</v>
      </c>
      <c r="Y27" s="82">
        <f>X27*(1+Forecast!$F$2)</f>
        <v>0</v>
      </c>
      <c r="Z27" s="82">
        <f>Y27*(1+Forecast!$F$2)</f>
        <v>0</v>
      </c>
      <c r="AA27" s="82">
        <f>Z27*(1+Forecast!$F$2)</f>
        <v>0</v>
      </c>
      <c r="AB27" s="82">
        <f>AA27*(1+Forecast!$F$2)</f>
        <v>0</v>
      </c>
      <c r="AC27" s="82">
        <f>AB27*(1+Forecast!$F$2)</f>
        <v>0</v>
      </c>
      <c r="AD27" s="82">
        <f>AC27*(1+Forecast!$F$2)</f>
        <v>0</v>
      </c>
      <c r="AE27" s="82">
        <f>AD27*(1+Forecast!$F$2)</f>
        <v>0</v>
      </c>
      <c r="AF27" s="82">
        <f>AE27*(1+Forecast!$F$2)</f>
        <v>0</v>
      </c>
      <c r="AG27" s="82">
        <f>AF27*(1+Forecast!$F$2)</f>
        <v>0</v>
      </c>
      <c r="AH27" s="82">
        <f>AG27*(1+Forecast!$F$2)</f>
        <v>0</v>
      </c>
      <c r="AI27" s="82">
        <f>AH27*(1+Forecast!$F$2)</f>
        <v>0</v>
      </c>
      <c r="AJ27" s="82">
        <f>AI27*(1+Forecast!$F$2)</f>
        <v>0</v>
      </c>
      <c r="AK27" s="82">
        <f>AJ27*(1+Forecast!$F$2)</f>
        <v>0</v>
      </c>
      <c r="AL27" s="82">
        <f>AK27*(1+Forecast!$F$2)</f>
        <v>0</v>
      </c>
      <c r="AM27" s="82">
        <f>AL27*(1+Forecast!$F$2)</f>
        <v>0</v>
      </c>
    </row>
    <row r="28" spans="2:39" ht="27.5" customHeight="1" thickBot="1">
      <c r="B28" s="88"/>
      <c r="C28" s="89" t="s">
        <v>82</v>
      </c>
      <c r="D28" s="97">
        <v>0</v>
      </c>
      <c r="E28" s="97">
        <v>0</v>
      </c>
      <c r="F28" s="93">
        <v>0</v>
      </c>
      <c r="J28" s="82">
        <f t="shared" si="1"/>
        <v>0</v>
      </c>
      <c r="K28" s="82">
        <f>J28*(1+Forecast!$F$2)</f>
        <v>0</v>
      </c>
      <c r="L28" s="82">
        <f>K28*(1+Forecast!$F$2)</f>
        <v>0</v>
      </c>
      <c r="M28" s="82">
        <f>L28*(1+Forecast!$F$2)</f>
        <v>0</v>
      </c>
      <c r="N28" s="82">
        <f>M28*(1+Forecast!$F$2)</f>
        <v>0</v>
      </c>
      <c r="O28" s="82">
        <f>N28*(1+Forecast!$F$2)</f>
        <v>0</v>
      </c>
      <c r="P28" s="82">
        <f>O28*(1+Forecast!$F$2)</f>
        <v>0</v>
      </c>
      <c r="Q28" s="82">
        <f>P28*(1+Forecast!$F$2)</f>
        <v>0</v>
      </c>
      <c r="R28" s="82">
        <f>Q28*(1+Forecast!$F$2)</f>
        <v>0</v>
      </c>
      <c r="S28" s="82">
        <f>R28*(1+Forecast!$F$2)</f>
        <v>0</v>
      </c>
      <c r="T28" s="82">
        <f>S28*(1+Forecast!$F$2)</f>
        <v>0</v>
      </c>
      <c r="U28" s="82">
        <f>T28*(1+Forecast!$F$2)</f>
        <v>0</v>
      </c>
      <c r="V28" s="82">
        <f>U28*(1+Forecast!$F$2)</f>
        <v>0</v>
      </c>
      <c r="W28" s="82">
        <f>V28*(1+Forecast!$F$2)</f>
        <v>0</v>
      </c>
      <c r="X28" s="82">
        <f>W28*(1+Forecast!$F$2)</f>
        <v>0</v>
      </c>
      <c r="Y28" s="82">
        <f>X28*(1+Forecast!$F$2)</f>
        <v>0</v>
      </c>
      <c r="Z28" s="82">
        <f>Y28*(1+Forecast!$F$2)</f>
        <v>0</v>
      </c>
      <c r="AA28" s="82">
        <f>Z28*(1+Forecast!$F$2)</f>
        <v>0</v>
      </c>
      <c r="AB28" s="82">
        <f>AA28*(1+Forecast!$F$2)</f>
        <v>0</v>
      </c>
      <c r="AC28" s="82">
        <f>AB28*(1+Forecast!$F$2)</f>
        <v>0</v>
      </c>
      <c r="AD28" s="82">
        <f>AC28*(1+Forecast!$F$2)</f>
        <v>0</v>
      </c>
      <c r="AE28" s="82">
        <f>AD28*(1+Forecast!$F$2)</f>
        <v>0</v>
      </c>
      <c r="AF28" s="82">
        <f>AE28*(1+Forecast!$F$2)</f>
        <v>0</v>
      </c>
      <c r="AG28" s="82">
        <f>AF28*(1+Forecast!$F$2)</f>
        <v>0</v>
      </c>
      <c r="AH28" s="82">
        <f>AG28*(1+Forecast!$F$2)</f>
        <v>0</v>
      </c>
      <c r="AI28" s="82">
        <f>AH28*(1+Forecast!$F$2)</f>
        <v>0</v>
      </c>
      <c r="AJ28" s="82">
        <f>AI28*(1+Forecast!$F$2)</f>
        <v>0</v>
      </c>
      <c r="AK28" s="82">
        <f>AJ28*(1+Forecast!$F$2)</f>
        <v>0</v>
      </c>
      <c r="AL28" s="82">
        <f>AK28*(1+Forecast!$F$2)</f>
        <v>0</v>
      </c>
      <c r="AM28" s="82">
        <f>AL28*(1+Forecast!$F$2)</f>
        <v>0</v>
      </c>
    </row>
    <row r="29" spans="2:39" ht="27.5" customHeight="1" thickBot="1">
      <c r="B29" s="88"/>
      <c r="C29" s="89" t="s">
        <v>83</v>
      </c>
      <c r="D29" s="97">
        <v>0</v>
      </c>
      <c r="E29" s="97" t="s">
        <v>101</v>
      </c>
      <c r="F29" s="93">
        <v>0</v>
      </c>
      <c r="J29" s="82">
        <f t="shared" si="1"/>
        <v>0</v>
      </c>
      <c r="K29" s="82">
        <f>J29*(1+Forecast!$F$2)</f>
        <v>0</v>
      </c>
      <c r="L29" s="82">
        <f>K29*(1+Forecast!$F$2)</f>
        <v>0</v>
      </c>
      <c r="M29" s="82">
        <f>L29*(1+Forecast!$F$2)</f>
        <v>0</v>
      </c>
      <c r="N29" s="82">
        <f>M29*(1+Forecast!$F$2)</f>
        <v>0</v>
      </c>
      <c r="O29" s="82">
        <f>N29*(1+Forecast!$F$2)</f>
        <v>0</v>
      </c>
      <c r="P29" s="82">
        <f>O29*(1+Forecast!$F$2)</f>
        <v>0</v>
      </c>
      <c r="Q29" s="82">
        <f>P29*(1+Forecast!$F$2)</f>
        <v>0</v>
      </c>
      <c r="R29" s="82">
        <f>Q29*(1+Forecast!$F$2)</f>
        <v>0</v>
      </c>
      <c r="S29" s="82">
        <f>R29*(1+Forecast!$F$2)</f>
        <v>0</v>
      </c>
      <c r="T29" s="82">
        <f>S29*(1+Forecast!$F$2)</f>
        <v>0</v>
      </c>
      <c r="U29" s="82">
        <f>T29*(1+Forecast!$F$2)</f>
        <v>0</v>
      </c>
      <c r="V29" s="82">
        <f>U29*(1+Forecast!$F$2)</f>
        <v>0</v>
      </c>
      <c r="W29" s="82">
        <f>V29*(1+Forecast!$F$2)</f>
        <v>0</v>
      </c>
      <c r="X29" s="82">
        <f>W29*(1+Forecast!$F$2)</f>
        <v>0</v>
      </c>
      <c r="Y29" s="82">
        <f>X29*(1+Forecast!$F$2)</f>
        <v>0</v>
      </c>
      <c r="Z29" s="82">
        <f>Y29*(1+Forecast!$F$2)</f>
        <v>0</v>
      </c>
      <c r="AA29" s="82">
        <f>Z29*(1+Forecast!$F$2)</f>
        <v>0</v>
      </c>
      <c r="AB29" s="82">
        <f>AA29*(1+Forecast!$F$2)</f>
        <v>0</v>
      </c>
      <c r="AC29" s="82">
        <f>AB29*(1+Forecast!$F$2)</f>
        <v>0</v>
      </c>
      <c r="AD29" s="82">
        <f>AC29*(1+Forecast!$F$2)</f>
        <v>0</v>
      </c>
      <c r="AE29" s="82">
        <f>AD29*(1+Forecast!$F$2)</f>
        <v>0</v>
      </c>
      <c r="AF29" s="82">
        <f>AE29*(1+Forecast!$F$2)</f>
        <v>0</v>
      </c>
      <c r="AG29" s="82">
        <f>AF29*(1+Forecast!$F$2)</f>
        <v>0</v>
      </c>
      <c r="AH29" s="82">
        <f>AG29*(1+Forecast!$F$2)</f>
        <v>0</v>
      </c>
      <c r="AI29" s="82">
        <f>AH29*(1+Forecast!$F$2)</f>
        <v>0</v>
      </c>
      <c r="AJ29" s="82">
        <f>AI29*(1+Forecast!$F$2)</f>
        <v>0</v>
      </c>
      <c r="AK29" s="82">
        <f>AJ29*(1+Forecast!$F$2)</f>
        <v>0</v>
      </c>
      <c r="AL29" s="82">
        <f>AK29*(1+Forecast!$F$2)</f>
        <v>0</v>
      </c>
      <c r="AM29" s="82">
        <f>AL29*(1+Forecast!$F$2)</f>
        <v>0</v>
      </c>
    </row>
    <row r="30" spans="2:39" ht="27.5" customHeight="1" thickBot="1">
      <c r="B30" s="88"/>
      <c r="C30" s="89" t="s">
        <v>84</v>
      </c>
      <c r="D30" s="97">
        <v>1200</v>
      </c>
      <c r="E30" s="97" t="s">
        <v>101</v>
      </c>
      <c r="F30" s="93">
        <v>100</v>
      </c>
      <c r="J30" s="82">
        <f t="shared" si="1"/>
        <v>100</v>
      </c>
      <c r="K30" s="82">
        <f>J30*(1+Forecast!$F$2)</f>
        <v>103</v>
      </c>
      <c r="L30" s="82">
        <f>K30*(1+Forecast!$F$2)</f>
        <v>106.09</v>
      </c>
      <c r="M30" s="82">
        <f>L30*(1+Forecast!$F$2)</f>
        <v>109.2727</v>
      </c>
      <c r="N30" s="82">
        <f>M30*(1+Forecast!$F$2)</f>
        <v>112.550881</v>
      </c>
      <c r="O30" s="82">
        <f>N30*(1+Forecast!$F$2)</f>
        <v>115.92740743</v>
      </c>
      <c r="P30" s="82">
        <f>O30*(1+Forecast!$F$2)</f>
        <v>119.4052296529</v>
      </c>
      <c r="Q30" s="82">
        <f>P30*(1+Forecast!$F$2)</f>
        <v>122.987386542487</v>
      </c>
      <c r="R30" s="82">
        <f>Q30*(1+Forecast!$F$2)</f>
        <v>126.67700813876162</v>
      </c>
      <c r="S30" s="82">
        <f>R30*(1+Forecast!$F$2)</f>
        <v>130.47731838292447</v>
      </c>
      <c r="T30" s="82">
        <f>S30*(1+Forecast!$F$2)</f>
        <v>134.39163793441222</v>
      </c>
      <c r="U30" s="82">
        <f>T30*(1+Forecast!$F$2)</f>
        <v>138.4233870724446</v>
      </c>
      <c r="V30" s="82">
        <f>U30*(1+Forecast!$F$2)</f>
        <v>142.57608868461793</v>
      </c>
      <c r="W30" s="82">
        <f>V30*(1+Forecast!$F$2)</f>
        <v>146.85337134515646</v>
      </c>
      <c r="X30" s="82">
        <f>W30*(1+Forecast!$F$2)</f>
        <v>151.25897248551115</v>
      </c>
      <c r="Y30" s="82">
        <f>X30*(1+Forecast!$F$2)</f>
        <v>155.79674166007649</v>
      </c>
      <c r="Z30" s="82">
        <f>Y30*(1+Forecast!$F$2)</f>
        <v>160.47064390987879</v>
      </c>
      <c r="AA30" s="82">
        <f>Z30*(1+Forecast!$F$2)</f>
        <v>165.28476322717515</v>
      </c>
      <c r="AB30" s="82">
        <f>AA30*(1+Forecast!$F$2)</f>
        <v>170.24330612399041</v>
      </c>
      <c r="AC30" s="82">
        <f>AB30*(1+Forecast!$F$2)</f>
        <v>175.35060530771011</v>
      </c>
      <c r="AD30" s="82">
        <f>AC30*(1+Forecast!$F$2)</f>
        <v>180.61112346694142</v>
      </c>
      <c r="AE30" s="82">
        <f>AD30*(1+Forecast!$F$2)</f>
        <v>186.02945717094966</v>
      </c>
      <c r="AF30" s="82">
        <f>AE30*(1+Forecast!$F$2)</f>
        <v>191.61034088607815</v>
      </c>
      <c r="AG30" s="82">
        <f>AF30*(1+Forecast!$F$2)</f>
        <v>197.35865111266051</v>
      </c>
      <c r="AH30" s="82">
        <f>AG30*(1+Forecast!$F$2)</f>
        <v>203.27941064604033</v>
      </c>
      <c r="AI30" s="82">
        <f>AH30*(1+Forecast!$F$2)</f>
        <v>209.37779296542155</v>
      </c>
      <c r="AJ30" s="82">
        <f>AI30*(1+Forecast!$F$2)</f>
        <v>215.6591267543842</v>
      </c>
      <c r="AK30" s="82">
        <f>AJ30*(1+Forecast!$F$2)</f>
        <v>222.12890055701573</v>
      </c>
      <c r="AL30" s="82">
        <f>AK30*(1+Forecast!$F$2)</f>
        <v>228.79276757372619</v>
      </c>
      <c r="AM30" s="82">
        <f>AL30*(1+Forecast!$F$2)</f>
        <v>235.65655060093798</v>
      </c>
    </row>
    <row r="31" spans="2:39" ht="27.5" customHeight="1" thickBot="1">
      <c r="B31" s="88"/>
      <c r="C31" s="89" t="s">
        <v>85</v>
      </c>
      <c r="D31" s="97">
        <v>0</v>
      </c>
      <c r="E31" s="97" t="s">
        <v>101</v>
      </c>
      <c r="F31" s="93">
        <v>0</v>
      </c>
      <c r="J31" s="82">
        <f t="shared" si="1"/>
        <v>0</v>
      </c>
      <c r="K31" s="82">
        <f>J31*(1+Forecast!$F$2)</f>
        <v>0</v>
      </c>
      <c r="L31" s="82">
        <f>K31*(1+Forecast!$F$2)</f>
        <v>0</v>
      </c>
      <c r="M31" s="82">
        <f>L31*(1+Forecast!$F$2)</f>
        <v>0</v>
      </c>
      <c r="N31" s="82">
        <f>M31*(1+Forecast!$F$2)</f>
        <v>0</v>
      </c>
      <c r="O31" s="82">
        <f>N31*(1+Forecast!$F$2)</f>
        <v>0</v>
      </c>
      <c r="P31" s="82">
        <f>O31*(1+Forecast!$F$2)</f>
        <v>0</v>
      </c>
      <c r="Q31" s="82">
        <f>P31*(1+Forecast!$F$2)</f>
        <v>0</v>
      </c>
      <c r="R31" s="82">
        <f>Q31*(1+Forecast!$F$2)</f>
        <v>0</v>
      </c>
      <c r="S31" s="82">
        <f>R31*(1+Forecast!$F$2)</f>
        <v>0</v>
      </c>
      <c r="T31" s="82">
        <f>S31*(1+Forecast!$F$2)</f>
        <v>0</v>
      </c>
      <c r="U31" s="82">
        <f>T31*(1+Forecast!$F$2)</f>
        <v>0</v>
      </c>
      <c r="V31" s="82">
        <f>U31*(1+Forecast!$F$2)</f>
        <v>0</v>
      </c>
      <c r="W31" s="82">
        <f>V31*(1+Forecast!$F$2)</f>
        <v>0</v>
      </c>
      <c r="X31" s="82">
        <f>W31*(1+Forecast!$F$2)</f>
        <v>0</v>
      </c>
      <c r="Y31" s="82">
        <f>X31*(1+Forecast!$F$2)</f>
        <v>0</v>
      </c>
      <c r="Z31" s="82">
        <f>Y31*(1+Forecast!$F$2)</f>
        <v>0</v>
      </c>
      <c r="AA31" s="82">
        <f>Z31*(1+Forecast!$F$2)</f>
        <v>0</v>
      </c>
      <c r="AB31" s="82">
        <f>AA31*(1+Forecast!$F$2)</f>
        <v>0</v>
      </c>
      <c r="AC31" s="82">
        <f>AB31*(1+Forecast!$F$2)</f>
        <v>0</v>
      </c>
      <c r="AD31" s="82">
        <f>AC31*(1+Forecast!$F$2)</f>
        <v>0</v>
      </c>
      <c r="AE31" s="82">
        <f>AD31*(1+Forecast!$F$2)</f>
        <v>0</v>
      </c>
      <c r="AF31" s="82">
        <f>AE31*(1+Forecast!$F$2)</f>
        <v>0</v>
      </c>
      <c r="AG31" s="82">
        <f>AF31*(1+Forecast!$F$2)</f>
        <v>0</v>
      </c>
      <c r="AH31" s="82">
        <f>AG31*(1+Forecast!$F$2)</f>
        <v>0</v>
      </c>
      <c r="AI31" s="82">
        <f>AH31*(1+Forecast!$F$2)</f>
        <v>0</v>
      </c>
      <c r="AJ31" s="82">
        <f>AI31*(1+Forecast!$F$2)</f>
        <v>0</v>
      </c>
      <c r="AK31" s="82">
        <f>AJ31*(1+Forecast!$F$2)</f>
        <v>0</v>
      </c>
      <c r="AL31" s="82">
        <f>AK31*(1+Forecast!$F$2)</f>
        <v>0</v>
      </c>
      <c r="AM31" s="82">
        <f>AL31*(1+Forecast!$F$2)</f>
        <v>0</v>
      </c>
    </row>
    <row r="32" spans="2:39" ht="27.5" customHeight="1" thickBot="1">
      <c r="B32" s="86" t="s">
        <v>86</v>
      </c>
      <c r="C32" s="87"/>
      <c r="D32" s="94"/>
      <c r="E32" s="95"/>
      <c r="F32" s="96"/>
      <c r="J32" s="82">
        <f t="shared" si="1"/>
        <v>0</v>
      </c>
      <c r="K32" s="82">
        <f>J32*(1+Forecast!$F$2)</f>
        <v>0</v>
      </c>
      <c r="L32" s="82">
        <f>K32*(1+Forecast!$F$2)</f>
        <v>0</v>
      </c>
      <c r="M32" s="82">
        <f>L32*(1+Forecast!$F$2)</f>
        <v>0</v>
      </c>
      <c r="N32" s="82">
        <f>M32*(1+Forecast!$F$2)</f>
        <v>0</v>
      </c>
      <c r="O32" s="82">
        <f>N32*(1+Forecast!$F$2)</f>
        <v>0</v>
      </c>
      <c r="P32" s="82">
        <f>O32*(1+Forecast!$F$2)</f>
        <v>0</v>
      </c>
      <c r="Q32" s="82">
        <f>P32*(1+Forecast!$F$2)</f>
        <v>0</v>
      </c>
      <c r="R32" s="82">
        <f>Q32*(1+Forecast!$F$2)</f>
        <v>0</v>
      </c>
      <c r="S32" s="82">
        <f>R32*(1+Forecast!$F$2)</f>
        <v>0</v>
      </c>
      <c r="T32" s="82">
        <f>S32*(1+Forecast!$F$2)</f>
        <v>0</v>
      </c>
      <c r="U32" s="82">
        <f>T32*(1+Forecast!$F$2)</f>
        <v>0</v>
      </c>
      <c r="V32" s="82">
        <f>U32*(1+Forecast!$F$2)</f>
        <v>0</v>
      </c>
      <c r="W32" s="82">
        <f>V32*(1+Forecast!$F$2)</f>
        <v>0</v>
      </c>
      <c r="X32" s="82">
        <f>W32*(1+Forecast!$F$2)</f>
        <v>0</v>
      </c>
      <c r="Y32" s="82">
        <f>X32*(1+Forecast!$F$2)</f>
        <v>0</v>
      </c>
      <c r="Z32" s="82">
        <f>Y32*(1+Forecast!$F$2)</f>
        <v>0</v>
      </c>
      <c r="AA32" s="82">
        <f>Z32*(1+Forecast!$F$2)</f>
        <v>0</v>
      </c>
      <c r="AB32" s="82">
        <f>AA32*(1+Forecast!$F$2)</f>
        <v>0</v>
      </c>
      <c r="AC32" s="82">
        <f>AB32*(1+Forecast!$F$2)</f>
        <v>0</v>
      </c>
      <c r="AD32" s="82">
        <f>AC32*(1+Forecast!$F$2)</f>
        <v>0</v>
      </c>
      <c r="AE32" s="82">
        <f>AD32*(1+Forecast!$F$2)</f>
        <v>0</v>
      </c>
      <c r="AF32" s="82">
        <f>AE32*(1+Forecast!$F$2)</f>
        <v>0</v>
      </c>
      <c r="AG32" s="82">
        <f>AF32*(1+Forecast!$F$2)</f>
        <v>0</v>
      </c>
      <c r="AH32" s="82">
        <f>AG32*(1+Forecast!$F$2)</f>
        <v>0</v>
      </c>
      <c r="AI32" s="82">
        <f>AH32*(1+Forecast!$F$2)</f>
        <v>0</v>
      </c>
      <c r="AJ32" s="82">
        <f>AI32*(1+Forecast!$F$2)</f>
        <v>0</v>
      </c>
      <c r="AK32" s="82">
        <f>AJ32*(1+Forecast!$F$2)</f>
        <v>0</v>
      </c>
      <c r="AL32" s="82">
        <f>AK32*(1+Forecast!$F$2)</f>
        <v>0</v>
      </c>
      <c r="AM32" s="82">
        <f>AL32*(1+Forecast!$F$2)</f>
        <v>0</v>
      </c>
    </row>
    <row r="33" spans="2:39" ht="27.5" customHeight="1" thickBot="1">
      <c r="B33" s="88"/>
      <c r="C33" s="89" t="s">
        <v>87</v>
      </c>
      <c r="D33" s="97">
        <v>1780</v>
      </c>
      <c r="E33" s="97" t="s">
        <v>101</v>
      </c>
      <c r="F33" s="93">
        <v>148.33000000000001</v>
      </c>
      <c r="J33" s="82">
        <f t="shared" si="1"/>
        <v>148.33000000000001</v>
      </c>
      <c r="K33" s="82">
        <f>J33*(1+Forecast!$F$2)</f>
        <v>152.77990000000003</v>
      </c>
      <c r="L33" s="82">
        <f>K33*(1+Forecast!$F$2)</f>
        <v>157.36329700000002</v>
      </c>
      <c r="M33" s="82">
        <f>L33*(1+Forecast!$F$2)</f>
        <v>162.08419591000003</v>
      </c>
      <c r="N33" s="82">
        <f>M33*(1+Forecast!$F$2)</f>
        <v>166.94672178730005</v>
      </c>
      <c r="O33" s="82">
        <f>N33*(1+Forecast!$F$2)</f>
        <v>171.95512344091907</v>
      </c>
      <c r="P33" s="82">
        <f>O33*(1+Forecast!$F$2)</f>
        <v>177.11377714414664</v>
      </c>
      <c r="Q33" s="82">
        <f>P33*(1+Forecast!$F$2)</f>
        <v>182.42719045847105</v>
      </c>
      <c r="R33" s="82">
        <f>Q33*(1+Forecast!$F$2)</f>
        <v>187.90000617222518</v>
      </c>
      <c r="S33" s="82">
        <f>R33*(1+Forecast!$F$2)</f>
        <v>193.53700635739193</v>
      </c>
      <c r="T33" s="82">
        <f>S33*(1+Forecast!$F$2)</f>
        <v>199.3431165481137</v>
      </c>
      <c r="U33" s="82">
        <f>T33*(1+Forecast!$F$2)</f>
        <v>205.32341004455711</v>
      </c>
      <c r="V33" s="82">
        <f>U33*(1+Forecast!$F$2)</f>
        <v>211.48311234589383</v>
      </c>
      <c r="W33" s="82">
        <f>V33*(1+Forecast!$F$2)</f>
        <v>217.82760571627065</v>
      </c>
      <c r="X33" s="82">
        <f>W33*(1+Forecast!$F$2)</f>
        <v>224.36243388775878</v>
      </c>
      <c r="Y33" s="82">
        <f>X33*(1+Forecast!$F$2)</f>
        <v>231.09330690439154</v>
      </c>
      <c r="Z33" s="82">
        <f>Y33*(1+Forecast!$F$2)</f>
        <v>238.02610611152329</v>
      </c>
      <c r="AA33" s="82">
        <f>Z33*(1+Forecast!$F$2)</f>
        <v>245.16688929486901</v>
      </c>
      <c r="AB33" s="82">
        <f>AA33*(1+Forecast!$F$2)</f>
        <v>252.52189597371509</v>
      </c>
      <c r="AC33" s="82">
        <f>AB33*(1+Forecast!$F$2)</f>
        <v>260.09755285292653</v>
      </c>
      <c r="AD33" s="82">
        <f>AC33*(1+Forecast!$F$2)</f>
        <v>267.90047943851431</v>
      </c>
      <c r="AE33" s="82">
        <f>AD33*(1+Forecast!$F$2)</f>
        <v>275.93749382166976</v>
      </c>
      <c r="AF33" s="82">
        <f>AE33*(1+Forecast!$F$2)</f>
        <v>284.21561863631985</v>
      </c>
      <c r="AG33" s="82">
        <f>AF33*(1+Forecast!$F$2)</f>
        <v>292.74208719540945</v>
      </c>
      <c r="AH33" s="82">
        <f>AG33*(1+Forecast!$F$2)</f>
        <v>301.52434981127175</v>
      </c>
      <c r="AI33" s="82">
        <f>AH33*(1+Forecast!$F$2)</f>
        <v>310.57008030560991</v>
      </c>
      <c r="AJ33" s="82">
        <f>AI33*(1+Forecast!$F$2)</f>
        <v>319.88718271477819</v>
      </c>
      <c r="AK33" s="82">
        <f>AJ33*(1+Forecast!$F$2)</f>
        <v>329.48379819622153</v>
      </c>
      <c r="AL33" s="82">
        <f>AK33*(1+Forecast!$F$2)</f>
        <v>339.36831214210821</v>
      </c>
      <c r="AM33" s="82">
        <f>AL33*(1+Forecast!$F$2)</f>
        <v>349.54936150637144</v>
      </c>
    </row>
    <row r="34" spans="2:39" ht="27.5" customHeight="1" thickBot="1">
      <c r="B34" s="88"/>
      <c r="C34" s="89" t="s">
        <v>104</v>
      </c>
      <c r="D34" s="97">
        <v>580</v>
      </c>
      <c r="E34" s="97" t="s">
        <v>105</v>
      </c>
      <c r="F34" s="93">
        <v>193.33</v>
      </c>
      <c r="J34" s="82">
        <f t="shared" si="1"/>
        <v>193.33</v>
      </c>
      <c r="K34" s="82">
        <f>J34*(1+Forecast!$F$2)</f>
        <v>199.12990000000002</v>
      </c>
      <c r="L34" s="82">
        <f>K34*(1+Forecast!$F$2)</f>
        <v>205.10379700000001</v>
      </c>
      <c r="M34" s="82">
        <f>L34*(1+Forecast!$F$2)</f>
        <v>211.25691091000002</v>
      </c>
      <c r="N34" s="82">
        <f>M34*(1+Forecast!$F$2)</f>
        <v>217.59461823730001</v>
      </c>
      <c r="O34" s="82">
        <f>N34*(1+Forecast!$F$2)</f>
        <v>224.12245678441903</v>
      </c>
      <c r="P34" s="82">
        <f>O34*(1+Forecast!$F$2)</f>
        <v>230.8461304879516</v>
      </c>
      <c r="Q34" s="82">
        <f>P34*(1+Forecast!$F$2)</f>
        <v>237.77151440259016</v>
      </c>
      <c r="R34" s="82">
        <f>Q34*(1+Forecast!$F$2)</f>
        <v>244.90465983466785</v>
      </c>
      <c r="S34" s="82">
        <f>R34*(1+Forecast!$F$2)</f>
        <v>252.2517996297079</v>
      </c>
      <c r="T34" s="82">
        <f>S34*(1+Forecast!$F$2)</f>
        <v>259.81935361859917</v>
      </c>
      <c r="U34" s="82">
        <f>T34*(1+Forecast!$F$2)</f>
        <v>267.61393422715713</v>
      </c>
      <c r="V34" s="82">
        <f>U34*(1+Forecast!$F$2)</f>
        <v>275.64235225397186</v>
      </c>
      <c r="W34" s="82">
        <f>V34*(1+Forecast!$F$2)</f>
        <v>283.91162282159104</v>
      </c>
      <c r="X34" s="82">
        <f>W34*(1+Forecast!$F$2)</f>
        <v>292.42897150623878</v>
      </c>
      <c r="Y34" s="82">
        <f>X34*(1+Forecast!$F$2)</f>
        <v>301.20184065142593</v>
      </c>
      <c r="Z34" s="82">
        <f>Y34*(1+Forecast!$F$2)</f>
        <v>310.23789587096871</v>
      </c>
      <c r="AA34" s="82">
        <f>Z34*(1+Forecast!$F$2)</f>
        <v>319.54503274709776</v>
      </c>
      <c r="AB34" s="82">
        <f>AA34*(1+Forecast!$F$2)</f>
        <v>329.13138372951073</v>
      </c>
      <c r="AC34" s="82">
        <f>AB34*(1+Forecast!$F$2)</f>
        <v>339.00532524139606</v>
      </c>
      <c r="AD34" s="82">
        <f>AC34*(1+Forecast!$F$2)</f>
        <v>349.17548499863796</v>
      </c>
      <c r="AE34" s="82">
        <f>AD34*(1+Forecast!$F$2)</f>
        <v>359.6507495485971</v>
      </c>
      <c r="AF34" s="82">
        <f>AE34*(1+Forecast!$F$2)</f>
        <v>370.44027203505505</v>
      </c>
      <c r="AG34" s="82">
        <f>AF34*(1+Forecast!$F$2)</f>
        <v>381.5534801961067</v>
      </c>
      <c r="AH34" s="82">
        <f>AG34*(1+Forecast!$F$2)</f>
        <v>393.0000846019899</v>
      </c>
      <c r="AI34" s="82">
        <f>AH34*(1+Forecast!$F$2)</f>
        <v>404.79008714004959</v>
      </c>
      <c r="AJ34" s="82">
        <f>AI34*(1+Forecast!$F$2)</f>
        <v>416.93378975425111</v>
      </c>
      <c r="AK34" s="82">
        <f>AJ34*(1+Forecast!$F$2)</f>
        <v>429.44180344687868</v>
      </c>
      <c r="AL34" s="82">
        <f>AK34*(1+Forecast!$F$2)</f>
        <v>442.32505755028507</v>
      </c>
      <c r="AM34" s="82">
        <f>AL34*(1+Forecast!$F$2)</f>
        <v>455.59480927679363</v>
      </c>
    </row>
    <row r="35" spans="2:39" ht="27.5" customHeight="1" thickBot="1">
      <c r="B35" s="88"/>
      <c r="C35" s="89" t="s">
        <v>88</v>
      </c>
      <c r="D35" s="97">
        <v>0</v>
      </c>
      <c r="E35" s="97">
        <v>0</v>
      </c>
      <c r="F35" s="93">
        <v>0</v>
      </c>
      <c r="J35" s="82">
        <f t="shared" si="1"/>
        <v>0</v>
      </c>
      <c r="K35" s="82">
        <f>J35*(1+Forecast!$F$2)</f>
        <v>0</v>
      </c>
      <c r="L35" s="82">
        <f>K35*(1+Forecast!$F$2)</f>
        <v>0</v>
      </c>
      <c r="M35" s="82">
        <f>L35*(1+Forecast!$F$2)</f>
        <v>0</v>
      </c>
      <c r="N35" s="82">
        <f>M35*(1+Forecast!$F$2)</f>
        <v>0</v>
      </c>
      <c r="O35" s="82">
        <f>N35*(1+Forecast!$F$2)</f>
        <v>0</v>
      </c>
      <c r="P35" s="82">
        <f>O35*(1+Forecast!$F$2)</f>
        <v>0</v>
      </c>
      <c r="Q35" s="82">
        <f>P35*(1+Forecast!$F$2)</f>
        <v>0</v>
      </c>
      <c r="R35" s="82">
        <f>Q35*(1+Forecast!$F$2)</f>
        <v>0</v>
      </c>
      <c r="S35" s="82">
        <f>R35*(1+Forecast!$F$2)</f>
        <v>0</v>
      </c>
      <c r="T35" s="82">
        <f>S35*(1+Forecast!$F$2)</f>
        <v>0</v>
      </c>
      <c r="U35" s="82">
        <f>T35*(1+Forecast!$F$2)</f>
        <v>0</v>
      </c>
      <c r="V35" s="82">
        <f>U35*(1+Forecast!$F$2)</f>
        <v>0</v>
      </c>
      <c r="W35" s="82">
        <f>V35*(1+Forecast!$F$2)</f>
        <v>0</v>
      </c>
      <c r="X35" s="82">
        <f>W35*(1+Forecast!$F$2)</f>
        <v>0</v>
      </c>
      <c r="Y35" s="82">
        <f>X35*(1+Forecast!$F$2)</f>
        <v>0</v>
      </c>
      <c r="Z35" s="82">
        <f>Y35*(1+Forecast!$F$2)</f>
        <v>0</v>
      </c>
      <c r="AA35" s="82">
        <f>Z35*(1+Forecast!$F$2)</f>
        <v>0</v>
      </c>
      <c r="AB35" s="82">
        <f>AA35*(1+Forecast!$F$2)</f>
        <v>0</v>
      </c>
      <c r="AC35" s="82">
        <f>AB35*(1+Forecast!$F$2)</f>
        <v>0</v>
      </c>
      <c r="AD35" s="82">
        <f>AC35*(1+Forecast!$F$2)</f>
        <v>0</v>
      </c>
      <c r="AE35" s="82">
        <f>AD35*(1+Forecast!$F$2)</f>
        <v>0</v>
      </c>
      <c r="AF35" s="82">
        <f>AE35*(1+Forecast!$F$2)</f>
        <v>0</v>
      </c>
      <c r="AG35" s="82">
        <f>AF35*(1+Forecast!$F$2)</f>
        <v>0</v>
      </c>
      <c r="AH35" s="82">
        <f>AG35*(1+Forecast!$F$2)</f>
        <v>0</v>
      </c>
      <c r="AI35" s="82">
        <f>AH35*(1+Forecast!$F$2)</f>
        <v>0</v>
      </c>
      <c r="AJ35" s="82">
        <f>AI35*(1+Forecast!$F$2)</f>
        <v>0</v>
      </c>
      <c r="AK35" s="82">
        <f>AJ35*(1+Forecast!$F$2)</f>
        <v>0</v>
      </c>
      <c r="AL35" s="82">
        <f>AK35*(1+Forecast!$F$2)</f>
        <v>0</v>
      </c>
      <c r="AM35" s="82">
        <f>AL35*(1+Forecast!$F$2)</f>
        <v>0</v>
      </c>
    </row>
    <row r="36" spans="2:39" ht="27.5" customHeight="1" thickBot="1">
      <c r="B36" s="88"/>
      <c r="C36" s="89" t="s">
        <v>106</v>
      </c>
      <c r="D36" s="97">
        <v>0</v>
      </c>
      <c r="E36" s="97">
        <v>0</v>
      </c>
      <c r="F36" s="93">
        <v>0</v>
      </c>
      <c r="J36" s="82">
        <f t="shared" si="1"/>
        <v>0</v>
      </c>
      <c r="K36" s="82">
        <f>J36*(1+Forecast!$F$2)</f>
        <v>0</v>
      </c>
      <c r="L36" s="82">
        <f>K36*(1+Forecast!$F$2)</f>
        <v>0</v>
      </c>
      <c r="M36" s="82">
        <f>L36*(1+Forecast!$F$2)</f>
        <v>0</v>
      </c>
      <c r="N36" s="82">
        <f>M36*(1+Forecast!$F$2)</f>
        <v>0</v>
      </c>
      <c r="O36" s="82">
        <f>N36*(1+Forecast!$F$2)</f>
        <v>0</v>
      </c>
      <c r="P36" s="82">
        <f>O36*(1+Forecast!$F$2)</f>
        <v>0</v>
      </c>
      <c r="Q36" s="82">
        <f>P36*(1+Forecast!$F$2)</f>
        <v>0</v>
      </c>
      <c r="R36" s="82">
        <f>Q36*(1+Forecast!$F$2)</f>
        <v>0</v>
      </c>
      <c r="S36" s="82">
        <f>R36*(1+Forecast!$F$2)</f>
        <v>0</v>
      </c>
      <c r="T36" s="82">
        <f>S36*(1+Forecast!$F$2)</f>
        <v>0</v>
      </c>
      <c r="U36" s="82">
        <f>T36*(1+Forecast!$F$2)</f>
        <v>0</v>
      </c>
      <c r="V36" s="82">
        <f>U36*(1+Forecast!$F$2)</f>
        <v>0</v>
      </c>
      <c r="W36" s="82">
        <f>V36*(1+Forecast!$F$2)</f>
        <v>0</v>
      </c>
      <c r="X36" s="82">
        <f>W36*(1+Forecast!$F$2)</f>
        <v>0</v>
      </c>
      <c r="Y36" s="82">
        <f>X36*(1+Forecast!$F$2)</f>
        <v>0</v>
      </c>
      <c r="Z36" s="82">
        <f>Y36*(1+Forecast!$F$2)</f>
        <v>0</v>
      </c>
      <c r="AA36" s="82">
        <f>Z36*(1+Forecast!$F$2)</f>
        <v>0</v>
      </c>
      <c r="AB36" s="82">
        <f>AA36*(1+Forecast!$F$2)</f>
        <v>0</v>
      </c>
      <c r="AC36" s="82">
        <f>AB36*(1+Forecast!$F$2)</f>
        <v>0</v>
      </c>
      <c r="AD36" s="82">
        <f>AC36*(1+Forecast!$F$2)</f>
        <v>0</v>
      </c>
      <c r="AE36" s="82">
        <f>AD36*(1+Forecast!$F$2)</f>
        <v>0</v>
      </c>
      <c r="AF36" s="82">
        <f>AE36*(1+Forecast!$F$2)</f>
        <v>0</v>
      </c>
      <c r="AG36" s="82">
        <f>AF36*(1+Forecast!$F$2)</f>
        <v>0</v>
      </c>
      <c r="AH36" s="82">
        <f>AG36*(1+Forecast!$F$2)</f>
        <v>0</v>
      </c>
      <c r="AI36" s="82">
        <f>AH36*(1+Forecast!$F$2)</f>
        <v>0</v>
      </c>
      <c r="AJ36" s="82">
        <f>AI36*(1+Forecast!$F$2)</f>
        <v>0</v>
      </c>
      <c r="AK36" s="82">
        <f>AJ36*(1+Forecast!$F$2)</f>
        <v>0</v>
      </c>
      <c r="AL36" s="82">
        <f>AK36*(1+Forecast!$F$2)</f>
        <v>0</v>
      </c>
      <c r="AM36" s="82">
        <f>AL36*(1+Forecast!$F$2)</f>
        <v>0</v>
      </c>
    </row>
    <row r="37" spans="2:39" ht="27.5" customHeight="1" thickBot="1">
      <c r="B37" s="88"/>
      <c r="C37" s="89" t="s">
        <v>89</v>
      </c>
      <c r="D37" s="105">
        <v>0</v>
      </c>
      <c r="E37" s="97" t="s">
        <v>101</v>
      </c>
      <c r="F37" s="93">
        <f>D37/12</f>
        <v>0</v>
      </c>
      <c r="J37" s="82">
        <f t="shared" si="1"/>
        <v>0</v>
      </c>
      <c r="K37" s="82">
        <f>J37*(1+Forecast!$F$2)</f>
        <v>0</v>
      </c>
      <c r="L37" s="82">
        <f>K37*(1+Forecast!$F$2)</f>
        <v>0</v>
      </c>
      <c r="M37" s="82">
        <f>L37*(1+Forecast!$F$2)</f>
        <v>0</v>
      </c>
      <c r="N37" s="82">
        <f>M37*(1+Forecast!$F$2)</f>
        <v>0</v>
      </c>
      <c r="O37" s="82">
        <f>N37*(1+Forecast!$F$2)</f>
        <v>0</v>
      </c>
      <c r="P37" s="82">
        <f>O37*(1+Forecast!$F$2)</f>
        <v>0</v>
      </c>
      <c r="Q37" s="82">
        <f>P37*(1+Forecast!$F$2)</f>
        <v>0</v>
      </c>
      <c r="R37" s="82">
        <f>Q37*(1+Forecast!$F$2)</f>
        <v>0</v>
      </c>
      <c r="S37" s="82">
        <f>R37*(1+Forecast!$F$2)</f>
        <v>0</v>
      </c>
      <c r="T37" s="82">
        <f>S37*(1+Forecast!$F$2)</f>
        <v>0</v>
      </c>
      <c r="U37" s="82">
        <f>T37*(1+Forecast!$F$2)</f>
        <v>0</v>
      </c>
      <c r="V37" s="82">
        <f>U37*(1+Forecast!$F$2)</f>
        <v>0</v>
      </c>
      <c r="W37" s="82">
        <f>V37*(1+Forecast!$F$2)</f>
        <v>0</v>
      </c>
      <c r="X37" s="82">
        <f>W37*(1+Forecast!$F$2)</f>
        <v>0</v>
      </c>
      <c r="Y37" s="82">
        <f>X37*(1+Forecast!$F$2)</f>
        <v>0</v>
      </c>
      <c r="Z37" s="82">
        <f>Y37*(1+Forecast!$F$2)</f>
        <v>0</v>
      </c>
      <c r="AA37" s="82">
        <f>Z37*(1+Forecast!$F$2)</f>
        <v>0</v>
      </c>
      <c r="AB37" s="82">
        <f>AA37*(1+Forecast!$F$2)</f>
        <v>0</v>
      </c>
      <c r="AC37" s="82">
        <f>AB37*(1+Forecast!$F$2)</f>
        <v>0</v>
      </c>
      <c r="AD37" s="82">
        <f>AC37*(1+Forecast!$F$2)</f>
        <v>0</v>
      </c>
      <c r="AE37" s="82">
        <f>AD37*(1+Forecast!$F$2)</f>
        <v>0</v>
      </c>
      <c r="AF37" s="82">
        <f>AE37*(1+Forecast!$F$2)</f>
        <v>0</v>
      </c>
      <c r="AG37" s="82">
        <f>AF37*(1+Forecast!$F$2)</f>
        <v>0</v>
      </c>
      <c r="AH37" s="82">
        <f>AG37*(1+Forecast!$F$2)</f>
        <v>0</v>
      </c>
      <c r="AI37" s="82">
        <f>AH37*(1+Forecast!$F$2)</f>
        <v>0</v>
      </c>
      <c r="AJ37" s="82">
        <f>AI37*(1+Forecast!$F$2)</f>
        <v>0</v>
      </c>
      <c r="AK37" s="82">
        <f>AJ37*(1+Forecast!$F$2)</f>
        <v>0</v>
      </c>
      <c r="AL37" s="82">
        <f>AK37*(1+Forecast!$F$2)</f>
        <v>0</v>
      </c>
      <c r="AM37" s="82">
        <f>AL37*(1+Forecast!$F$2)</f>
        <v>0</v>
      </c>
    </row>
    <row r="38" spans="2:39" ht="27.5" customHeight="1" thickBot="1">
      <c r="B38" s="86" t="s">
        <v>90</v>
      </c>
      <c r="C38" s="87"/>
      <c r="D38" s="94"/>
      <c r="E38" s="95"/>
      <c r="F38" s="96"/>
      <c r="J38" s="82">
        <f t="shared" si="1"/>
        <v>0</v>
      </c>
      <c r="K38" s="82">
        <f>J38*(1+Forecast!$F$2)</f>
        <v>0</v>
      </c>
      <c r="L38" s="82">
        <f>K38*(1+Forecast!$F$2)</f>
        <v>0</v>
      </c>
      <c r="M38" s="82">
        <f>L38*(1+Forecast!$F$2)</f>
        <v>0</v>
      </c>
      <c r="N38" s="82">
        <f>M38*(1+Forecast!$F$2)</f>
        <v>0</v>
      </c>
      <c r="O38" s="82">
        <f>N38*(1+Forecast!$F$2)</f>
        <v>0</v>
      </c>
      <c r="P38" s="82">
        <f>O38*(1+Forecast!$F$2)</f>
        <v>0</v>
      </c>
      <c r="Q38" s="82">
        <f>P38*(1+Forecast!$F$2)</f>
        <v>0</v>
      </c>
      <c r="R38" s="82">
        <f>Q38*(1+Forecast!$F$2)</f>
        <v>0</v>
      </c>
      <c r="S38" s="82">
        <f>R38*(1+Forecast!$F$2)</f>
        <v>0</v>
      </c>
      <c r="T38" s="82">
        <f>S38*(1+Forecast!$F$2)</f>
        <v>0</v>
      </c>
      <c r="U38" s="82">
        <f>T38*(1+Forecast!$F$2)</f>
        <v>0</v>
      </c>
      <c r="V38" s="82">
        <f>U38*(1+Forecast!$F$2)</f>
        <v>0</v>
      </c>
      <c r="W38" s="82">
        <f>V38*(1+Forecast!$F$2)</f>
        <v>0</v>
      </c>
      <c r="X38" s="82">
        <f>W38*(1+Forecast!$F$2)</f>
        <v>0</v>
      </c>
      <c r="Y38" s="82">
        <f>X38*(1+Forecast!$F$2)</f>
        <v>0</v>
      </c>
      <c r="Z38" s="82">
        <f>Y38*(1+Forecast!$F$2)</f>
        <v>0</v>
      </c>
      <c r="AA38" s="82">
        <f>Z38*(1+Forecast!$F$2)</f>
        <v>0</v>
      </c>
      <c r="AB38" s="82">
        <f>AA38*(1+Forecast!$F$2)</f>
        <v>0</v>
      </c>
      <c r="AC38" s="82">
        <f>AB38*(1+Forecast!$F$2)</f>
        <v>0</v>
      </c>
      <c r="AD38" s="82">
        <f>AC38*(1+Forecast!$F$2)</f>
        <v>0</v>
      </c>
      <c r="AE38" s="82">
        <f>AD38*(1+Forecast!$F$2)</f>
        <v>0</v>
      </c>
      <c r="AF38" s="82">
        <f>AE38*(1+Forecast!$F$2)</f>
        <v>0</v>
      </c>
      <c r="AG38" s="82">
        <f>AF38*(1+Forecast!$F$2)</f>
        <v>0</v>
      </c>
      <c r="AH38" s="82">
        <f>AG38*(1+Forecast!$F$2)</f>
        <v>0</v>
      </c>
      <c r="AI38" s="82">
        <f>AH38*(1+Forecast!$F$2)</f>
        <v>0</v>
      </c>
      <c r="AJ38" s="82">
        <f>AI38*(1+Forecast!$F$2)</f>
        <v>0</v>
      </c>
      <c r="AK38" s="82">
        <f>AJ38*(1+Forecast!$F$2)</f>
        <v>0</v>
      </c>
      <c r="AL38" s="82">
        <f>AK38*(1+Forecast!$F$2)</f>
        <v>0</v>
      </c>
      <c r="AM38" s="82">
        <f>AL38*(1+Forecast!$F$2)</f>
        <v>0</v>
      </c>
    </row>
    <row r="39" spans="2:39" ht="27.5" customHeight="1" thickBot="1">
      <c r="B39" s="88"/>
      <c r="C39" s="89" t="s">
        <v>91</v>
      </c>
      <c r="D39" s="97">
        <v>0</v>
      </c>
      <c r="E39" s="97">
        <v>0</v>
      </c>
      <c r="F39" s="93">
        <v>0</v>
      </c>
      <c r="J39" s="82">
        <f t="shared" si="1"/>
        <v>0</v>
      </c>
      <c r="K39" s="82">
        <f>J39*(1+Forecast!$F$2)</f>
        <v>0</v>
      </c>
      <c r="L39" s="82">
        <f>K39*(1+Forecast!$F$2)</f>
        <v>0</v>
      </c>
      <c r="M39" s="82">
        <f>L39*(1+Forecast!$F$2)</f>
        <v>0</v>
      </c>
      <c r="N39" s="82">
        <f>M39*(1+Forecast!$F$2)</f>
        <v>0</v>
      </c>
      <c r="O39" s="82">
        <f>N39*(1+Forecast!$F$2)</f>
        <v>0</v>
      </c>
      <c r="P39" s="82">
        <f>O39*(1+Forecast!$F$2)</f>
        <v>0</v>
      </c>
      <c r="Q39" s="82">
        <f>P39*(1+Forecast!$F$2)</f>
        <v>0</v>
      </c>
      <c r="R39" s="82">
        <f>Q39*(1+Forecast!$F$2)</f>
        <v>0</v>
      </c>
      <c r="S39" s="82">
        <f>R39*(1+Forecast!$F$2)</f>
        <v>0</v>
      </c>
      <c r="T39" s="82">
        <f>S39*(1+Forecast!$F$2)</f>
        <v>0</v>
      </c>
      <c r="U39" s="82">
        <f>T39*(1+Forecast!$F$2)</f>
        <v>0</v>
      </c>
      <c r="V39" s="82">
        <f>U39*(1+Forecast!$F$2)</f>
        <v>0</v>
      </c>
      <c r="W39" s="82">
        <f>V39*(1+Forecast!$F$2)</f>
        <v>0</v>
      </c>
      <c r="X39" s="82">
        <f>W39*(1+Forecast!$F$2)</f>
        <v>0</v>
      </c>
      <c r="Y39" s="82">
        <f>X39*(1+Forecast!$F$2)</f>
        <v>0</v>
      </c>
      <c r="Z39" s="82">
        <f>Y39*(1+Forecast!$F$2)</f>
        <v>0</v>
      </c>
      <c r="AA39" s="82">
        <f>Z39*(1+Forecast!$F$2)</f>
        <v>0</v>
      </c>
      <c r="AB39" s="82">
        <f>AA39*(1+Forecast!$F$2)</f>
        <v>0</v>
      </c>
      <c r="AC39" s="82">
        <f>AB39*(1+Forecast!$F$2)</f>
        <v>0</v>
      </c>
      <c r="AD39" s="82">
        <f>AC39*(1+Forecast!$F$2)</f>
        <v>0</v>
      </c>
      <c r="AE39" s="82">
        <f>AD39*(1+Forecast!$F$2)</f>
        <v>0</v>
      </c>
      <c r="AF39" s="82">
        <f>AE39*(1+Forecast!$F$2)</f>
        <v>0</v>
      </c>
      <c r="AG39" s="82">
        <f>AF39*(1+Forecast!$F$2)</f>
        <v>0</v>
      </c>
      <c r="AH39" s="82">
        <f>AG39*(1+Forecast!$F$2)</f>
        <v>0</v>
      </c>
      <c r="AI39" s="82">
        <f>AH39*(1+Forecast!$F$2)</f>
        <v>0</v>
      </c>
      <c r="AJ39" s="82">
        <f>AI39*(1+Forecast!$F$2)</f>
        <v>0</v>
      </c>
      <c r="AK39" s="82">
        <f>AJ39*(1+Forecast!$F$2)</f>
        <v>0</v>
      </c>
      <c r="AL39" s="82">
        <f>AK39*(1+Forecast!$F$2)</f>
        <v>0</v>
      </c>
      <c r="AM39" s="82">
        <f>AL39*(1+Forecast!$F$2)</f>
        <v>0</v>
      </c>
    </row>
    <row r="40" spans="2:39" ht="27.5" customHeight="1" thickBot="1">
      <c r="B40" s="88"/>
      <c r="C40" s="89" t="s">
        <v>92</v>
      </c>
      <c r="D40" s="97">
        <v>0</v>
      </c>
      <c r="E40" s="97">
        <v>0</v>
      </c>
      <c r="F40" s="93">
        <v>0</v>
      </c>
      <c r="J40" s="82">
        <f t="shared" si="1"/>
        <v>0</v>
      </c>
      <c r="K40" s="82">
        <f>J40*(1+Forecast!$F$2)</f>
        <v>0</v>
      </c>
      <c r="L40" s="82">
        <f>K40*(1+Forecast!$F$2)</f>
        <v>0</v>
      </c>
      <c r="M40" s="82">
        <f>L40*(1+Forecast!$F$2)</f>
        <v>0</v>
      </c>
      <c r="N40" s="82">
        <f>M40*(1+Forecast!$F$2)</f>
        <v>0</v>
      </c>
      <c r="O40" s="82">
        <f>N40*(1+Forecast!$F$2)</f>
        <v>0</v>
      </c>
      <c r="P40" s="82">
        <f>O40*(1+Forecast!$F$2)</f>
        <v>0</v>
      </c>
      <c r="Q40" s="82">
        <f>P40*(1+Forecast!$F$2)</f>
        <v>0</v>
      </c>
      <c r="R40" s="82">
        <f>Q40*(1+Forecast!$F$2)</f>
        <v>0</v>
      </c>
      <c r="S40" s="82">
        <f>R40*(1+Forecast!$F$2)</f>
        <v>0</v>
      </c>
      <c r="T40" s="82">
        <f>S40*(1+Forecast!$F$2)</f>
        <v>0</v>
      </c>
      <c r="U40" s="82">
        <f>T40*(1+Forecast!$F$2)</f>
        <v>0</v>
      </c>
      <c r="V40" s="82">
        <f>U40*(1+Forecast!$F$2)</f>
        <v>0</v>
      </c>
      <c r="W40" s="82">
        <f>V40*(1+Forecast!$F$2)</f>
        <v>0</v>
      </c>
      <c r="X40" s="82">
        <f>W40*(1+Forecast!$F$2)</f>
        <v>0</v>
      </c>
      <c r="Y40" s="82">
        <f>X40*(1+Forecast!$F$2)</f>
        <v>0</v>
      </c>
      <c r="Z40" s="82">
        <f>Y40*(1+Forecast!$F$2)</f>
        <v>0</v>
      </c>
      <c r="AA40" s="82">
        <f>Z40*(1+Forecast!$F$2)</f>
        <v>0</v>
      </c>
      <c r="AB40" s="82">
        <f>AA40*(1+Forecast!$F$2)</f>
        <v>0</v>
      </c>
      <c r="AC40" s="82">
        <f>AB40*(1+Forecast!$F$2)</f>
        <v>0</v>
      </c>
      <c r="AD40" s="82">
        <f>AC40*(1+Forecast!$F$2)</f>
        <v>0</v>
      </c>
      <c r="AE40" s="82">
        <f>AD40*(1+Forecast!$F$2)</f>
        <v>0</v>
      </c>
      <c r="AF40" s="82">
        <f>AE40*(1+Forecast!$F$2)</f>
        <v>0</v>
      </c>
      <c r="AG40" s="82">
        <f>AF40*(1+Forecast!$F$2)</f>
        <v>0</v>
      </c>
      <c r="AH40" s="82">
        <f>AG40*(1+Forecast!$F$2)</f>
        <v>0</v>
      </c>
      <c r="AI40" s="82">
        <f>AH40*(1+Forecast!$F$2)</f>
        <v>0</v>
      </c>
      <c r="AJ40" s="82">
        <f>AI40*(1+Forecast!$F$2)</f>
        <v>0</v>
      </c>
      <c r="AK40" s="82">
        <f>AJ40*(1+Forecast!$F$2)</f>
        <v>0</v>
      </c>
      <c r="AL40" s="82">
        <f>AK40*(1+Forecast!$F$2)</f>
        <v>0</v>
      </c>
      <c r="AM40" s="82">
        <f>AL40*(1+Forecast!$F$2)</f>
        <v>0</v>
      </c>
    </row>
    <row r="41" spans="2:39" ht="27.5" customHeight="1" thickBot="1">
      <c r="B41" s="88"/>
      <c r="C41" s="89" t="s">
        <v>93</v>
      </c>
      <c r="D41" s="97">
        <v>0</v>
      </c>
      <c r="E41" s="97">
        <v>0</v>
      </c>
      <c r="F41" s="93">
        <v>0</v>
      </c>
      <c r="J41" s="82">
        <f t="shared" si="1"/>
        <v>0</v>
      </c>
      <c r="K41" s="82">
        <f>J41*(1+Forecast!$F$2)</f>
        <v>0</v>
      </c>
      <c r="L41" s="82">
        <f>K41*(1+Forecast!$F$2)</f>
        <v>0</v>
      </c>
      <c r="M41" s="82">
        <f>L41*(1+Forecast!$F$2)</f>
        <v>0</v>
      </c>
      <c r="N41" s="82">
        <f>M41*(1+Forecast!$F$2)</f>
        <v>0</v>
      </c>
      <c r="O41" s="82">
        <f>N41*(1+Forecast!$F$2)</f>
        <v>0</v>
      </c>
      <c r="P41" s="82">
        <f>O41*(1+Forecast!$F$2)</f>
        <v>0</v>
      </c>
      <c r="Q41" s="82">
        <f>P41*(1+Forecast!$F$2)</f>
        <v>0</v>
      </c>
      <c r="R41" s="82">
        <f>Q41*(1+Forecast!$F$2)</f>
        <v>0</v>
      </c>
      <c r="S41" s="82">
        <f>R41*(1+Forecast!$F$2)</f>
        <v>0</v>
      </c>
      <c r="T41" s="82">
        <f>S41*(1+Forecast!$F$2)</f>
        <v>0</v>
      </c>
      <c r="U41" s="82">
        <f>T41*(1+Forecast!$F$2)</f>
        <v>0</v>
      </c>
      <c r="V41" s="82">
        <f>U41*(1+Forecast!$F$2)</f>
        <v>0</v>
      </c>
      <c r="W41" s="82">
        <f>V41*(1+Forecast!$F$2)</f>
        <v>0</v>
      </c>
      <c r="X41" s="82">
        <f>W41*(1+Forecast!$F$2)</f>
        <v>0</v>
      </c>
      <c r="Y41" s="82">
        <f>X41*(1+Forecast!$F$2)</f>
        <v>0</v>
      </c>
      <c r="Z41" s="82">
        <f>Y41*(1+Forecast!$F$2)</f>
        <v>0</v>
      </c>
      <c r="AA41" s="82">
        <f>Z41*(1+Forecast!$F$2)</f>
        <v>0</v>
      </c>
      <c r="AB41" s="82">
        <f>AA41*(1+Forecast!$F$2)</f>
        <v>0</v>
      </c>
      <c r="AC41" s="82">
        <f>AB41*(1+Forecast!$F$2)</f>
        <v>0</v>
      </c>
      <c r="AD41" s="82">
        <f>AC41*(1+Forecast!$F$2)</f>
        <v>0</v>
      </c>
      <c r="AE41" s="82">
        <f>AD41*(1+Forecast!$F$2)</f>
        <v>0</v>
      </c>
      <c r="AF41" s="82">
        <f>AE41*(1+Forecast!$F$2)</f>
        <v>0</v>
      </c>
      <c r="AG41" s="82">
        <f>AF41*(1+Forecast!$F$2)</f>
        <v>0</v>
      </c>
      <c r="AH41" s="82">
        <f>AG41*(1+Forecast!$F$2)</f>
        <v>0</v>
      </c>
      <c r="AI41" s="82">
        <f>AH41*(1+Forecast!$F$2)</f>
        <v>0</v>
      </c>
      <c r="AJ41" s="82">
        <f>AI41*(1+Forecast!$F$2)</f>
        <v>0</v>
      </c>
      <c r="AK41" s="82">
        <f>AJ41*(1+Forecast!$F$2)</f>
        <v>0</v>
      </c>
      <c r="AL41" s="82">
        <f>AK41*(1+Forecast!$F$2)</f>
        <v>0</v>
      </c>
      <c r="AM41" s="82">
        <f>AL41*(1+Forecast!$F$2)</f>
        <v>0</v>
      </c>
    </row>
    <row r="42" spans="2:39" ht="16" customHeight="1" thickBot="1">
      <c r="B42" s="142" t="s">
        <v>107</v>
      </c>
      <c r="C42" s="143"/>
      <c r="D42" s="143"/>
      <c r="E42" s="144"/>
      <c r="F42" s="93">
        <f>SUM(F3:F41)</f>
        <v>7936.65</v>
      </c>
      <c r="G42"/>
      <c r="H42"/>
      <c r="I42"/>
      <c r="J42" s="106">
        <f t="shared" ref="J42" si="2">SUM(J3:J41)</f>
        <v>7936.65</v>
      </c>
      <c r="K42" s="106">
        <f t="shared" ref="K42" si="3">SUM(K3:K41)</f>
        <v>8174.7494999999999</v>
      </c>
      <c r="L42" s="106">
        <f t="shared" ref="L42" si="4">SUM(L3:L41)</f>
        <v>8419.9919850000006</v>
      </c>
      <c r="M42" s="106">
        <f t="shared" ref="M42" si="5">SUM(M3:M41)</f>
        <v>8672.5917445499999</v>
      </c>
      <c r="N42" s="106">
        <f t="shared" ref="N42" si="6">SUM(N3:N41)</f>
        <v>8932.7694968865017</v>
      </c>
      <c r="O42" s="106">
        <f t="shared" ref="O42" si="7">SUM(O3:O41)</f>
        <v>9200.7525817930928</v>
      </c>
      <c r="P42" s="106">
        <f t="shared" ref="P42" si="8">SUM(P3:P41)</f>
        <v>9476.7751592468885</v>
      </c>
      <c r="Q42" s="106">
        <f t="shared" ref="Q42" si="9">SUM(Q3:Q41)</f>
        <v>9761.0784140242959</v>
      </c>
      <c r="R42" s="106">
        <f t="shared" ref="R42" si="10">SUM(R3:R41)</f>
        <v>10053.910766445026</v>
      </c>
      <c r="S42" s="106">
        <f t="shared" ref="S42" si="11">SUM(S3:S41)</f>
        <v>10355.528089438376</v>
      </c>
      <c r="T42" s="106">
        <f t="shared" ref="T42" si="12">SUM(T3:T41)</f>
        <v>10666.193932121529</v>
      </c>
      <c r="U42" s="106">
        <f t="shared" ref="U42" si="13">SUM(U3:U41)</f>
        <v>10986.179750085172</v>
      </c>
      <c r="V42" s="106">
        <f t="shared" ref="V42" si="14">SUM(V3:V41)</f>
        <v>11315.765142587728</v>
      </c>
      <c r="W42" s="106">
        <f t="shared" ref="W42" si="15">SUM(W3:W41)</f>
        <v>11655.23809686536</v>
      </c>
      <c r="X42" s="106">
        <f t="shared" ref="X42" si="16">SUM(X3:X41)</f>
        <v>12004.895239771322</v>
      </c>
      <c r="Y42" s="106">
        <f t="shared" ref="Y42" si="17">SUM(Y3:Y41)</f>
        <v>12365.042096964464</v>
      </c>
      <c r="Z42" s="106">
        <f t="shared" ref="Z42" si="18">SUM(Z3:Z41)</f>
        <v>12735.993359873399</v>
      </c>
      <c r="AA42" s="106">
        <f t="shared" ref="AA42" si="19">SUM(AA3:AA41)</f>
        <v>13118.073160669599</v>
      </c>
      <c r="AB42" s="106">
        <f t="shared" ref="AB42" si="20">SUM(AB3:AB41)</f>
        <v>13511.615355489686</v>
      </c>
      <c r="AC42" s="106">
        <f t="shared" ref="AC42" si="21">SUM(AC3:AC41)</f>
        <v>13916.963816154381</v>
      </c>
      <c r="AD42" s="106">
        <f t="shared" ref="AD42" si="22">SUM(AD3:AD41)</f>
        <v>14334.47273063901</v>
      </c>
      <c r="AE42" s="106">
        <f t="shared" ref="AE42" si="23">SUM(AE3:AE41)</f>
        <v>14764.506912558179</v>
      </c>
      <c r="AF42" s="106">
        <f t="shared" ref="AF42" si="24">SUM(AF3:AF41)</f>
        <v>15207.442119934927</v>
      </c>
      <c r="AG42" s="106">
        <f t="shared" ref="AG42" si="25">SUM(AG3:AG41)</f>
        <v>15663.665383532974</v>
      </c>
      <c r="AH42" s="106">
        <f t="shared" ref="AH42" si="26">SUM(AH3:AH41)</f>
        <v>16133.575345038964</v>
      </c>
      <c r="AI42" s="106">
        <f t="shared" ref="AI42" si="27">SUM(AI3:AI41)</f>
        <v>16617.582605390133</v>
      </c>
      <c r="AJ42" s="106">
        <f t="shared" ref="AJ42" si="28">SUM(AJ3:AJ41)</f>
        <v>17116.110083551837</v>
      </c>
      <c r="AK42" s="106">
        <f t="shared" ref="AK42" si="29">SUM(AK3:AK41)</f>
        <v>17629.593386058394</v>
      </c>
      <c r="AL42" s="106">
        <f t="shared" ref="AL42" si="30">SUM(AL3:AL41)</f>
        <v>18158.481187640147</v>
      </c>
      <c r="AM42" s="106">
        <f t="shared" ref="AM42" si="31">SUM(AM3:AM41)</f>
        <v>18703.235623269353</v>
      </c>
    </row>
  </sheetData>
  <mergeCells count="1">
    <mergeCell ref="B42:E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2:CC368"/>
  <sheetViews>
    <sheetView topLeftCell="D2" zoomScale="80" zoomScaleNormal="80" workbookViewId="0">
      <pane xSplit="3" ySplit="7" topLeftCell="G9" activePane="bottomRight" state="frozen"/>
      <selection activeCell="F23" activeCellId="8" sqref="F6:F9 F18 F19 F10 F11 F12 F13 F22 F23"/>
      <selection pane="topRight" activeCell="F23" activeCellId="8" sqref="F6:F9 F18 F19 F10 F11 F12 F13 F22 F23"/>
      <selection pane="bottomLeft" activeCell="F23" activeCellId="8" sqref="F6:F9 F18 F19 F10 F11 F12 F13 F22 F23"/>
      <selection pane="bottomRight" activeCell="K10" sqref="K10"/>
    </sheetView>
  </sheetViews>
  <sheetFormatPr defaultRowHeight="14.5" outlineLevelCol="1"/>
  <cols>
    <col min="1" max="3" width="2.453125" customWidth="1"/>
    <col min="4" max="4" width="9.81640625" customWidth="1"/>
    <col min="5" max="5" width="12.54296875" customWidth="1"/>
    <col min="6" max="6" width="12.90625" bestFit="1" customWidth="1"/>
    <col min="7" max="7" width="6.7265625" customWidth="1" outlineLevel="1"/>
    <col min="8" max="8" width="8.54296875" customWidth="1" outlineLevel="1"/>
    <col min="9" max="9" width="14.7265625" style="26" customWidth="1" outlineLevel="1"/>
    <col min="10" max="10" width="17.36328125" customWidth="1" outlineLevel="1"/>
    <col min="11" max="11" width="19.54296875" style="27" customWidth="1" outlineLevel="1"/>
    <col min="12" max="12" width="20.08984375" style="27" customWidth="1" outlineLevel="1"/>
    <col min="13" max="13" width="17.08984375" style="27" customWidth="1" outlineLevel="1"/>
    <col min="14" max="14" width="17.7265625" style="27" customWidth="1" outlineLevel="1"/>
    <col min="15" max="15" width="2" style="27" customWidth="1"/>
    <col min="16" max="16" width="9.36328125" style="27" hidden="1" customWidth="1" outlineLevel="1"/>
    <col min="17" max="17" width="20.26953125" hidden="1" customWidth="1" outlineLevel="1"/>
    <col min="18" max="21" width="16.7265625" hidden="1" customWidth="1" outlineLevel="1"/>
    <col min="22" max="22" width="1.90625" hidden="1" customWidth="1" outlineLevel="1"/>
    <col min="23" max="23" width="9.36328125" hidden="1" customWidth="1" outlineLevel="1" collapsed="1"/>
    <col min="24" max="24" width="21.7265625" hidden="1" customWidth="1" outlineLevel="1"/>
    <col min="25" max="28" width="16.7265625" hidden="1" customWidth="1" outlineLevel="1"/>
    <col min="29" max="29" width="2" hidden="1" customWidth="1" outlineLevel="1"/>
    <col min="30" max="30" width="9.36328125" hidden="1" customWidth="1" outlineLevel="1" collapsed="1"/>
    <col min="31" max="31" width="20.6328125" hidden="1" customWidth="1" outlineLevel="1"/>
    <col min="32" max="35" width="16.7265625" hidden="1" customWidth="1" outlineLevel="1"/>
    <col min="36" max="36" width="0" hidden="1" customWidth="1" outlineLevel="1"/>
    <col min="37" max="37" width="9.90625" customWidth="1" collapsed="1"/>
    <col min="38" max="38" width="9.453125" customWidth="1"/>
    <col min="39" max="39" width="11.08984375" bestFit="1" customWidth="1"/>
    <col min="40" max="40" width="10.453125" bestFit="1" customWidth="1"/>
    <col min="41" max="41" width="11.26953125" customWidth="1"/>
    <col min="42" max="42" width="10.6328125" customWidth="1"/>
    <col min="43" max="43" width="15.1796875" customWidth="1"/>
    <col min="44" max="45" width="14.54296875" customWidth="1"/>
    <col min="46" max="46" width="12.1796875" customWidth="1"/>
    <col min="47" max="48" width="14.54296875" customWidth="1"/>
    <col min="49" max="49" width="3.26953125" customWidth="1"/>
    <col min="50" max="50" width="16.6328125" customWidth="1"/>
    <col min="51" max="51" width="17.36328125" customWidth="1"/>
    <col min="52" max="52" width="16.453125" style="27" customWidth="1"/>
    <col min="53" max="67" width="10.453125" style="27" customWidth="1"/>
    <col min="68" max="76" width="9" style="27" customWidth="1"/>
    <col min="77" max="78" width="7.90625" style="27" customWidth="1"/>
    <col min="79" max="80" width="5.08984375" style="27" customWidth="1"/>
    <col min="81" max="81" width="20.1796875" style="27" customWidth="1"/>
    <col min="82" max="82" width="20" customWidth="1"/>
    <col min="83" max="83" width="20.1796875" customWidth="1"/>
    <col min="84" max="84" width="20" customWidth="1"/>
    <col min="85" max="85" width="20.1796875" customWidth="1"/>
    <col min="86" max="86" width="20" customWidth="1"/>
    <col min="87" max="87" width="20.1796875" customWidth="1"/>
    <col min="88" max="88" width="20" customWidth="1"/>
    <col min="89" max="89" width="20.1796875" customWidth="1"/>
    <col min="90" max="90" width="20" customWidth="1"/>
    <col min="91" max="91" width="20.1796875" customWidth="1"/>
    <col min="92" max="92" width="20" customWidth="1"/>
    <col min="93" max="93" width="20.1796875" customWidth="1"/>
    <col min="94" max="94" width="20" customWidth="1"/>
    <col min="95" max="95" width="20.1796875" customWidth="1"/>
    <col min="96" max="96" width="20" customWidth="1"/>
    <col min="97" max="97" width="20.1796875" customWidth="1"/>
    <col min="98" max="98" width="20" customWidth="1"/>
    <col min="99" max="99" width="20.1796875" customWidth="1"/>
    <col min="100" max="100" width="20" customWidth="1"/>
    <col min="101" max="101" width="20.1796875" customWidth="1"/>
    <col min="102" max="102" width="20" customWidth="1"/>
    <col min="103" max="103" width="20.1796875" customWidth="1"/>
    <col min="104" max="104" width="20" customWidth="1"/>
    <col min="105" max="105" width="20.1796875" customWidth="1"/>
    <col min="106" max="106" width="20" customWidth="1"/>
    <col min="107" max="107" width="20.1796875" customWidth="1"/>
    <col min="108" max="108" width="20" customWidth="1"/>
    <col min="109" max="109" width="26.54296875" customWidth="1"/>
    <col min="110" max="110" width="23.36328125" customWidth="1"/>
  </cols>
  <sheetData>
    <row r="2" spans="4:81">
      <c r="F2" s="24"/>
      <c r="G2" s="24"/>
      <c r="H2" s="25"/>
      <c r="J2" s="23" t="s">
        <v>110</v>
      </c>
      <c r="K2" s="31">
        <f>Liabilities!E3+Liabilities!E4</f>
        <v>82426.27</v>
      </c>
      <c r="Q2" s="63" t="s">
        <v>110</v>
      </c>
      <c r="R2" s="66">
        <f>Liabilities!E10+Liabilities!E5+Liabilities!E7</f>
        <v>541251.43999999994</v>
      </c>
      <c r="S2" t="s">
        <v>130</v>
      </c>
      <c r="X2" s="59" t="s">
        <v>110</v>
      </c>
      <c r="Y2" s="62">
        <f>Liabilities!E6+Liabilities!E9</f>
        <v>457164.26</v>
      </c>
      <c r="AE2" s="55" t="s">
        <v>110</v>
      </c>
      <c r="AF2" s="58">
        <f>Liabilities!E8+Liabilities!E11</f>
        <v>929452.01</v>
      </c>
    </row>
    <row r="3" spans="4:81" ht="16.5" customHeight="1">
      <c r="F3" s="24"/>
      <c r="G3" s="24"/>
      <c r="H3" s="25"/>
      <c r="J3" s="23" t="s">
        <v>111</v>
      </c>
      <c r="K3" s="28">
        <v>6.0299999999999999E-2</v>
      </c>
      <c r="Q3" s="63" t="s">
        <v>111</v>
      </c>
      <c r="R3" s="64">
        <f>Liabilities!G10</f>
        <v>6.1899999999999997E-2</v>
      </c>
      <c r="X3" s="59" t="s">
        <v>111</v>
      </c>
      <c r="Y3" s="60">
        <f>Liabilities!G9</f>
        <v>6.1899999999999997E-2</v>
      </c>
      <c r="AE3" s="55" t="s">
        <v>111</v>
      </c>
      <c r="AF3" s="56">
        <f>Liabilities!G11</f>
        <v>6.3299999999999995E-2</v>
      </c>
    </row>
    <row r="4" spans="4:81">
      <c r="F4" s="24"/>
      <c r="G4" s="24"/>
      <c r="H4" s="25"/>
      <c r="J4" s="23" t="s">
        <v>112</v>
      </c>
      <c r="K4" s="29">
        <f>30*12</f>
        <v>360</v>
      </c>
      <c r="Q4" s="63" t="s">
        <v>112</v>
      </c>
      <c r="R4" s="46">
        <f>30*12</f>
        <v>360</v>
      </c>
      <c r="X4" s="59" t="s">
        <v>112</v>
      </c>
      <c r="Y4" s="52">
        <f>30*12</f>
        <v>360</v>
      </c>
      <c r="AE4" s="55" t="s">
        <v>112</v>
      </c>
      <c r="AF4" s="49">
        <f>30*12</f>
        <v>360</v>
      </c>
    </row>
    <row r="5" spans="4:81" ht="28.5" customHeight="1">
      <c r="D5" s="73" t="s">
        <v>131</v>
      </c>
      <c r="E5" s="74">
        <v>46203</v>
      </c>
      <c r="F5" s="24"/>
      <c r="G5" s="24"/>
      <c r="H5" s="25"/>
      <c r="J5" s="30" t="s">
        <v>113</v>
      </c>
      <c r="K5" s="29">
        <v>12</v>
      </c>
      <c r="Q5" s="65" t="s">
        <v>126</v>
      </c>
      <c r="R5" s="46">
        <v>12</v>
      </c>
      <c r="X5" s="61" t="s">
        <v>126</v>
      </c>
      <c r="Y5" s="52">
        <v>12</v>
      </c>
      <c r="AE5" s="57" t="s">
        <v>126</v>
      </c>
      <c r="AF5" s="49">
        <v>12</v>
      </c>
    </row>
    <row r="6" spans="4:81" ht="16.5" customHeight="1">
      <c r="F6" s="24"/>
      <c r="G6" s="24"/>
      <c r="H6" s="25"/>
      <c r="J6" s="30" t="s">
        <v>39</v>
      </c>
      <c r="K6" s="31">
        <f>Liabilities!H3+Liabilities!H4</f>
        <v>1638</v>
      </c>
      <c r="Q6" s="65" t="s">
        <v>39</v>
      </c>
      <c r="R6" s="66">
        <f>Liabilities!H10+Liabilities!H7+Liabilities!H5</f>
        <v>3781</v>
      </c>
      <c r="X6" s="61" t="s">
        <v>39</v>
      </c>
      <c r="Y6" s="62">
        <f>Liabilities!H6+Liabilities!H9</f>
        <v>2884</v>
      </c>
      <c r="AE6" s="57" t="s">
        <v>39</v>
      </c>
      <c r="AF6" s="58">
        <f>Liabilities!H8+Liabilities!H11</f>
        <v>6042</v>
      </c>
      <c r="AP6" t="s">
        <v>39</v>
      </c>
      <c r="AQ6" s="104">
        <f>K6+R6+Y6</f>
        <v>8303</v>
      </c>
    </row>
    <row r="7" spans="4:81">
      <c r="F7" s="24"/>
      <c r="G7" s="24"/>
      <c r="H7" s="25"/>
      <c r="I7" s="145" t="s">
        <v>124</v>
      </c>
      <c r="J7" s="145"/>
      <c r="K7" s="145"/>
      <c r="L7" s="145"/>
      <c r="M7" s="145"/>
      <c r="N7" s="145"/>
      <c r="O7" s="54"/>
      <c r="P7" s="145" t="s">
        <v>20</v>
      </c>
      <c r="Q7" s="145"/>
      <c r="R7" s="145"/>
      <c r="S7" s="145"/>
      <c r="T7" s="145"/>
      <c r="U7" s="145"/>
      <c r="W7" s="145" t="s">
        <v>35</v>
      </c>
      <c r="X7" s="145"/>
      <c r="Y7" s="145"/>
      <c r="Z7" s="145"/>
      <c r="AA7" s="145"/>
      <c r="AB7" s="145"/>
      <c r="AD7" s="145" t="s">
        <v>125</v>
      </c>
      <c r="AE7" s="145"/>
      <c r="AF7" s="145"/>
      <c r="AG7" s="145"/>
      <c r="AH7" s="145"/>
      <c r="AI7" s="145"/>
    </row>
    <row r="8" spans="4:81" ht="30" customHeight="1">
      <c r="D8" s="32" t="s">
        <v>114</v>
      </c>
      <c r="E8" s="33" t="s">
        <v>115</v>
      </c>
      <c r="F8" s="32" t="s">
        <v>116</v>
      </c>
      <c r="G8" s="32" t="s">
        <v>132</v>
      </c>
      <c r="H8" s="32" t="s">
        <v>117</v>
      </c>
      <c r="I8" s="26" t="s">
        <v>118</v>
      </c>
      <c r="J8" t="s">
        <v>119</v>
      </c>
      <c r="K8" s="27" t="s">
        <v>120</v>
      </c>
      <c r="L8" s="27" t="s">
        <v>121</v>
      </c>
      <c r="M8" s="27" t="s">
        <v>127</v>
      </c>
      <c r="N8" s="27" t="s">
        <v>122</v>
      </c>
      <c r="P8" s="45" t="s">
        <v>118</v>
      </c>
      <c r="Q8" s="45" t="s">
        <v>119</v>
      </c>
      <c r="R8" s="47" t="s">
        <v>120</v>
      </c>
      <c r="S8" s="47" t="s">
        <v>121</v>
      </c>
      <c r="T8" s="67" t="s">
        <v>127</v>
      </c>
      <c r="U8" s="47" t="s">
        <v>122</v>
      </c>
      <c r="W8" s="51" t="s">
        <v>118</v>
      </c>
      <c r="X8" s="51" t="s">
        <v>119</v>
      </c>
      <c r="Y8" s="53" t="s">
        <v>120</v>
      </c>
      <c r="Z8" s="53" t="s">
        <v>121</v>
      </c>
      <c r="AA8" s="68" t="s">
        <v>127</v>
      </c>
      <c r="AB8" s="53" t="s">
        <v>122</v>
      </c>
      <c r="AD8" s="48" t="s">
        <v>118</v>
      </c>
      <c r="AE8" s="49" t="s">
        <v>119</v>
      </c>
      <c r="AF8" s="50" t="s">
        <v>120</v>
      </c>
      <c r="AG8" s="50" t="s">
        <v>121</v>
      </c>
      <c r="AH8" s="69" t="s">
        <v>127</v>
      </c>
      <c r="AI8" s="69" t="s">
        <v>122</v>
      </c>
      <c r="AK8" s="130" t="s">
        <v>115</v>
      </c>
      <c r="AL8" s="130" t="s">
        <v>134</v>
      </c>
      <c r="AM8" s="130" t="s">
        <v>151</v>
      </c>
      <c r="AN8" s="130" t="s">
        <v>152</v>
      </c>
      <c r="AO8" s="130" t="s">
        <v>155</v>
      </c>
      <c r="AP8" s="130" t="s">
        <v>194</v>
      </c>
      <c r="AQ8" s="130" t="s">
        <v>190</v>
      </c>
      <c r="AR8" s="130" t="s">
        <v>191</v>
      </c>
      <c r="AS8" s="130" t="s">
        <v>192</v>
      </c>
      <c r="AT8" s="130" t="s">
        <v>217</v>
      </c>
      <c r="AU8" s="130" t="s">
        <v>139</v>
      </c>
      <c r="AV8" s="130" t="s">
        <v>133</v>
      </c>
    </row>
    <row r="9" spans="4:81">
      <c r="D9">
        <v>1</v>
      </c>
      <c r="E9">
        <f t="shared" ref="E9:E44" si="0">IF(MONTH(EDATE($E$5,D9))&lt;7,YEAR(EDATE($E$5,D9)),YEAR(EDATE($E$5,D9))+1)</f>
        <v>2027</v>
      </c>
      <c r="F9" s="35">
        <f t="shared" ref="F9:F44" si="1">EDATE($E$5,D9)</f>
        <v>46233</v>
      </c>
      <c r="G9" s="36">
        <f t="shared" ref="G9:G72" si="2">MONTH(F9)</f>
        <v>7</v>
      </c>
      <c r="H9" s="36">
        <f>DAY(EOMONTH(F9,0))</f>
        <v>31</v>
      </c>
      <c r="I9" s="37" t="s">
        <v>123</v>
      </c>
      <c r="J9" s="27">
        <f>K2</f>
        <v>82426.27</v>
      </c>
      <c r="K9" s="27">
        <f>(IF(I9="PI",J9,IF(ISNUMBER(N8),N8,J9))*$K$3/365*$H9*IF(J9&gt;0,1,0))</f>
        <v>422.13541509863012</v>
      </c>
      <c r="L9" s="27">
        <f>IF(I9="IO",0,$K$6-K9)*IF(J9&gt;0,1,0)</f>
        <v>1215.8645849013699</v>
      </c>
      <c r="M9" s="27">
        <f>IF(I9="IO",$K$6-K9+IF(ISNUMBER(M8),M8,0),IF(ISNUMBER(M8),M8,0))</f>
        <v>0</v>
      </c>
      <c r="N9" s="27">
        <f>(J9+K9-$K$6-IF(I9="PI",0,M9))*IF(J9&gt;0,1,0)</f>
        <v>81210.405415098634</v>
      </c>
      <c r="P9" s="72" t="s">
        <v>123</v>
      </c>
      <c r="Q9" s="42">
        <f>R2</f>
        <v>541251.43999999994</v>
      </c>
      <c r="R9" s="42">
        <f t="shared" ref="R9:R72" si="3">(IF(P9="PI",Q9,IF(ISNUMBER(U8),U8,Q9))*$R$3/365*$H9*IF(Q9&gt;0,1,0))</f>
        <v>2845.4996937424658</v>
      </c>
      <c r="S9" s="42">
        <f>IF(P9="IO",0,$R$6-R9)*IF(Q9&gt;0,1,0)</f>
        <v>935.50030625753425</v>
      </c>
      <c r="T9" s="42">
        <f>IF(P9="IO",$R$6-R9+IF(ISNUMBER(T8),T8,0),IF(ISNUMBER(T8),T8,0))</f>
        <v>0</v>
      </c>
      <c r="U9" s="43">
        <f>(Q9+R9-$R$6-IF(P9="PI",0,T9))*IF(Q9&gt;0,1,0)</f>
        <v>540315.93969374243</v>
      </c>
      <c r="W9" s="72" t="s">
        <v>123</v>
      </c>
      <c r="X9" s="42">
        <f>Y2</f>
        <v>457164.26</v>
      </c>
      <c r="Y9" s="42">
        <f t="shared" ref="Y9:Y72" si="4">(IF(W9="PI",X9,IF(ISNUMBER(AB8),AB8,X9))*$Y$3/365*$H9*IF(X9&gt;0,1,0))</f>
        <v>2403.4315027780822</v>
      </c>
      <c r="Z9" s="42">
        <f>IF(W9="IO",0,$Y$6-Y9)*IF(X9&gt;0,1,0)</f>
        <v>480.56849722191782</v>
      </c>
      <c r="AA9" s="42">
        <f>IF(W9="IO",$Y$6-Y9+IF(ISNUMBER(AA8),AA8,0),IF(ISNUMBER(AA8),AA8,0))</f>
        <v>0</v>
      </c>
      <c r="AB9" s="43">
        <f>(X9+Y9-$Y$6-IF(W9="PI",0,AA9))*IF(X9&gt;0,1,0)</f>
        <v>456683.69150277809</v>
      </c>
      <c r="AD9" s="72" t="s">
        <v>123</v>
      </c>
      <c r="AE9" s="42">
        <f>AF2</f>
        <v>929452.01</v>
      </c>
      <c r="AF9" s="42">
        <f t="shared" ref="AF9:AF72" si="5">(IF(AD9="PI",AE9,IF(ISNUMBER(AI8),AI8,AE9))*$AF$3/365*$H9*IF(AE9&gt;0,1,0))</f>
        <v>4996.8867923917805</v>
      </c>
      <c r="AG9" s="42">
        <f>IF(AD9="IO",0,$AF$6-AF9)*IF(AE9&gt;0,1,0)</f>
        <v>1045.1132076082195</v>
      </c>
      <c r="AH9" s="42">
        <f>IF(AD9="IO",$AF$6-AF9+IF(ISNUMBER(AH8),AH8,0),IF(ISNUMBER(AH8),AH8,0))</f>
        <v>0</v>
      </c>
      <c r="AI9" s="43">
        <f>(AE9+AF9-$AF$6-IF(AD9="PI",0,AH9))*IF(AE9&gt;0,1,0)</f>
        <v>928406.89679239178</v>
      </c>
      <c r="AK9" s="101">
        <f>E9</f>
        <v>2027</v>
      </c>
      <c r="AL9" s="101">
        <f t="shared" ref="AL9:AL72" si="6">G9</f>
        <v>7</v>
      </c>
      <c r="AM9" s="118">
        <f>R9</f>
        <v>2845.4996937424658</v>
      </c>
      <c r="AN9" s="100">
        <f>Y9</f>
        <v>2403.4315027780822</v>
      </c>
      <c r="AO9" s="100">
        <f>AF9</f>
        <v>4996.8867923917805</v>
      </c>
      <c r="AP9" s="100">
        <f>AM9+AN9</f>
        <v>5248.9311965205479</v>
      </c>
      <c r="AQ9" s="1">
        <f>K6+R6+Y6</f>
        <v>8303</v>
      </c>
      <c r="AR9" s="100">
        <f>N9+U9+AB9</f>
        <v>1078210.0366116192</v>
      </c>
      <c r="AS9" s="100">
        <f>AP9+AO9</f>
        <v>10245.817988912328</v>
      </c>
      <c r="AT9" s="100">
        <f>L9+S9+Z9+AG9</f>
        <v>3677.0465959890416</v>
      </c>
      <c r="AU9" s="1">
        <f>AS9+AT9</f>
        <v>13922.86458490137</v>
      </c>
      <c r="AV9" s="100">
        <f>N9+U9+AB9+AI9</f>
        <v>2006616.933404011</v>
      </c>
      <c r="AY9" s="102" t="s">
        <v>134</v>
      </c>
      <c r="AZ9" s="119">
        <v>6</v>
      </c>
    </row>
    <row r="10" spans="4:81">
      <c r="D10">
        <f>D9+1</f>
        <v>2</v>
      </c>
      <c r="E10">
        <f t="shared" si="0"/>
        <v>2027</v>
      </c>
      <c r="F10" s="35">
        <f t="shared" si="1"/>
        <v>46264</v>
      </c>
      <c r="G10" s="36">
        <f t="shared" si="2"/>
        <v>8</v>
      </c>
      <c r="H10" s="36">
        <f t="shared" ref="H10:H44" si="7">DAY(EOMONTH(F10,0))</f>
        <v>31</v>
      </c>
      <c r="I10" s="37" t="s">
        <v>123</v>
      </c>
      <c r="J10" s="27">
        <f>IF(I10="PI",IF(N9&lt;=0,0,N9),(IF(I10="IO",J9,"")))*IF(N9&lt;=0,0,1)</f>
        <v>81210.405415098634</v>
      </c>
      <c r="K10" s="27">
        <f t="shared" ref="K10:K73" si="8">(IF(I10="PI",J10,IF(ISNUMBER(N9),N9,J10))*$K$3/365*$H10*IF(J10&gt;0,1,0))</f>
        <v>415.90852285601056</v>
      </c>
      <c r="L10" s="27">
        <f>IF(I10="IO",0,$K$6-K10)*IF(J10&gt;0,1,0)</f>
        <v>1222.0914771439893</v>
      </c>
      <c r="M10" s="27">
        <f t="shared" ref="M10:M73" si="9">IF(I10="IO",$K$6-K10+IF(ISNUMBER(M9),M9,0),IF(ISNUMBER(M9),M9,0))</f>
        <v>0</v>
      </c>
      <c r="N10" s="27">
        <f t="shared" ref="N10:N73" si="10">(J10+K10-$K$6-IF(I10="PI",0,M10))*IF(J10&gt;0,1,0)</f>
        <v>79988.313937954648</v>
      </c>
      <c r="P10" s="72" t="s">
        <v>123</v>
      </c>
      <c r="Q10" s="44">
        <f>IF(P10="PI",IF(U9&lt;=0,0,U9),(IF(P10="IO",Q9,"")))*IF(U9&lt;=0,0,1)</f>
        <v>540315.93969374243</v>
      </c>
      <c r="R10" s="44">
        <f t="shared" si="3"/>
        <v>2840.5815251460886</v>
      </c>
      <c r="S10" s="44">
        <f>IF(P10="IO",0,$R$6-R10)*IF(Q10&gt;0,1,0)</f>
        <v>940.41847485391145</v>
      </c>
      <c r="T10" s="44">
        <f>IF(P10="IO",$R$6-R10+IF(ISNUMBER(T9),T9,0),IF(ISNUMBER(T9),T9,0))</f>
        <v>0</v>
      </c>
      <c r="U10" s="43">
        <f t="shared" ref="U10:U73" si="11">(Q10+R10-$R$6-IF(P10="PI",0,T10))*IF(Q10&gt;0,1,0)</f>
        <v>539375.52121888858</v>
      </c>
      <c r="W10" s="72" t="s">
        <v>123</v>
      </c>
      <c r="X10" s="44">
        <f>IF(W10="PI",IF(AB9&lt;=0,0,AB9),(IF(W10="IO",X9,"")))*IF(AB9&lt;=0,0,1)</f>
        <v>456683.69150277809</v>
      </c>
      <c r="Y10" s="44">
        <f t="shared" si="4"/>
        <v>2400.9050291087146</v>
      </c>
      <c r="Z10" s="44">
        <f>IF(W10="IO",0,$Y$6-Y10)*IF(X10&gt;0,1,0)</f>
        <v>483.09497089128536</v>
      </c>
      <c r="AA10" s="44">
        <f>IF(W10="IO",$Y$6-Y10+IF(ISNUMBER(AA9),AA9,0),IF(ISNUMBER(AA9),AA9,0))</f>
        <v>0</v>
      </c>
      <c r="AB10" s="43">
        <f t="shared" ref="AB10:AB73" si="12">(X10+Y10-$Y$6-IF(W10="PI",0,AA10))*IF(X10&gt;0,1,0)</f>
        <v>456200.59653188678</v>
      </c>
      <c r="AD10" s="72" t="s">
        <v>123</v>
      </c>
      <c r="AE10" s="44">
        <f>IF(AD10="PI",IF(AI9&lt;=0,0,AI9),(IF(AD10="IO",AE9,"")))*IF(AI9&lt;=0,0,1)</f>
        <v>928406.89679239178</v>
      </c>
      <c r="AF10" s="44">
        <f t="shared" si="5"/>
        <v>4991.2680919882469</v>
      </c>
      <c r="AG10" s="44">
        <f>IF(AD10="IO",0,$AF$6-AF10)*IF(AE10&gt;0,1,0)</f>
        <v>1050.7319080117531</v>
      </c>
      <c r="AH10" s="44">
        <f>IF(AD10="IO",$AF$6-AF10+IF(ISNUMBER(AH9),AH9,0),IF(ISNUMBER(AH9),AH9,0))</f>
        <v>0</v>
      </c>
      <c r="AI10" s="43">
        <f t="shared" ref="AI10:AI73" si="13">(AE10+AF10-$AF$6-IF(AD10="PI",0,AH10))*IF(AE10&gt;0,1,0)</f>
        <v>927356.16488438006</v>
      </c>
      <c r="AK10" s="101">
        <f t="shared" ref="AK10" si="14">E10</f>
        <v>2027</v>
      </c>
      <c r="AL10" s="101">
        <f t="shared" si="6"/>
        <v>8</v>
      </c>
      <c r="AM10" s="118">
        <f>IF($AK10=$AK9,R10+AM9,R10)</f>
        <v>5686.0812188885538</v>
      </c>
      <c r="AN10" s="100">
        <f>IF($AK10=$AK9,Y10+AN9,Y10)</f>
        <v>4804.3365318867964</v>
      </c>
      <c r="AO10" s="100">
        <f>IF($AK10=$AK9,AF10+AO9,AF10)</f>
        <v>9988.1548843800265</v>
      </c>
      <c r="AP10" s="100">
        <f>AM10+AN10</f>
        <v>10490.41775077535</v>
      </c>
      <c r="AQ10" s="1">
        <f>IF(AK10=AK9,AQ9,0)+
IF(J10&gt;0,$K$6,0)+
IF(Q10&gt;0,$R$6,0)+
IF(X10&gt;0,$Y$6,0)</f>
        <v>16606</v>
      </c>
      <c r="AR10" s="100">
        <f t="shared" ref="AR10:AR73" si="15">N10+U10+AB10</f>
        <v>1075564.4316887299</v>
      </c>
      <c r="AS10" s="100">
        <f t="shared" ref="AS10:AS73" si="16">AP10+AO10</f>
        <v>20478.572635155375</v>
      </c>
      <c r="AT10" s="100">
        <f>IF(AK10=AK9,AT9,0)+
IF(J10&gt;0,L10,0)+
IF(Q10&gt;0,S10,0)+
IF(X10&gt;0,Z10,0)+
IF(AE10&gt;0,AG10,0)</f>
        <v>7373.38342688998</v>
      </c>
      <c r="AU10" s="1">
        <f t="shared" ref="AU10:AU73" si="17">AS10+AT10</f>
        <v>27851.956062045356</v>
      </c>
      <c r="AV10" s="100">
        <f t="shared" ref="AV10:AV73" si="18">N10+U10+AB10+AI10</f>
        <v>2002920.59657311</v>
      </c>
    </row>
    <row r="11" spans="4:81">
      <c r="D11">
        <f t="shared" ref="D11:D74" si="19">D10+1</f>
        <v>3</v>
      </c>
      <c r="E11">
        <f t="shared" si="0"/>
        <v>2027</v>
      </c>
      <c r="F11" s="35">
        <f t="shared" si="1"/>
        <v>46295</v>
      </c>
      <c r="G11" s="36">
        <f t="shared" si="2"/>
        <v>9</v>
      </c>
      <c r="H11" s="36">
        <f t="shared" si="7"/>
        <v>30</v>
      </c>
      <c r="I11" s="37" t="s">
        <v>123</v>
      </c>
      <c r="J11" s="27">
        <f t="shared" ref="J11:J74" si="20">IF(I11="PI",IF(N10&lt;=0,0,N10),(IF(I11="IO",J10,"")))*IF(N10&lt;=0,0,1)</f>
        <v>79988.313937954648</v>
      </c>
      <c r="K11" s="27">
        <f t="shared" si="8"/>
        <v>396.43523264043824</v>
      </c>
      <c r="L11" s="27">
        <f t="shared" ref="L11:L74" si="21">IF(I11="IO",0,$K$6-K11)*IF(J11&gt;0,1,0)</f>
        <v>1241.5647673595618</v>
      </c>
      <c r="M11" s="27">
        <f t="shared" si="9"/>
        <v>0</v>
      </c>
      <c r="N11" s="27">
        <f t="shared" si="10"/>
        <v>78746.749170595082</v>
      </c>
      <c r="P11" s="72" t="s">
        <v>123</v>
      </c>
      <c r="Q11" s="44">
        <f t="shared" ref="Q11:Q44" si="22">IF(P11="PI",IF(U10&lt;=0,0,U10),(IF(P11="IO",Q10,"")))*IF(U10&lt;=0,0,1)</f>
        <v>539375.52121888858</v>
      </c>
      <c r="R11" s="44">
        <f t="shared" si="3"/>
        <v>2744.1653230232223</v>
      </c>
      <c r="S11" s="44">
        <f t="shared" ref="S11:S44" si="23">IF(P11="IO",0,$R$6-R11)*IF(Q11&gt;0,1,0)</f>
        <v>1036.8346769767777</v>
      </c>
      <c r="T11" s="44">
        <f t="shared" ref="T11:T44" si="24">IF(P11="IO",$R$6-R11+IF(ISNUMBER(T10),T10,0),IF(ISNUMBER(T10),T10,0))</f>
        <v>0</v>
      </c>
      <c r="U11" s="43">
        <f t="shared" si="11"/>
        <v>538338.6865419118</v>
      </c>
      <c r="W11" s="72" t="s">
        <v>123</v>
      </c>
      <c r="X11" s="44">
        <f t="shared" ref="X11:X74" si="25">IF(W11="PI",IF(AB10&lt;=0,0,AB10),(IF(W11="IO",X10,"")))*IF(AB10&lt;=0,0,1)</f>
        <v>456200.59653188678</v>
      </c>
      <c r="Y11" s="44">
        <f t="shared" si="4"/>
        <v>2320.9986513964759</v>
      </c>
      <c r="Z11" s="44">
        <f t="shared" ref="Z11:Z74" si="26">IF(W11="IO",0,$Y$6-Y11)*IF(X11&gt;0,1,0)</f>
        <v>563.00134860352409</v>
      </c>
      <c r="AA11" s="44">
        <f t="shared" ref="AA11:AA74" si="27">IF(W11="IO",$Y$6-Y11+IF(ISNUMBER(AA10),AA10,0),IF(ISNUMBER(AA10),AA10,0))</f>
        <v>0</v>
      </c>
      <c r="AB11" s="43">
        <f t="shared" si="12"/>
        <v>455637.59518328327</v>
      </c>
      <c r="AD11" s="72" t="s">
        <v>123</v>
      </c>
      <c r="AE11" s="44">
        <f t="shared" ref="AE11:AE74" si="28">IF(AD11="PI",IF(AI10&lt;=0,0,AI10),(IF(AD11="IO",AE10,"")))*IF(AI10&lt;=0,0,1)</f>
        <v>927356.16488438006</v>
      </c>
      <c r="AF11" s="44">
        <f t="shared" si="5"/>
        <v>4824.7927592203778</v>
      </c>
      <c r="AG11" s="44">
        <f t="shared" ref="AG11:AG74" si="29">IF(AD11="IO",0,$AF$6-AF11)*IF(AE11&gt;0,1,0)</f>
        <v>1217.2072407796222</v>
      </c>
      <c r="AH11" s="44">
        <f t="shared" ref="AH11:AH74" si="30">IF(AD11="IO",$AF$6-AF11+IF(ISNUMBER(AH10),AH10,0),IF(ISNUMBER(AH10),AH10,0))</f>
        <v>0</v>
      </c>
      <c r="AI11" s="43">
        <f t="shared" si="13"/>
        <v>926138.95764360041</v>
      </c>
      <c r="AK11" s="101">
        <f t="shared" ref="AK11:AK22" si="31">E11</f>
        <v>2027</v>
      </c>
      <c r="AL11" s="101">
        <f t="shared" si="6"/>
        <v>9</v>
      </c>
      <c r="AM11" s="118">
        <f t="shared" ref="AM11:AM74" si="32">IF($AK11=$AK10,R11+AM10,R11)</f>
        <v>8430.2465419117761</v>
      </c>
      <c r="AN11" s="100">
        <f t="shared" ref="AN11:AN74" si="33">IF($AK11=$AK10,Y11+AN10,Y11)</f>
        <v>7125.3351832832723</v>
      </c>
      <c r="AO11" s="100">
        <f t="shared" ref="AO11:AO74" si="34">IF($AK11=$AK10,AF11+AO10,AF11)</f>
        <v>14812.947643600404</v>
      </c>
      <c r="AP11" s="100">
        <f t="shared" ref="AP11:AP74" si="35">AM11+AN11</f>
        <v>15555.581725195048</v>
      </c>
      <c r="AQ11" s="1">
        <f t="shared" ref="AQ11:AQ74" si="36">IF(AK11=AK10,AQ10,0)+
IF(J11&gt;0,$K$6,0)+
IF(Q11&gt;0,$R$6,0)+
IF(X11&gt;0,$Y$6,0)</f>
        <v>24909</v>
      </c>
      <c r="AR11" s="100">
        <f t="shared" si="15"/>
        <v>1072723.0308957901</v>
      </c>
      <c r="AS11" s="100">
        <f>AM11+AN11+AO11</f>
        <v>30368.529368795455</v>
      </c>
      <c r="AT11" s="100">
        <f t="shared" ref="AT11:AT74" si="37">IF(AK11=AK10,AT10,0)+
IF(J11&gt;0,L11,0)+
IF(Q11&gt;0,S11,0)+
IF(X11&gt;0,Z11,0)+
IF(AE11&gt;0,AG11,0)</f>
        <v>11431.991460609466</v>
      </c>
      <c r="AU11" s="1">
        <f t="shared" si="17"/>
        <v>41800.520829404923</v>
      </c>
      <c r="AV11" s="100">
        <f t="shared" si="18"/>
        <v>1998861.9885393905</v>
      </c>
      <c r="AZ11" s="102" t="s">
        <v>135</v>
      </c>
      <c r="BA11"/>
      <c r="BB11"/>
      <c r="BC11"/>
      <c r="BD11"/>
      <c r="BE11"/>
      <c r="BF11"/>
      <c r="BG11"/>
      <c r="BH11"/>
      <c r="BI11"/>
      <c r="BJ11"/>
      <c r="BK11"/>
      <c r="BL11"/>
      <c r="BM11"/>
      <c r="BN11"/>
      <c r="BO11"/>
      <c r="BP11"/>
      <c r="BQ11"/>
      <c r="BR11"/>
      <c r="BS11"/>
      <c r="BT11"/>
      <c r="BU11"/>
      <c r="BV11"/>
      <c r="BW11"/>
      <c r="BX11"/>
      <c r="BY11"/>
      <c r="BZ11"/>
      <c r="CA11"/>
      <c r="CB11"/>
      <c r="CC11"/>
    </row>
    <row r="12" spans="4:81">
      <c r="D12">
        <f t="shared" si="19"/>
        <v>4</v>
      </c>
      <c r="E12">
        <f t="shared" si="0"/>
        <v>2027</v>
      </c>
      <c r="F12" s="35">
        <f t="shared" si="1"/>
        <v>46325</v>
      </c>
      <c r="G12" s="36">
        <f t="shared" si="2"/>
        <v>10</v>
      </c>
      <c r="H12" s="36">
        <f t="shared" si="7"/>
        <v>31</v>
      </c>
      <c r="I12" s="37" t="s">
        <v>123</v>
      </c>
      <c r="J12" s="27">
        <f t="shared" si="20"/>
        <v>78746.749170595082</v>
      </c>
      <c r="K12" s="27">
        <f t="shared" si="8"/>
        <v>403.29122801258461</v>
      </c>
      <c r="L12" s="27">
        <f t="shared" si="21"/>
        <v>1234.7087719874153</v>
      </c>
      <c r="M12" s="27">
        <f t="shared" si="9"/>
        <v>0</v>
      </c>
      <c r="N12" s="27">
        <f t="shared" si="10"/>
        <v>77512.040398607671</v>
      </c>
      <c r="P12" s="72" t="s">
        <v>123</v>
      </c>
      <c r="Q12" s="44">
        <f t="shared" si="22"/>
        <v>538338.6865419118</v>
      </c>
      <c r="R12" s="44">
        <f t="shared" si="3"/>
        <v>2830.1865906993821</v>
      </c>
      <c r="S12" s="44">
        <f t="shared" si="23"/>
        <v>950.81340930061788</v>
      </c>
      <c r="T12" s="44">
        <f t="shared" si="24"/>
        <v>0</v>
      </c>
      <c r="U12" s="43">
        <f t="shared" si="11"/>
        <v>537387.87313261116</v>
      </c>
      <c r="W12" s="72" t="s">
        <v>123</v>
      </c>
      <c r="X12" s="44">
        <f t="shared" si="25"/>
        <v>455637.59518328327</v>
      </c>
      <c r="Y12" s="44">
        <f t="shared" si="4"/>
        <v>2395.4054284854856</v>
      </c>
      <c r="Z12" s="44">
        <f t="shared" si="26"/>
        <v>488.59457151451443</v>
      </c>
      <c r="AA12" s="44">
        <f t="shared" si="27"/>
        <v>0</v>
      </c>
      <c r="AB12" s="43">
        <f t="shared" si="12"/>
        <v>455149.00061176874</v>
      </c>
      <c r="AD12" s="72" t="s">
        <v>123</v>
      </c>
      <c r="AE12" s="44">
        <f t="shared" si="28"/>
        <v>926138.95764360041</v>
      </c>
      <c r="AF12" s="44">
        <f t="shared" si="5"/>
        <v>4979.0752783124308</v>
      </c>
      <c r="AG12" s="44">
        <f t="shared" si="29"/>
        <v>1062.9247216875692</v>
      </c>
      <c r="AH12" s="44">
        <f t="shared" si="30"/>
        <v>0</v>
      </c>
      <c r="AI12" s="43">
        <f t="shared" si="13"/>
        <v>925076.03292191285</v>
      </c>
      <c r="AK12" s="101">
        <f t="shared" si="31"/>
        <v>2027</v>
      </c>
      <c r="AL12" s="101">
        <f t="shared" si="6"/>
        <v>10</v>
      </c>
      <c r="AM12" s="118">
        <f t="shared" si="32"/>
        <v>11260.433132611159</v>
      </c>
      <c r="AN12" s="100">
        <f t="shared" si="33"/>
        <v>9520.7406117687569</v>
      </c>
      <c r="AO12" s="100">
        <f t="shared" si="34"/>
        <v>19792.022921912834</v>
      </c>
      <c r="AP12" s="100">
        <f t="shared" si="35"/>
        <v>20781.173744379914</v>
      </c>
      <c r="AQ12" s="1">
        <f t="shared" si="36"/>
        <v>33212</v>
      </c>
      <c r="AR12" s="100">
        <f t="shared" si="15"/>
        <v>1070048.9141429877</v>
      </c>
      <c r="AS12" s="100">
        <f>IF($AK12=$AK11,AF12+AP11,AP11)</f>
        <v>20534.65700350748</v>
      </c>
      <c r="AT12" s="100">
        <f t="shared" si="37"/>
        <v>15169.032935099585</v>
      </c>
      <c r="AU12" s="1">
        <f t="shared" si="17"/>
        <v>35703.689938607065</v>
      </c>
      <c r="AV12" s="100">
        <f t="shared" si="18"/>
        <v>1995124.9470649005</v>
      </c>
      <c r="AZ12" s="120">
        <v>2027</v>
      </c>
      <c r="BA12" s="120">
        <v>2028</v>
      </c>
      <c r="BB12" s="120">
        <v>2029</v>
      </c>
      <c r="BC12" s="120">
        <v>2030</v>
      </c>
      <c r="BD12" s="120">
        <v>2031</v>
      </c>
      <c r="BE12" s="120">
        <v>2032</v>
      </c>
      <c r="BF12" s="120">
        <v>2033</v>
      </c>
      <c r="BG12" s="120">
        <v>2034</v>
      </c>
      <c r="BH12" s="120">
        <v>2035</v>
      </c>
      <c r="BI12" s="120">
        <v>2036</v>
      </c>
      <c r="BJ12" s="120">
        <v>2037</v>
      </c>
      <c r="BK12" s="120">
        <v>2038</v>
      </c>
      <c r="BL12" s="120">
        <v>2039</v>
      </c>
      <c r="BM12" s="120">
        <v>2040</v>
      </c>
      <c r="BN12" s="120">
        <v>2041</v>
      </c>
      <c r="BO12" s="120">
        <v>2042</v>
      </c>
      <c r="BP12" s="120">
        <v>2043</v>
      </c>
      <c r="BQ12" s="120">
        <v>2044</v>
      </c>
      <c r="BR12" s="120">
        <v>2045</v>
      </c>
      <c r="BS12" s="120">
        <v>2046</v>
      </c>
      <c r="BT12" s="120">
        <v>2047</v>
      </c>
      <c r="BU12" s="120">
        <v>2048</v>
      </c>
      <c r="BV12" s="120">
        <v>2049</v>
      </c>
      <c r="BW12" s="120">
        <v>2050</v>
      </c>
      <c r="BX12" s="120">
        <v>2051</v>
      </c>
      <c r="BY12" s="120">
        <v>2052</v>
      </c>
      <c r="BZ12" s="120">
        <v>2053</v>
      </c>
      <c r="CA12" s="120">
        <v>2054</v>
      </c>
      <c r="CB12" s="120">
        <v>2055</v>
      </c>
      <c r="CC12"/>
    </row>
    <row r="13" spans="4:81">
      <c r="D13">
        <f t="shared" si="19"/>
        <v>5</v>
      </c>
      <c r="E13">
        <f t="shared" si="0"/>
        <v>2027</v>
      </c>
      <c r="F13" s="35">
        <f t="shared" si="1"/>
        <v>46356</v>
      </c>
      <c r="G13" s="36">
        <f t="shared" si="2"/>
        <v>11</v>
      </c>
      <c r="H13" s="36">
        <f t="shared" si="7"/>
        <v>30</v>
      </c>
      <c r="I13" s="37" t="s">
        <v>123</v>
      </c>
      <c r="J13" s="27">
        <f t="shared" si="20"/>
        <v>77512.040398607671</v>
      </c>
      <c r="K13" s="27">
        <f t="shared" si="8"/>
        <v>384.16241392077058</v>
      </c>
      <c r="L13" s="27">
        <f t="shared" si="21"/>
        <v>1253.8375860792294</v>
      </c>
      <c r="M13" s="27">
        <f t="shared" si="9"/>
        <v>0</v>
      </c>
      <c r="N13" s="27">
        <f t="shared" si="10"/>
        <v>76258.202812528441</v>
      </c>
      <c r="P13" s="72" t="s">
        <v>123</v>
      </c>
      <c r="Q13" s="44">
        <f t="shared" si="22"/>
        <v>537387.87313261116</v>
      </c>
      <c r="R13" s="44">
        <f t="shared" si="3"/>
        <v>2734.0528230335858</v>
      </c>
      <c r="S13" s="44">
        <f t="shared" si="23"/>
        <v>1046.9471769664142</v>
      </c>
      <c r="T13" s="44">
        <f t="shared" si="24"/>
        <v>0</v>
      </c>
      <c r="U13" s="43">
        <f t="shared" si="11"/>
        <v>536340.92595564469</v>
      </c>
      <c r="W13" s="72" t="s">
        <v>123</v>
      </c>
      <c r="X13" s="44">
        <f t="shared" si="25"/>
        <v>455149.00061176874</v>
      </c>
      <c r="Y13" s="44">
        <f t="shared" si="4"/>
        <v>2315.6484770850811</v>
      </c>
      <c r="Z13" s="44">
        <f t="shared" si="26"/>
        <v>568.35152291491886</v>
      </c>
      <c r="AA13" s="44">
        <f t="shared" si="27"/>
        <v>0</v>
      </c>
      <c r="AB13" s="43">
        <f t="shared" si="12"/>
        <v>454580.64908885385</v>
      </c>
      <c r="AD13" s="72" t="s">
        <v>123</v>
      </c>
      <c r="AE13" s="44">
        <f t="shared" si="28"/>
        <v>925076.03292191285</v>
      </c>
      <c r="AF13" s="44">
        <f t="shared" si="5"/>
        <v>4812.9298260786645</v>
      </c>
      <c r="AG13" s="44">
        <f t="shared" si="29"/>
        <v>1229.0701739213355</v>
      </c>
      <c r="AH13" s="44">
        <f t="shared" si="30"/>
        <v>0</v>
      </c>
      <c r="AI13" s="43">
        <f t="shared" si="13"/>
        <v>923846.96274799155</v>
      </c>
      <c r="AK13" s="101">
        <f t="shared" si="31"/>
        <v>2027</v>
      </c>
      <c r="AL13" s="101">
        <f t="shared" si="6"/>
        <v>11</v>
      </c>
      <c r="AM13" s="118">
        <f t="shared" si="32"/>
        <v>13994.485955644745</v>
      </c>
      <c r="AN13" s="100">
        <f t="shared" si="33"/>
        <v>11836.389088853837</v>
      </c>
      <c r="AO13" s="100">
        <f t="shared" si="34"/>
        <v>24604.952747991498</v>
      </c>
      <c r="AP13" s="100">
        <f t="shared" si="35"/>
        <v>25830.875044498582</v>
      </c>
      <c r="AQ13" s="1">
        <f t="shared" si="36"/>
        <v>41515</v>
      </c>
      <c r="AR13" s="100">
        <f t="shared" si="15"/>
        <v>1067179.777857027</v>
      </c>
      <c r="AS13" s="100">
        <f t="shared" si="16"/>
        <v>50435.827792490076</v>
      </c>
      <c r="AT13" s="100">
        <f t="shared" si="37"/>
        <v>19267.239394981483</v>
      </c>
      <c r="AU13" s="1">
        <f t="shared" si="17"/>
        <v>69703.067187471563</v>
      </c>
      <c r="AV13" s="100">
        <f t="shared" si="18"/>
        <v>1991026.7406050186</v>
      </c>
      <c r="AX13" s="132" t="s">
        <v>29</v>
      </c>
      <c r="AY13" t="s">
        <v>196</v>
      </c>
      <c r="AZ13" s="103">
        <v>1962440.6526571242</v>
      </c>
      <c r="BA13" s="103">
        <v>1911882.5582625933</v>
      </c>
      <c r="BB13" s="103">
        <v>1857771.574839456</v>
      </c>
      <c r="BC13" s="103">
        <v>1800219.6137178876</v>
      </c>
      <c r="BD13" s="103">
        <v>1742007.3620288726</v>
      </c>
      <c r="BE13" s="103">
        <v>1697595.4375113747</v>
      </c>
      <c r="BF13" s="103">
        <v>1650026.1315998868</v>
      </c>
      <c r="BG13" s="103">
        <v>1599396.8824853476</v>
      </c>
      <c r="BH13" s="103">
        <v>1545510.8306166516</v>
      </c>
      <c r="BI13" s="103">
        <v>1488423.3960024603</v>
      </c>
      <c r="BJ13" s="103">
        <v>1427398.7495400598</v>
      </c>
      <c r="BK13" s="103">
        <v>1362448.5098606125</v>
      </c>
      <c r="BL13" s="103">
        <v>1293320.1184987347</v>
      </c>
      <c r="BM13" s="103">
        <v>1219963.9656404946</v>
      </c>
      <c r="BN13" s="103">
        <v>1141669.6738874519</v>
      </c>
      <c r="BO13" s="103">
        <v>1058338.7102814338</v>
      </c>
      <c r="BP13" s="103">
        <v>969647.02345028496</v>
      </c>
      <c r="BQ13" s="103">
        <v>875410.19466891384</v>
      </c>
      <c r="BR13" s="103">
        <v>774950.50845592632</v>
      </c>
      <c r="BS13" s="103">
        <v>668028.04839923175</v>
      </c>
      <c r="BT13" s="103">
        <v>554226.996974651</v>
      </c>
      <c r="BU13" s="103">
        <v>444938.03824831708</v>
      </c>
      <c r="BV13" s="103">
        <v>363453.30464320758</v>
      </c>
      <c r="BW13" s="103">
        <v>276695.62426024355</v>
      </c>
      <c r="BX13" s="103">
        <v>184323.74196446122</v>
      </c>
      <c r="BY13" s="103">
        <v>85996.680382261635</v>
      </c>
      <c r="BZ13" s="103">
        <v>20593.323329505947</v>
      </c>
      <c r="CA13" s="103">
        <v>0</v>
      </c>
      <c r="CB13" s="103">
        <v>0</v>
      </c>
      <c r="CC13"/>
    </row>
    <row r="14" spans="4:81">
      <c r="D14">
        <f t="shared" si="19"/>
        <v>6</v>
      </c>
      <c r="E14">
        <f t="shared" si="0"/>
        <v>2027</v>
      </c>
      <c r="F14" s="35">
        <f t="shared" si="1"/>
        <v>46386</v>
      </c>
      <c r="G14" s="36">
        <f t="shared" si="2"/>
        <v>12</v>
      </c>
      <c r="H14" s="36">
        <f t="shared" si="7"/>
        <v>31</v>
      </c>
      <c r="I14" s="37" t="s">
        <v>123</v>
      </c>
      <c r="J14" s="27">
        <f t="shared" si="20"/>
        <v>76258.202812528441</v>
      </c>
      <c r="K14" s="27">
        <f t="shared" si="8"/>
        <v>390.54646169166961</v>
      </c>
      <c r="L14" s="27">
        <f t="shared" si="21"/>
        <v>1247.4535383083303</v>
      </c>
      <c r="M14" s="27">
        <f t="shared" si="9"/>
        <v>0</v>
      </c>
      <c r="N14" s="27">
        <f t="shared" si="10"/>
        <v>75010.749274220114</v>
      </c>
      <c r="P14" s="72" t="s">
        <v>123</v>
      </c>
      <c r="Q14" s="44">
        <f t="shared" si="22"/>
        <v>536340.92595564469</v>
      </c>
      <c r="R14" s="44">
        <f t="shared" si="3"/>
        <v>2819.6838433322914</v>
      </c>
      <c r="S14" s="44">
        <f t="shared" si="23"/>
        <v>961.31615666770858</v>
      </c>
      <c r="T14" s="44">
        <f t="shared" si="24"/>
        <v>0</v>
      </c>
      <c r="U14" s="43">
        <f t="shared" si="11"/>
        <v>535379.60979897704</v>
      </c>
      <c r="W14" s="72" t="s">
        <v>123</v>
      </c>
      <c r="X14" s="44">
        <f t="shared" si="25"/>
        <v>454580.64908885385</v>
      </c>
      <c r="Y14" s="44">
        <f t="shared" si="4"/>
        <v>2389.8487877715111</v>
      </c>
      <c r="Z14" s="44">
        <f t="shared" si="26"/>
        <v>494.15121222848893</v>
      </c>
      <c r="AA14" s="44">
        <f t="shared" si="27"/>
        <v>0</v>
      </c>
      <c r="AB14" s="43">
        <f t="shared" si="12"/>
        <v>454086.49787662539</v>
      </c>
      <c r="AD14" s="72" t="s">
        <v>123</v>
      </c>
      <c r="AE14" s="44">
        <f t="shared" si="28"/>
        <v>923846.96274799155</v>
      </c>
      <c r="AF14" s="44">
        <f t="shared" si="5"/>
        <v>4966.7531369873523</v>
      </c>
      <c r="AG14" s="44">
        <f t="shared" si="29"/>
        <v>1075.2468630126477</v>
      </c>
      <c r="AH14" s="44">
        <f t="shared" si="30"/>
        <v>0</v>
      </c>
      <c r="AI14" s="43">
        <f t="shared" si="13"/>
        <v>922771.71588497888</v>
      </c>
      <c r="AK14" s="101">
        <f t="shared" si="31"/>
        <v>2027</v>
      </c>
      <c r="AL14" s="101">
        <f t="shared" si="6"/>
        <v>12</v>
      </c>
      <c r="AM14" s="118">
        <f t="shared" si="32"/>
        <v>16814.169798977036</v>
      </c>
      <c r="AN14" s="100">
        <f t="shared" si="33"/>
        <v>14226.237876625348</v>
      </c>
      <c r="AO14" s="100">
        <f t="shared" si="34"/>
        <v>29571.705884978852</v>
      </c>
      <c r="AP14" s="100">
        <f t="shared" si="35"/>
        <v>31040.407675602386</v>
      </c>
      <c r="AQ14" s="1">
        <f t="shared" si="36"/>
        <v>49818</v>
      </c>
      <c r="AR14" s="100">
        <f t="shared" si="15"/>
        <v>1064476.8569498225</v>
      </c>
      <c r="AS14" s="100">
        <f t="shared" si="16"/>
        <v>60612.113560581238</v>
      </c>
      <c r="AT14" s="100">
        <f t="shared" si="37"/>
        <v>23045.40716519866</v>
      </c>
      <c r="AU14" s="1">
        <f t="shared" si="17"/>
        <v>83657.520725779905</v>
      </c>
      <c r="AV14" s="100">
        <f t="shared" si="18"/>
        <v>1987248.5728348014</v>
      </c>
      <c r="AZ14"/>
      <c r="BA14"/>
      <c r="BB14"/>
      <c r="BC14"/>
      <c r="BD14"/>
      <c r="BE14"/>
      <c r="BF14"/>
      <c r="BG14"/>
      <c r="BH14"/>
      <c r="BI14"/>
      <c r="BJ14"/>
      <c r="BK14"/>
      <c r="BL14"/>
      <c r="BM14"/>
      <c r="BN14"/>
      <c r="BO14"/>
      <c r="BP14"/>
      <c r="BQ14"/>
      <c r="BR14"/>
      <c r="BS14"/>
      <c r="BT14"/>
      <c r="BU14"/>
      <c r="BV14"/>
      <c r="BW14"/>
      <c r="BX14"/>
      <c r="BY14"/>
      <c r="BZ14"/>
      <c r="CA14"/>
      <c r="CB14"/>
      <c r="CC14"/>
    </row>
    <row r="15" spans="4:81">
      <c r="D15">
        <f t="shared" si="19"/>
        <v>7</v>
      </c>
      <c r="E15">
        <f t="shared" si="0"/>
        <v>2027</v>
      </c>
      <c r="F15" s="35">
        <f t="shared" si="1"/>
        <v>46417</v>
      </c>
      <c r="G15" s="36">
        <f t="shared" si="2"/>
        <v>1</v>
      </c>
      <c r="H15" s="36">
        <f t="shared" si="7"/>
        <v>31</v>
      </c>
      <c r="I15" s="37" t="s">
        <v>123</v>
      </c>
      <c r="J15" s="27">
        <f t="shared" si="20"/>
        <v>75010.749274220114</v>
      </c>
      <c r="K15" s="27">
        <f t="shared" si="8"/>
        <v>384.15779073506758</v>
      </c>
      <c r="L15" s="27">
        <f t="shared" si="21"/>
        <v>1253.8422092649325</v>
      </c>
      <c r="M15" s="27">
        <f t="shared" si="9"/>
        <v>0</v>
      </c>
      <c r="N15" s="27">
        <f t="shared" si="10"/>
        <v>73756.907064955187</v>
      </c>
      <c r="P15" s="72" t="s">
        <v>123</v>
      </c>
      <c r="Q15" s="44">
        <f t="shared" si="22"/>
        <v>535379.60979897704</v>
      </c>
      <c r="R15" s="44">
        <f t="shared" si="3"/>
        <v>2814.6299540911145</v>
      </c>
      <c r="S15" s="44">
        <f t="shared" si="23"/>
        <v>966.37004590888546</v>
      </c>
      <c r="T15" s="44">
        <f t="shared" si="24"/>
        <v>0</v>
      </c>
      <c r="U15" s="43">
        <f t="shared" si="11"/>
        <v>534413.23975306819</v>
      </c>
      <c r="W15" s="72" t="s">
        <v>123</v>
      </c>
      <c r="X15" s="44">
        <f t="shared" si="25"/>
        <v>454086.49787662539</v>
      </c>
      <c r="Y15" s="44">
        <f t="shared" si="4"/>
        <v>2387.2509062341269</v>
      </c>
      <c r="Z15" s="44">
        <f t="shared" si="26"/>
        <v>496.74909376587311</v>
      </c>
      <c r="AA15" s="44">
        <f t="shared" si="27"/>
        <v>0</v>
      </c>
      <c r="AB15" s="43">
        <f t="shared" si="12"/>
        <v>453589.74878285953</v>
      </c>
      <c r="AD15" s="72" t="s">
        <v>123</v>
      </c>
      <c r="AE15" s="44">
        <f t="shared" si="28"/>
        <v>922771.71588497888</v>
      </c>
      <c r="AF15" s="44">
        <f t="shared" si="5"/>
        <v>4960.9724330988874</v>
      </c>
      <c r="AG15" s="44">
        <f t="shared" si="29"/>
        <v>1081.0275669011126</v>
      </c>
      <c r="AH15" s="44">
        <f t="shared" si="30"/>
        <v>0</v>
      </c>
      <c r="AI15" s="43">
        <f t="shared" si="13"/>
        <v>921690.68831807782</v>
      </c>
      <c r="AK15" s="101">
        <f t="shared" si="31"/>
        <v>2027</v>
      </c>
      <c r="AL15" s="101">
        <f t="shared" si="6"/>
        <v>1</v>
      </c>
      <c r="AM15" s="118">
        <f t="shared" si="32"/>
        <v>19628.79975306815</v>
      </c>
      <c r="AN15" s="100">
        <f t="shared" si="33"/>
        <v>16613.488782859473</v>
      </c>
      <c r="AO15" s="100">
        <f t="shared" si="34"/>
        <v>34532.678318077742</v>
      </c>
      <c r="AP15" s="100">
        <f t="shared" si="35"/>
        <v>36242.288535927626</v>
      </c>
      <c r="AQ15" s="1">
        <f t="shared" si="36"/>
        <v>58121</v>
      </c>
      <c r="AR15" s="100">
        <f t="shared" si="15"/>
        <v>1061759.8956008828</v>
      </c>
      <c r="AS15" s="100">
        <f t="shared" si="16"/>
        <v>70774.966854005368</v>
      </c>
      <c r="AT15" s="100">
        <f t="shared" si="37"/>
        <v>26843.396081039467</v>
      </c>
      <c r="AU15" s="1">
        <f t="shared" si="17"/>
        <v>97618.362935044832</v>
      </c>
      <c r="AV15" s="100">
        <f t="shared" si="18"/>
        <v>1983450.5839189608</v>
      </c>
      <c r="AY15" s="102" t="s">
        <v>134</v>
      </c>
      <c r="AZ15" s="119">
        <v>6</v>
      </c>
    </row>
    <row r="16" spans="4:81">
      <c r="D16">
        <f t="shared" si="19"/>
        <v>8</v>
      </c>
      <c r="E16">
        <f t="shared" si="0"/>
        <v>2027</v>
      </c>
      <c r="F16" s="35">
        <f t="shared" si="1"/>
        <v>46446</v>
      </c>
      <c r="G16" s="36">
        <f t="shared" si="2"/>
        <v>2</v>
      </c>
      <c r="H16" s="36">
        <f t="shared" si="7"/>
        <v>28</v>
      </c>
      <c r="I16" s="37" t="s">
        <v>123</v>
      </c>
      <c r="J16" s="27">
        <f t="shared" si="20"/>
        <v>73756.907064955187</v>
      </c>
      <c r="K16" s="27">
        <f t="shared" si="8"/>
        <v>341.18126544786389</v>
      </c>
      <c r="L16" s="27">
        <f t="shared" si="21"/>
        <v>1296.818734552136</v>
      </c>
      <c r="M16" s="27">
        <f t="shared" si="9"/>
        <v>0</v>
      </c>
      <c r="N16" s="27">
        <f t="shared" si="10"/>
        <v>72460.088330403058</v>
      </c>
      <c r="P16" s="72" t="s">
        <v>123</v>
      </c>
      <c r="Q16" s="44">
        <f t="shared" si="22"/>
        <v>534413.23975306819</v>
      </c>
      <c r="R16" s="44">
        <f t="shared" si="3"/>
        <v>2537.6576086027881</v>
      </c>
      <c r="S16" s="44">
        <f t="shared" si="23"/>
        <v>1243.3423913972119</v>
      </c>
      <c r="T16" s="44">
        <f t="shared" si="24"/>
        <v>0</v>
      </c>
      <c r="U16" s="43">
        <f t="shared" si="11"/>
        <v>533169.89736167097</v>
      </c>
      <c r="W16" s="72" t="s">
        <v>123</v>
      </c>
      <c r="X16" s="44">
        <f t="shared" si="25"/>
        <v>453589.74878285953</v>
      </c>
      <c r="Y16" s="44">
        <f t="shared" si="4"/>
        <v>2153.8678153163073</v>
      </c>
      <c r="Z16" s="44">
        <f t="shared" si="26"/>
        <v>730.13218468369269</v>
      </c>
      <c r="AA16" s="44">
        <f t="shared" si="27"/>
        <v>0</v>
      </c>
      <c r="AB16" s="43">
        <f t="shared" si="12"/>
        <v>452859.61659817584</v>
      </c>
      <c r="AD16" s="72" t="s">
        <v>123</v>
      </c>
      <c r="AE16" s="44">
        <f t="shared" si="28"/>
        <v>921690.68831807782</v>
      </c>
      <c r="AF16" s="44">
        <f t="shared" si="5"/>
        <v>4475.6289752738667</v>
      </c>
      <c r="AG16" s="44">
        <f t="shared" si="29"/>
        <v>1566.3710247261333</v>
      </c>
      <c r="AH16" s="44">
        <f t="shared" si="30"/>
        <v>0</v>
      </c>
      <c r="AI16" s="43">
        <f t="shared" si="13"/>
        <v>920124.31729335175</v>
      </c>
      <c r="AK16" s="101">
        <f t="shared" si="31"/>
        <v>2027</v>
      </c>
      <c r="AL16" s="101">
        <f t="shared" si="6"/>
        <v>2</v>
      </c>
      <c r="AM16" s="118">
        <f t="shared" si="32"/>
        <v>22166.457361670939</v>
      </c>
      <c r="AN16" s="100">
        <f t="shared" si="33"/>
        <v>18767.356598175778</v>
      </c>
      <c r="AO16" s="100">
        <f t="shared" si="34"/>
        <v>39008.307293351609</v>
      </c>
      <c r="AP16" s="100">
        <f t="shared" si="35"/>
        <v>40933.813959846717</v>
      </c>
      <c r="AQ16" s="1">
        <f t="shared" si="36"/>
        <v>66424</v>
      </c>
      <c r="AR16" s="100">
        <f t="shared" si="15"/>
        <v>1058489.6022902499</v>
      </c>
      <c r="AS16" s="100">
        <f t="shared" si="16"/>
        <v>79942.121253198333</v>
      </c>
      <c r="AT16" s="100">
        <f t="shared" si="37"/>
        <v>31680.060416398643</v>
      </c>
      <c r="AU16" s="1">
        <f t="shared" si="17"/>
        <v>111622.18166959698</v>
      </c>
      <c r="AV16" s="100">
        <f t="shared" si="18"/>
        <v>1978613.9195836016</v>
      </c>
    </row>
    <row r="17" spans="4:81">
      <c r="D17">
        <f t="shared" si="19"/>
        <v>9</v>
      </c>
      <c r="E17">
        <f t="shared" si="0"/>
        <v>2027</v>
      </c>
      <c r="F17" s="35">
        <f t="shared" si="1"/>
        <v>46476</v>
      </c>
      <c r="G17" s="36">
        <f t="shared" si="2"/>
        <v>3</v>
      </c>
      <c r="H17" s="36">
        <f t="shared" si="7"/>
        <v>31</v>
      </c>
      <c r="I17" s="37" t="s">
        <v>123</v>
      </c>
      <c r="J17" s="27">
        <f t="shared" si="20"/>
        <v>72460.088330403058</v>
      </c>
      <c r="K17" s="27">
        <f t="shared" si="8"/>
        <v>371.09491264663683</v>
      </c>
      <c r="L17" s="27">
        <f t="shared" si="21"/>
        <v>1266.9050873533631</v>
      </c>
      <c r="M17" s="27">
        <f t="shared" si="9"/>
        <v>0</v>
      </c>
      <c r="N17" s="27">
        <f t="shared" si="10"/>
        <v>71193.183243049702</v>
      </c>
      <c r="P17" s="72" t="s">
        <v>123</v>
      </c>
      <c r="Q17" s="44">
        <f t="shared" si="22"/>
        <v>533169.89736167097</v>
      </c>
      <c r="R17" s="44">
        <f t="shared" si="3"/>
        <v>2803.0129206775628</v>
      </c>
      <c r="S17" s="44">
        <f t="shared" si="23"/>
        <v>977.98707932243724</v>
      </c>
      <c r="T17" s="44">
        <f t="shared" si="24"/>
        <v>0</v>
      </c>
      <c r="U17" s="43">
        <f t="shared" si="11"/>
        <v>532191.91028234852</v>
      </c>
      <c r="W17" s="72" t="s">
        <v>123</v>
      </c>
      <c r="X17" s="44">
        <f t="shared" si="25"/>
        <v>452859.61659817584</v>
      </c>
      <c r="Y17" s="44">
        <f t="shared" si="4"/>
        <v>2380.8008720280536</v>
      </c>
      <c r="Z17" s="44">
        <f t="shared" si="26"/>
        <v>503.19912797194638</v>
      </c>
      <c r="AA17" s="44">
        <f t="shared" si="27"/>
        <v>0</v>
      </c>
      <c r="AB17" s="43">
        <f t="shared" si="12"/>
        <v>452356.41747020389</v>
      </c>
      <c r="AD17" s="72" t="s">
        <v>123</v>
      </c>
      <c r="AE17" s="44">
        <f t="shared" si="28"/>
        <v>920124.31729335175</v>
      </c>
      <c r="AF17" s="44">
        <f t="shared" si="5"/>
        <v>4946.7395830814903</v>
      </c>
      <c r="AG17" s="44">
        <f t="shared" si="29"/>
        <v>1095.2604169185097</v>
      </c>
      <c r="AH17" s="44">
        <f t="shared" si="30"/>
        <v>0</v>
      </c>
      <c r="AI17" s="43">
        <f t="shared" si="13"/>
        <v>919029.0568764332</v>
      </c>
      <c r="AK17" s="101">
        <f t="shared" si="31"/>
        <v>2027</v>
      </c>
      <c r="AL17" s="101">
        <f t="shared" si="6"/>
        <v>3</v>
      </c>
      <c r="AM17" s="118">
        <f t="shared" si="32"/>
        <v>24969.470282348502</v>
      </c>
      <c r="AN17" s="100">
        <f t="shared" si="33"/>
        <v>21148.157470203831</v>
      </c>
      <c r="AO17" s="100">
        <f t="shared" si="34"/>
        <v>43955.046876433102</v>
      </c>
      <c r="AP17" s="100">
        <f t="shared" si="35"/>
        <v>46117.627752552333</v>
      </c>
      <c r="AQ17" s="1">
        <f t="shared" si="36"/>
        <v>74727</v>
      </c>
      <c r="AR17" s="100">
        <f t="shared" si="15"/>
        <v>1055741.510995602</v>
      </c>
      <c r="AS17" s="100">
        <f t="shared" si="16"/>
        <v>90072.674628985435</v>
      </c>
      <c r="AT17" s="100">
        <f t="shared" si="37"/>
        <v>35523.412127964897</v>
      </c>
      <c r="AU17" s="1">
        <f t="shared" si="17"/>
        <v>125596.08675695033</v>
      </c>
      <c r="AV17" s="100">
        <f t="shared" si="18"/>
        <v>1974770.5678720353</v>
      </c>
      <c r="AZ17" s="102" t="s">
        <v>135</v>
      </c>
      <c r="BA17"/>
      <c r="BB17"/>
      <c r="BC17"/>
      <c r="BD17"/>
      <c r="BE17"/>
      <c r="BF17"/>
      <c r="BG17"/>
      <c r="BH17"/>
      <c r="BI17"/>
      <c r="BJ17"/>
      <c r="BK17"/>
      <c r="BL17"/>
      <c r="BM17"/>
      <c r="BN17"/>
      <c r="BO17"/>
      <c r="BP17"/>
      <c r="BQ17"/>
      <c r="BR17"/>
      <c r="BS17"/>
      <c r="BT17"/>
      <c r="BU17"/>
      <c r="BV17"/>
      <c r="BW17"/>
      <c r="BX17"/>
      <c r="BY17"/>
      <c r="BZ17"/>
      <c r="CA17"/>
      <c r="CB17"/>
      <c r="CC17"/>
    </row>
    <row r="18" spans="4:81">
      <c r="D18">
        <f t="shared" si="19"/>
        <v>10</v>
      </c>
      <c r="E18">
        <f t="shared" si="0"/>
        <v>2027</v>
      </c>
      <c r="F18" s="35">
        <f t="shared" si="1"/>
        <v>46507</v>
      </c>
      <c r="G18" s="36">
        <f t="shared" si="2"/>
        <v>4</v>
      </c>
      <c r="H18" s="36">
        <f t="shared" si="7"/>
        <v>30</v>
      </c>
      <c r="I18" s="37" t="s">
        <v>123</v>
      </c>
      <c r="J18" s="27">
        <f t="shared" si="20"/>
        <v>71193.183243049702</v>
      </c>
      <c r="K18" s="27">
        <f t="shared" si="8"/>
        <v>352.8451191415806</v>
      </c>
      <c r="L18" s="27">
        <f t="shared" si="21"/>
        <v>1285.1548808584193</v>
      </c>
      <c r="M18" s="27">
        <f t="shared" si="9"/>
        <v>0</v>
      </c>
      <c r="N18" s="27">
        <f t="shared" si="10"/>
        <v>69908.028362191282</v>
      </c>
      <c r="P18" s="72" t="s">
        <v>123</v>
      </c>
      <c r="Q18" s="44">
        <f t="shared" si="22"/>
        <v>532191.91028234852</v>
      </c>
      <c r="R18" s="44">
        <f t="shared" si="3"/>
        <v>2707.6174723132085</v>
      </c>
      <c r="S18" s="44">
        <f t="shared" si="23"/>
        <v>1073.3825276867915</v>
      </c>
      <c r="T18" s="44">
        <f t="shared" si="24"/>
        <v>0</v>
      </c>
      <c r="U18" s="43">
        <f t="shared" si="11"/>
        <v>531118.52775466174</v>
      </c>
      <c r="W18" s="72" t="s">
        <v>123</v>
      </c>
      <c r="X18" s="44">
        <f t="shared" si="25"/>
        <v>452356.41747020389</v>
      </c>
      <c r="Y18" s="44">
        <f t="shared" si="4"/>
        <v>2301.4407321703252</v>
      </c>
      <c r="Z18" s="44">
        <f t="shared" si="26"/>
        <v>582.55926782967481</v>
      </c>
      <c r="AA18" s="44">
        <f t="shared" si="27"/>
        <v>0</v>
      </c>
      <c r="AB18" s="43">
        <f t="shared" si="12"/>
        <v>451773.85820237419</v>
      </c>
      <c r="AD18" s="72" t="s">
        <v>123</v>
      </c>
      <c r="AE18" s="44">
        <f t="shared" si="28"/>
        <v>919029.0568764332</v>
      </c>
      <c r="AF18" s="44">
        <f t="shared" si="5"/>
        <v>4781.4689835845111</v>
      </c>
      <c r="AG18" s="44">
        <f t="shared" si="29"/>
        <v>1260.5310164154889</v>
      </c>
      <c r="AH18" s="44">
        <f t="shared" si="30"/>
        <v>0</v>
      </c>
      <c r="AI18" s="43">
        <f t="shared" si="13"/>
        <v>917768.52586001775</v>
      </c>
      <c r="AK18" s="101">
        <f t="shared" si="31"/>
        <v>2027</v>
      </c>
      <c r="AL18" s="101">
        <f t="shared" si="6"/>
        <v>4</v>
      </c>
      <c r="AM18" s="118">
        <f t="shared" si="32"/>
        <v>27677.087754661712</v>
      </c>
      <c r="AN18" s="100">
        <f t="shared" si="33"/>
        <v>23449.598202374156</v>
      </c>
      <c r="AO18" s="100">
        <f t="shared" si="34"/>
        <v>48736.515860017615</v>
      </c>
      <c r="AP18" s="100">
        <f t="shared" si="35"/>
        <v>51126.685957035865</v>
      </c>
      <c r="AQ18" s="1">
        <f t="shared" si="36"/>
        <v>83030</v>
      </c>
      <c r="AR18" s="100">
        <f t="shared" si="15"/>
        <v>1052800.4143192272</v>
      </c>
      <c r="AS18" s="100">
        <f t="shared" si="16"/>
        <v>99863.201817053487</v>
      </c>
      <c r="AT18" s="100">
        <f t="shared" si="37"/>
        <v>39725.039820755272</v>
      </c>
      <c r="AU18" s="1">
        <f t="shared" si="17"/>
        <v>139588.24163780877</v>
      </c>
      <c r="AV18" s="100">
        <f t="shared" si="18"/>
        <v>1970568.9401792451</v>
      </c>
      <c r="AZ18" s="120">
        <v>2027</v>
      </c>
      <c r="BA18" s="120">
        <v>2028</v>
      </c>
      <c r="BB18" s="120">
        <v>2029</v>
      </c>
      <c r="BC18" s="120">
        <v>2030</v>
      </c>
      <c r="BD18" s="120">
        <v>2031</v>
      </c>
      <c r="BE18" s="120">
        <v>2032</v>
      </c>
      <c r="BF18" s="120">
        <v>2033</v>
      </c>
      <c r="BG18" s="120">
        <v>2034</v>
      </c>
      <c r="BH18" s="120">
        <v>2035</v>
      </c>
      <c r="BI18" s="120">
        <v>2036</v>
      </c>
      <c r="BJ18" s="120">
        <v>2037</v>
      </c>
      <c r="BK18" s="120">
        <v>2038</v>
      </c>
      <c r="BL18" s="120">
        <v>2039</v>
      </c>
      <c r="BM18" s="120">
        <v>2040</v>
      </c>
      <c r="BN18" s="120">
        <v>2041</v>
      </c>
      <c r="BO18" s="120">
        <v>2042</v>
      </c>
      <c r="BP18" s="120">
        <v>2043</v>
      </c>
      <c r="BQ18" s="120">
        <v>2044</v>
      </c>
      <c r="BR18" s="120">
        <v>2045</v>
      </c>
      <c r="BS18" s="120">
        <v>2046</v>
      </c>
      <c r="BT18" s="120">
        <v>2047</v>
      </c>
      <c r="BU18" s="120">
        <v>2048</v>
      </c>
      <c r="BV18" s="120">
        <v>2049</v>
      </c>
      <c r="BW18" s="120">
        <v>2050</v>
      </c>
      <c r="BX18" s="120">
        <v>2051</v>
      </c>
      <c r="BY18" s="120">
        <v>2052</v>
      </c>
      <c r="BZ18" s="120">
        <v>2053</v>
      </c>
      <c r="CA18" s="120">
        <v>2054</v>
      </c>
      <c r="CB18" s="120">
        <v>2055</v>
      </c>
      <c r="CC18"/>
    </row>
    <row r="19" spans="4:81">
      <c r="D19">
        <f t="shared" si="19"/>
        <v>11</v>
      </c>
      <c r="E19">
        <f t="shared" si="0"/>
        <v>2027</v>
      </c>
      <c r="F19" s="35">
        <f t="shared" si="1"/>
        <v>46537</v>
      </c>
      <c r="G19" s="36">
        <f t="shared" si="2"/>
        <v>5</v>
      </c>
      <c r="H19" s="36">
        <f t="shared" si="7"/>
        <v>31</v>
      </c>
      <c r="I19" s="37" t="s">
        <v>123</v>
      </c>
      <c r="J19" s="27">
        <f t="shared" si="20"/>
        <v>69908.028362191282</v>
      </c>
      <c r="K19" s="27">
        <f t="shared" si="8"/>
        <v>358.02486963683333</v>
      </c>
      <c r="L19" s="27">
        <f t="shared" si="21"/>
        <v>1279.9751303631667</v>
      </c>
      <c r="M19" s="27">
        <f t="shared" si="9"/>
        <v>0</v>
      </c>
      <c r="N19" s="27">
        <f t="shared" si="10"/>
        <v>68628.053231828118</v>
      </c>
      <c r="P19" s="72" t="s">
        <v>123</v>
      </c>
      <c r="Q19" s="44">
        <f t="shared" si="22"/>
        <v>531118.52775466174</v>
      </c>
      <c r="R19" s="44">
        <f t="shared" si="3"/>
        <v>2792.2283367353984</v>
      </c>
      <c r="S19" s="44">
        <f t="shared" si="23"/>
        <v>988.77166326460156</v>
      </c>
      <c r="T19" s="44">
        <f t="shared" si="24"/>
        <v>0</v>
      </c>
      <c r="U19" s="43">
        <f t="shared" si="11"/>
        <v>530129.75609139714</v>
      </c>
      <c r="W19" s="72" t="s">
        <v>123</v>
      </c>
      <c r="X19" s="44">
        <f t="shared" si="25"/>
        <v>451773.85820237419</v>
      </c>
      <c r="Y19" s="44">
        <f t="shared" si="4"/>
        <v>2375.0927575466735</v>
      </c>
      <c r="Z19" s="44">
        <f t="shared" si="26"/>
        <v>508.90724245332649</v>
      </c>
      <c r="AA19" s="44">
        <f t="shared" si="27"/>
        <v>0</v>
      </c>
      <c r="AB19" s="43">
        <f t="shared" si="12"/>
        <v>451264.95095992088</v>
      </c>
      <c r="AD19" s="72" t="s">
        <v>123</v>
      </c>
      <c r="AE19" s="44">
        <f t="shared" si="28"/>
        <v>917768.52586001775</v>
      </c>
      <c r="AF19" s="44">
        <f t="shared" si="5"/>
        <v>4934.0744610825004</v>
      </c>
      <c r="AG19" s="44">
        <f t="shared" si="29"/>
        <v>1107.9255389174996</v>
      </c>
      <c r="AH19" s="44">
        <f t="shared" si="30"/>
        <v>0</v>
      </c>
      <c r="AI19" s="43">
        <f t="shared" si="13"/>
        <v>916660.60032110021</v>
      </c>
      <c r="AK19" s="101">
        <f t="shared" si="31"/>
        <v>2027</v>
      </c>
      <c r="AL19" s="101">
        <f t="shared" si="6"/>
        <v>5</v>
      </c>
      <c r="AM19" s="118">
        <f t="shared" si="32"/>
        <v>30469.316091397111</v>
      </c>
      <c r="AN19" s="100">
        <f t="shared" si="33"/>
        <v>25824.69095992083</v>
      </c>
      <c r="AO19" s="100">
        <f t="shared" si="34"/>
        <v>53670.590321100113</v>
      </c>
      <c r="AP19" s="100">
        <f t="shared" si="35"/>
        <v>56294.007051317938</v>
      </c>
      <c r="AQ19" s="1">
        <f t="shared" si="36"/>
        <v>91333</v>
      </c>
      <c r="AR19" s="100">
        <f t="shared" si="15"/>
        <v>1050022.7602831461</v>
      </c>
      <c r="AS19" s="100">
        <f t="shared" si="16"/>
        <v>109964.59737241805</v>
      </c>
      <c r="AT19" s="100">
        <f t="shared" si="37"/>
        <v>43610.619395753871</v>
      </c>
      <c r="AU19" s="1">
        <f t="shared" si="17"/>
        <v>153575.21676817193</v>
      </c>
      <c r="AV19" s="100">
        <f t="shared" si="18"/>
        <v>1966683.3606042461</v>
      </c>
      <c r="AX19" s="132" t="s">
        <v>140</v>
      </c>
      <c r="AY19" t="s">
        <v>197</v>
      </c>
      <c r="AZ19" s="103">
        <v>167580.08485503116</v>
      </c>
      <c r="BA19" s="103">
        <v>168506.1651666757</v>
      </c>
      <c r="BB19" s="103">
        <v>169509.24974994367</v>
      </c>
      <c r="BC19" s="103">
        <v>170564.7240816236</v>
      </c>
      <c r="BD19" s="103">
        <v>170040.91720718693</v>
      </c>
      <c r="BE19" s="103">
        <v>152484</v>
      </c>
      <c r="BF19" s="103">
        <v>152484</v>
      </c>
      <c r="BG19" s="103">
        <v>152484</v>
      </c>
      <c r="BH19" s="103">
        <v>152484</v>
      </c>
      <c r="BI19" s="103">
        <v>152484</v>
      </c>
      <c r="BJ19" s="103">
        <v>152484.00000000003</v>
      </c>
      <c r="BK19" s="103">
        <v>152484</v>
      </c>
      <c r="BL19" s="103">
        <v>152483.99999999997</v>
      </c>
      <c r="BM19" s="103">
        <v>152483.99999999997</v>
      </c>
      <c r="BN19" s="103">
        <v>152484</v>
      </c>
      <c r="BO19" s="103">
        <v>152484</v>
      </c>
      <c r="BP19" s="103">
        <v>152484</v>
      </c>
      <c r="BQ19" s="103">
        <v>152484</v>
      </c>
      <c r="BR19" s="103">
        <v>152484</v>
      </c>
      <c r="BS19" s="103">
        <v>152484</v>
      </c>
      <c r="BT19" s="103">
        <v>152483.99999999997</v>
      </c>
      <c r="BU19" s="103">
        <v>141141</v>
      </c>
      <c r="BV19" s="103">
        <v>107112</v>
      </c>
      <c r="BW19" s="103">
        <v>107112.00000000003</v>
      </c>
      <c r="BX19" s="103">
        <v>107112.00000000001</v>
      </c>
      <c r="BY19" s="103">
        <v>107112</v>
      </c>
      <c r="BZ19" s="103">
        <v>70860</v>
      </c>
      <c r="CA19" s="103">
        <v>23072</v>
      </c>
      <c r="CB19" s="103">
        <v>0</v>
      </c>
      <c r="CC19"/>
    </row>
    <row r="20" spans="4:81">
      <c r="D20">
        <f t="shared" si="19"/>
        <v>12</v>
      </c>
      <c r="E20">
        <f t="shared" si="0"/>
        <v>2027</v>
      </c>
      <c r="F20" s="35">
        <f t="shared" si="1"/>
        <v>46568</v>
      </c>
      <c r="G20" s="36">
        <f t="shared" si="2"/>
        <v>6</v>
      </c>
      <c r="H20" s="36">
        <f t="shared" si="7"/>
        <v>30</v>
      </c>
      <c r="I20" s="37" t="s">
        <v>123</v>
      </c>
      <c r="J20" s="27">
        <f t="shared" si="20"/>
        <v>68628.053231828118</v>
      </c>
      <c r="K20" s="27">
        <f t="shared" si="8"/>
        <v>340.13191314075908</v>
      </c>
      <c r="L20" s="27">
        <f t="shared" si="21"/>
        <v>1297.868086859241</v>
      </c>
      <c r="M20" s="27">
        <f t="shared" si="9"/>
        <v>0</v>
      </c>
      <c r="N20" s="27">
        <f t="shared" si="10"/>
        <v>67330.185144968884</v>
      </c>
      <c r="P20" s="72" t="s">
        <v>123</v>
      </c>
      <c r="Q20" s="44">
        <f t="shared" si="22"/>
        <v>530129.75609139714</v>
      </c>
      <c r="R20" s="44">
        <f t="shared" si="3"/>
        <v>2697.1259097581492</v>
      </c>
      <c r="S20" s="44">
        <f t="shared" si="23"/>
        <v>1083.8740902418508</v>
      </c>
      <c r="T20" s="44">
        <f t="shared" si="24"/>
        <v>0</v>
      </c>
      <c r="U20" s="43">
        <f t="shared" si="11"/>
        <v>529045.88200115529</v>
      </c>
      <c r="W20" s="72" t="s">
        <v>123</v>
      </c>
      <c r="X20" s="44">
        <f t="shared" si="25"/>
        <v>451264.95095992088</v>
      </c>
      <c r="Y20" s="44">
        <f t="shared" si="4"/>
        <v>2295.8877094043096</v>
      </c>
      <c r="Z20" s="44">
        <f t="shared" si="26"/>
        <v>588.11229059569041</v>
      </c>
      <c r="AA20" s="44">
        <f t="shared" si="27"/>
        <v>0</v>
      </c>
      <c r="AB20" s="43">
        <f t="shared" si="12"/>
        <v>450676.83866932517</v>
      </c>
      <c r="AD20" s="72" t="s">
        <v>123</v>
      </c>
      <c r="AE20" s="44">
        <f t="shared" si="28"/>
        <v>916660.60032110021</v>
      </c>
      <c r="AF20" s="44">
        <f t="shared" si="5"/>
        <v>4769.1465205747099</v>
      </c>
      <c r="AG20" s="44">
        <f t="shared" si="29"/>
        <v>1272.8534794252901</v>
      </c>
      <c r="AH20" s="44">
        <f t="shared" si="30"/>
        <v>0</v>
      </c>
      <c r="AI20" s="43">
        <f t="shared" si="13"/>
        <v>915387.7468416749</v>
      </c>
      <c r="AK20" s="101">
        <f t="shared" si="31"/>
        <v>2027</v>
      </c>
      <c r="AL20" s="101">
        <f t="shared" si="6"/>
        <v>6</v>
      </c>
      <c r="AM20" s="118">
        <f t="shared" si="32"/>
        <v>33166.442001155257</v>
      </c>
      <c r="AN20" s="100">
        <f t="shared" si="33"/>
        <v>28120.578669325139</v>
      </c>
      <c r="AO20" s="100">
        <f t="shared" si="34"/>
        <v>58439.736841674821</v>
      </c>
      <c r="AP20" s="100">
        <f t="shared" si="35"/>
        <v>61287.0206704804</v>
      </c>
      <c r="AQ20" s="1">
        <f t="shared" si="36"/>
        <v>99636</v>
      </c>
      <c r="AR20" s="100">
        <f t="shared" si="15"/>
        <v>1047052.9058154493</v>
      </c>
      <c r="AS20" s="100">
        <f t="shared" si="16"/>
        <v>119726.75751215522</v>
      </c>
      <c r="AT20" s="100">
        <f t="shared" si="37"/>
        <v>47853.327342875942</v>
      </c>
      <c r="AU20" s="1">
        <f t="shared" si="17"/>
        <v>167580.08485503116</v>
      </c>
      <c r="AV20" s="100">
        <f t="shared" si="18"/>
        <v>1962440.6526571242</v>
      </c>
      <c r="AZ20"/>
      <c r="BA20"/>
      <c r="BB20"/>
      <c r="BC20"/>
      <c r="BD20"/>
      <c r="BE20"/>
      <c r="BF20"/>
      <c r="BG20"/>
      <c r="BH20"/>
      <c r="BI20"/>
      <c r="BJ20"/>
      <c r="BK20"/>
      <c r="BL20"/>
      <c r="BM20"/>
      <c r="BN20"/>
      <c r="BO20"/>
      <c r="BP20"/>
      <c r="BQ20"/>
      <c r="BR20"/>
      <c r="BS20"/>
      <c r="BT20"/>
      <c r="BU20"/>
      <c r="BV20"/>
      <c r="BW20"/>
      <c r="BX20"/>
      <c r="BY20"/>
      <c r="BZ20"/>
      <c r="CA20"/>
      <c r="CB20"/>
      <c r="CC20"/>
    </row>
    <row r="21" spans="4:81">
      <c r="D21">
        <f t="shared" si="19"/>
        <v>13</v>
      </c>
      <c r="E21">
        <f t="shared" si="0"/>
        <v>2028</v>
      </c>
      <c r="F21" s="35">
        <f t="shared" si="1"/>
        <v>46598</v>
      </c>
      <c r="G21" s="36">
        <f t="shared" si="2"/>
        <v>7</v>
      </c>
      <c r="H21" s="36">
        <f t="shared" si="7"/>
        <v>31</v>
      </c>
      <c r="I21" s="37" t="s">
        <v>123</v>
      </c>
      <c r="J21" s="27">
        <f t="shared" si="20"/>
        <v>67330.185144968884</v>
      </c>
      <c r="K21" s="27">
        <f t="shared" si="8"/>
        <v>344.82278107257628</v>
      </c>
      <c r="L21" s="27">
        <f t="shared" si="21"/>
        <v>1293.1772189274238</v>
      </c>
      <c r="M21" s="27">
        <f t="shared" si="9"/>
        <v>0</v>
      </c>
      <c r="N21" s="27">
        <f t="shared" si="10"/>
        <v>66037.007926041464</v>
      </c>
      <c r="P21" s="72" t="s">
        <v>123</v>
      </c>
      <c r="Q21" s="44">
        <f t="shared" si="22"/>
        <v>529045.88200115529</v>
      </c>
      <c r="R21" s="44">
        <f t="shared" si="3"/>
        <v>2781.3318985534711</v>
      </c>
      <c r="S21" s="44">
        <f t="shared" si="23"/>
        <v>999.66810144652891</v>
      </c>
      <c r="T21" s="44">
        <f t="shared" si="24"/>
        <v>0</v>
      </c>
      <c r="U21" s="43">
        <f t="shared" si="11"/>
        <v>528046.2138997087</v>
      </c>
      <c r="W21" s="72" t="s">
        <v>123</v>
      </c>
      <c r="X21" s="44">
        <f t="shared" si="25"/>
        <v>450676.83866932517</v>
      </c>
      <c r="Y21" s="44">
        <f t="shared" si="4"/>
        <v>2369.3254403358028</v>
      </c>
      <c r="Z21" s="44">
        <f t="shared" si="26"/>
        <v>514.6745596641972</v>
      </c>
      <c r="AA21" s="44">
        <f t="shared" si="27"/>
        <v>0</v>
      </c>
      <c r="AB21" s="43">
        <f t="shared" si="12"/>
        <v>450162.16410966095</v>
      </c>
      <c r="AD21" s="72" t="s">
        <v>123</v>
      </c>
      <c r="AE21" s="44">
        <f t="shared" si="28"/>
        <v>915387.7468416749</v>
      </c>
      <c r="AF21" s="44">
        <f t="shared" si="5"/>
        <v>4921.2750017189546</v>
      </c>
      <c r="AG21" s="44">
        <f t="shared" si="29"/>
        <v>1120.7249982810454</v>
      </c>
      <c r="AH21" s="44">
        <f t="shared" si="30"/>
        <v>0</v>
      </c>
      <c r="AI21" s="43">
        <f t="shared" si="13"/>
        <v>914267.02184339392</v>
      </c>
      <c r="AK21" s="101">
        <f t="shared" si="31"/>
        <v>2028</v>
      </c>
      <c r="AL21" s="101">
        <f t="shared" si="6"/>
        <v>7</v>
      </c>
      <c r="AM21" s="118">
        <f t="shared" si="32"/>
        <v>2781.3318985534711</v>
      </c>
      <c r="AN21" s="100">
        <f t="shared" si="33"/>
        <v>2369.3254403358028</v>
      </c>
      <c r="AO21" s="100">
        <f t="shared" si="34"/>
        <v>4921.2750017189546</v>
      </c>
      <c r="AP21" s="100">
        <f t="shared" si="35"/>
        <v>5150.6573388892739</v>
      </c>
      <c r="AQ21" s="1">
        <f t="shared" si="36"/>
        <v>8303</v>
      </c>
      <c r="AR21" s="100">
        <f t="shared" si="15"/>
        <v>1044245.3859354111</v>
      </c>
      <c r="AS21" s="100">
        <f t="shared" si="16"/>
        <v>10071.932340608229</v>
      </c>
      <c r="AT21" s="100">
        <f t="shared" si="37"/>
        <v>3928.2448783191953</v>
      </c>
      <c r="AU21" s="1">
        <f t="shared" si="17"/>
        <v>14000.177218927425</v>
      </c>
      <c r="AV21" s="100">
        <f t="shared" si="18"/>
        <v>1958512.4077788051</v>
      </c>
    </row>
    <row r="22" spans="4:81">
      <c r="D22">
        <f t="shared" si="19"/>
        <v>14</v>
      </c>
      <c r="E22">
        <f t="shared" si="0"/>
        <v>2028</v>
      </c>
      <c r="F22" s="35">
        <f t="shared" si="1"/>
        <v>46629</v>
      </c>
      <c r="G22" s="36">
        <f t="shared" si="2"/>
        <v>8</v>
      </c>
      <c r="H22" s="36">
        <f t="shared" si="7"/>
        <v>31</v>
      </c>
      <c r="I22" s="37" t="s">
        <v>123</v>
      </c>
      <c r="J22" s="27">
        <f t="shared" si="20"/>
        <v>66037.007926041464</v>
      </c>
      <c r="K22" s="27">
        <f t="shared" si="8"/>
        <v>338.19994223602549</v>
      </c>
      <c r="L22" s="27">
        <f t="shared" si="21"/>
        <v>1299.8000577639746</v>
      </c>
      <c r="M22" s="27">
        <f t="shared" si="9"/>
        <v>0</v>
      </c>
      <c r="N22" s="27">
        <f t="shared" si="10"/>
        <v>64737.207868277488</v>
      </c>
      <c r="P22" s="72" t="s">
        <v>123</v>
      </c>
      <c r="Q22" s="44">
        <f t="shared" si="22"/>
        <v>528046.2138997087</v>
      </c>
      <c r="R22" s="44">
        <f t="shared" si="3"/>
        <v>2776.0763831565778</v>
      </c>
      <c r="S22" s="44">
        <f t="shared" si="23"/>
        <v>1004.9236168434222</v>
      </c>
      <c r="T22" s="44">
        <f t="shared" si="24"/>
        <v>0</v>
      </c>
      <c r="U22" s="43">
        <f t="shared" si="11"/>
        <v>527041.29028286529</v>
      </c>
      <c r="W22" s="72" t="s">
        <v>123</v>
      </c>
      <c r="X22" s="44">
        <f t="shared" si="25"/>
        <v>450162.16410966095</v>
      </c>
      <c r="Y22" s="44">
        <f t="shared" si="4"/>
        <v>2366.6196622192556</v>
      </c>
      <c r="Z22" s="44">
        <f t="shared" si="26"/>
        <v>517.38033778074441</v>
      </c>
      <c r="AA22" s="44">
        <f t="shared" si="27"/>
        <v>0</v>
      </c>
      <c r="AB22" s="43">
        <f t="shared" si="12"/>
        <v>449644.7837718802</v>
      </c>
      <c r="AD22" s="72" t="s">
        <v>123</v>
      </c>
      <c r="AE22" s="44">
        <f t="shared" si="28"/>
        <v>914267.02184339392</v>
      </c>
      <c r="AF22" s="44">
        <f t="shared" si="5"/>
        <v>4915.2497998994295</v>
      </c>
      <c r="AG22" s="44">
        <f t="shared" si="29"/>
        <v>1126.7502001005705</v>
      </c>
      <c r="AH22" s="44">
        <f t="shared" si="30"/>
        <v>0</v>
      </c>
      <c r="AI22" s="43">
        <f t="shared" si="13"/>
        <v>913140.27164329332</v>
      </c>
      <c r="AK22" s="101">
        <f t="shared" si="31"/>
        <v>2028</v>
      </c>
      <c r="AL22" s="101">
        <f t="shared" si="6"/>
        <v>8</v>
      </c>
      <c r="AM22" s="118">
        <f t="shared" si="32"/>
        <v>5557.4082817100489</v>
      </c>
      <c r="AN22" s="100">
        <f t="shared" si="33"/>
        <v>4735.9451025550588</v>
      </c>
      <c r="AO22" s="100">
        <f t="shared" si="34"/>
        <v>9836.5248016183832</v>
      </c>
      <c r="AP22" s="100">
        <f t="shared" si="35"/>
        <v>10293.353384265109</v>
      </c>
      <c r="AQ22" s="1">
        <f t="shared" si="36"/>
        <v>16606</v>
      </c>
      <c r="AR22" s="100">
        <f t="shared" si="15"/>
        <v>1041423.2819230229</v>
      </c>
      <c r="AS22" s="100">
        <f t="shared" si="16"/>
        <v>20129.878185883492</v>
      </c>
      <c r="AT22" s="100">
        <f t="shared" si="37"/>
        <v>7877.0990908079066</v>
      </c>
      <c r="AU22" s="1">
        <f t="shared" si="17"/>
        <v>28006.977276691399</v>
      </c>
      <c r="AV22" s="100">
        <f t="shared" si="18"/>
        <v>1954563.5535663161</v>
      </c>
      <c r="AY22" s="102" t="s">
        <v>134</v>
      </c>
      <c r="AZ22" s="119">
        <v>6</v>
      </c>
    </row>
    <row r="23" spans="4:81">
      <c r="D23">
        <f t="shared" si="19"/>
        <v>15</v>
      </c>
      <c r="E23">
        <f t="shared" si="0"/>
        <v>2028</v>
      </c>
      <c r="F23" s="35">
        <f t="shared" si="1"/>
        <v>46660</v>
      </c>
      <c r="G23" s="36">
        <f t="shared" si="2"/>
        <v>9</v>
      </c>
      <c r="H23" s="36">
        <f t="shared" si="7"/>
        <v>30</v>
      </c>
      <c r="I23" s="37" t="s">
        <v>123</v>
      </c>
      <c r="J23" s="27">
        <f t="shared" si="20"/>
        <v>64737.207868277488</v>
      </c>
      <c r="K23" s="27">
        <f t="shared" si="8"/>
        <v>320.84824392798345</v>
      </c>
      <c r="L23" s="27">
        <f t="shared" si="21"/>
        <v>1317.1517560720165</v>
      </c>
      <c r="M23" s="27">
        <f t="shared" si="9"/>
        <v>0</v>
      </c>
      <c r="N23" s="27">
        <f t="shared" si="10"/>
        <v>63420.056112205471</v>
      </c>
      <c r="P23" s="72" t="s">
        <v>123</v>
      </c>
      <c r="Q23" s="44">
        <f t="shared" si="22"/>
        <v>527041.29028286529</v>
      </c>
      <c r="R23" s="44">
        <f t="shared" si="3"/>
        <v>2681.4128111103582</v>
      </c>
      <c r="S23" s="44">
        <f t="shared" si="23"/>
        <v>1099.5871888896418</v>
      </c>
      <c r="T23" s="44">
        <f t="shared" si="24"/>
        <v>0</v>
      </c>
      <c r="U23" s="43">
        <f t="shared" si="11"/>
        <v>525941.70309397567</v>
      </c>
      <c r="W23" s="72" t="s">
        <v>123</v>
      </c>
      <c r="X23" s="44">
        <f t="shared" si="25"/>
        <v>449644.7837718802</v>
      </c>
      <c r="Y23" s="44">
        <f t="shared" si="4"/>
        <v>2287.6448314092645</v>
      </c>
      <c r="Z23" s="44">
        <f t="shared" si="26"/>
        <v>596.3551685907355</v>
      </c>
      <c r="AA23" s="44">
        <f t="shared" si="27"/>
        <v>0</v>
      </c>
      <c r="AB23" s="43">
        <f t="shared" si="12"/>
        <v>449048.42860328947</v>
      </c>
      <c r="AD23" s="72" t="s">
        <v>123</v>
      </c>
      <c r="AE23" s="44">
        <f t="shared" si="28"/>
        <v>913140.27164329332</v>
      </c>
      <c r="AF23" s="44">
        <f t="shared" si="5"/>
        <v>4750.8311667140106</v>
      </c>
      <c r="AG23" s="44">
        <f t="shared" si="29"/>
        <v>1291.1688332859894</v>
      </c>
      <c r="AH23" s="44">
        <f t="shared" si="30"/>
        <v>0</v>
      </c>
      <c r="AI23" s="43">
        <f t="shared" si="13"/>
        <v>911849.10281000729</v>
      </c>
      <c r="AK23" s="101">
        <f t="shared" ref="AK23:AK86" si="38">E23</f>
        <v>2028</v>
      </c>
      <c r="AL23" s="101">
        <f t="shared" si="6"/>
        <v>9</v>
      </c>
      <c r="AM23" s="118">
        <f t="shared" si="32"/>
        <v>8238.8210928204062</v>
      </c>
      <c r="AN23" s="100">
        <f t="shared" si="33"/>
        <v>7023.5899339643238</v>
      </c>
      <c r="AO23" s="100">
        <f t="shared" si="34"/>
        <v>14587.355968332395</v>
      </c>
      <c r="AP23" s="100">
        <f t="shared" si="35"/>
        <v>15262.41102678473</v>
      </c>
      <c r="AQ23" s="1">
        <f t="shared" si="36"/>
        <v>24909</v>
      </c>
      <c r="AR23" s="100">
        <f t="shared" si="15"/>
        <v>1038410.1878094706</v>
      </c>
      <c r="AS23" s="100">
        <f t="shared" si="16"/>
        <v>29849.766995117126</v>
      </c>
      <c r="AT23" s="100">
        <f t="shared" si="37"/>
        <v>12181.36203764629</v>
      </c>
      <c r="AU23" s="1">
        <f t="shared" si="17"/>
        <v>42031.12903276342</v>
      </c>
      <c r="AV23" s="100">
        <f t="shared" si="18"/>
        <v>1950259.2906194779</v>
      </c>
    </row>
    <row r="24" spans="4:81">
      <c r="D24">
        <f t="shared" si="19"/>
        <v>16</v>
      </c>
      <c r="E24">
        <f t="shared" si="0"/>
        <v>2028</v>
      </c>
      <c r="F24" s="35">
        <f t="shared" si="1"/>
        <v>46690</v>
      </c>
      <c r="G24" s="36">
        <f t="shared" si="2"/>
        <v>10</v>
      </c>
      <c r="H24" s="36">
        <f t="shared" si="7"/>
        <v>31</v>
      </c>
      <c r="I24" s="37" t="s">
        <v>123</v>
      </c>
      <c r="J24" s="27">
        <f t="shared" si="20"/>
        <v>63420.056112205471</v>
      </c>
      <c r="K24" s="27">
        <f t="shared" si="8"/>
        <v>324.79756408368678</v>
      </c>
      <c r="L24" s="27">
        <f t="shared" si="21"/>
        <v>1313.2024359163133</v>
      </c>
      <c r="M24" s="27">
        <f t="shared" si="9"/>
        <v>0</v>
      </c>
      <c r="N24" s="27">
        <f t="shared" si="10"/>
        <v>62106.85367628916</v>
      </c>
      <c r="P24" s="72" t="s">
        <v>123</v>
      </c>
      <c r="Q24" s="44">
        <f t="shared" si="22"/>
        <v>525941.70309397567</v>
      </c>
      <c r="R24" s="44">
        <f t="shared" si="3"/>
        <v>2765.0124221014521</v>
      </c>
      <c r="S24" s="44">
        <f t="shared" si="23"/>
        <v>1015.9875778985479</v>
      </c>
      <c r="T24" s="44">
        <f t="shared" si="24"/>
        <v>0</v>
      </c>
      <c r="U24" s="43">
        <f t="shared" si="11"/>
        <v>524925.71551607712</v>
      </c>
      <c r="W24" s="72" t="s">
        <v>123</v>
      </c>
      <c r="X24" s="44">
        <f t="shared" si="25"/>
        <v>449048.42860328947</v>
      </c>
      <c r="Y24" s="44">
        <f t="shared" si="4"/>
        <v>2360.7644647858961</v>
      </c>
      <c r="Z24" s="44">
        <f t="shared" si="26"/>
        <v>523.23553521410395</v>
      </c>
      <c r="AA24" s="44">
        <f t="shared" si="27"/>
        <v>0</v>
      </c>
      <c r="AB24" s="43">
        <f t="shared" si="12"/>
        <v>448525.19306807534</v>
      </c>
      <c r="AD24" s="72" t="s">
        <v>123</v>
      </c>
      <c r="AE24" s="44">
        <f t="shared" si="28"/>
        <v>911849.10281000729</v>
      </c>
      <c r="AF24" s="44">
        <f t="shared" si="5"/>
        <v>4902.2506697098006</v>
      </c>
      <c r="AG24" s="44">
        <f t="shared" si="29"/>
        <v>1139.7493302901994</v>
      </c>
      <c r="AH24" s="44">
        <f t="shared" si="30"/>
        <v>0</v>
      </c>
      <c r="AI24" s="43">
        <f t="shared" si="13"/>
        <v>910709.35347971704</v>
      </c>
      <c r="AK24" s="101">
        <f t="shared" si="38"/>
        <v>2028</v>
      </c>
      <c r="AL24" s="101">
        <f t="shared" si="6"/>
        <v>10</v>
      </c>
      <c r="AM24" s="118">
        <f t="shared" si="32"/>
        <v>11003.833514921858</v>
      </c>
      <c r="AN24" s="100">
        <f t="shared" si="33"/>
        <v>9384.3543987502198</v>
      </c>
      <c r="AO24" s="100">
        <f t="shared" si="34"/>
        <v>19489.606638042194</v>
      </c>
      <c r="AP24" s="100">
        <f t="shared" si="35"/>
        <v>20388.187913672078</v>
      </c>
      <c r="AQ24" s="1">
        <f t="shared" si="36"/>
        <v>33212</v>
      </c>
      <c r="AR24" s="100">
        <f t="shared" si="15"/>
        <v>1035557.7622604417</v>
      </c>
      <c r="AS24" s="100">
        <f t="shared" si="16"/>
        <v>39877.794551714273</v>
      </c>
      <c r="AT24" s="100">
        <f t="shared" si="37"/>
        <v>16173.536916965455</v>
      </c>
      <c r="AU24" s="1">
        <f t="shared" si="17"/>
        <v>56051.331468679724</v>
      </c>
      <c r="AV24" s="100">
        <f t="shared" si="18"/>
        <v>1946267.1157401586</v>
      </c>
      <c r="AZ24" s="102" t="s">
        <v>135</v>
      </c>
      <c r="BA24"/>
      <c r="BB24"/>
      <c r="BC24"/>
      <c r="BD24"/>
      <c r="BE24"/>
      <c r="BF24"/>
      <c r="BG24"/>
      <c r="BH24"/>
      <c r="BI24"/>
      <c r="BJ24"/>
      <c r="BK24"/>
      <c r="BL24"/>
      <c r="BM24"/>
      <c r="BN24"/>
      <c r="BO24"/>
      <c r="BP24"/>
      <c r="BQ24"/>
      <c r="BR24"/>
      <c r="BS24"/>
      <c r="BT24"/>
      <c r="BU24"/>
      <c r="BV24"/>
      <c r="BW24"/>
      <c r="BX24"/>
      <c r="BY24"/>
      <c r="BZ24"/>
      <c r="CA24"/>
      <c r="CB24"/>
      <c r="CC24"/>
    </row>
    <row r="25" spans="4:81">
      <c r="D25">
        <f t="shared" si="19"/>
        <v>17</v>
      </c>
      <c r="E25">
        <f t="shared" si="0"/>
        <v>2028</v>
      </c>
      <c r="F25" s="35">
        <f t="shared" si="1"/>
        <v>46721</v>
      </c>
      <c r="G25" s="36">
        <f t="shared" si="2"/>
        <v>11</v>
      </c>
      <c r="H25" s="36">
        <f t="shared" si="7"/>
        <v>30</v>
      </c>
      <c r="I25" s="37" t="s">
        <v>123</v>
      </c>
      <c r="J25" s="27">
        <f t="shared" si="20"/>
        <v>62106.85367628916</v>
      </c>
      <c r="K25" s="27">
        <f t="shared" si="8"/>
        <v>307.81177616549888</v>
      </c>
      <c r="L25" s="27">
        <f t="shared" si="21"/>
        <v>1330.1882238345011</v>
      </c>
      <c r="M25" s="27">
        <f t="shared" si="9"/>
        <v>0</v>
      </c>
      <c r="N25" s="27">
        <f t="shared" si="10"/>
        <v>60776.665452454661</v>
      </c>
      <c r="P25" s="72" t="s">
        <v>123</v>
      </c>
      <c r="Q25" s="44">
        <f t="shared" si="22"/>
        <v>524925.71551607712</v>
      </c>
      <c r="R25" s="44">
        <f t="shared" si="3"/>
        <v>2670.6494622283703</v>
      </c>
      <c r="S25" s="44">
        <f t="shared" si="23"/>
        <v>1110.3505377716297</v>
      </c>
      <c r="T25" s="44">
        <f t="shared" si="24"/>
        <v>0</v>
      </c>
      <c r="U25" s="43">
        <f t="shared" si="11"/>
        <v>523815.36497830553</v>
      </c>
      <c r="W25" s="72" t="s">
        <v>123</v>
      </c>
      <c r="X25" s="44">
        <f t="shared" si="25"/>
        <v>448525.19306807534</v>
      </c>
      <c r="Y25" s="44">
        <f t="shared" si="4"/>
        <v>2281.9487219929206</v>
      </c>
      <c r="Z25" s="44">
        <f t="shared" si="26"/>
        <v>602.05127800707942</v>
      </c>
      <c r="AA25" s="44">
        <f t="shared" si="27"/>
        <v>0</v>
      </c>
      <c r="AB25" s="43">
        <f t="shared" si="12"/>
        <v>447923.14179006824</v>
      </c>
      <c r="AD25" s="72" t="s">
        <v>123</v>
      </c>
      <c r="AE25" s="44">
        <f t="shared" si="28"/>
        <v>910709.35347971704</v>
      </c>
      <c r="AF25" s="44">
        <f t="shared" si="5"/>
        <v>4738.1837322136507</v>
      </c>
      <c r="AG25" s="44">
        <f t="shared" si="29"/>
        <v>1303.8162677863493</v>
      </c>
      <c r="AH25" s="44">
        <f t="shared" si="30"/>
        <v>0</v>
      </c>
      <c r="AI25" s="43">
        <f t="shared" si="13"/>
        <v>909405.53721193073</v>
      </c>
      <c r="AK25" s="101">
        <f t="shared" si="38"/>
        <v>2028</v>
      </c>
      <c r="AL25" s="101">
        <f t="shared" si="6"/>
        <v>11</v>
      </c>
      <c r="AM25" s="118">
        <f t="shared" si="32"/>
        <v>13674.482977150228</v>
      </c>
      <c r="AN25" s="100">
        <f t="shared" si="33"/>
        <v>11666.303120743141</v>
      </c>
      <c r="AO25" s="100">
        <f t="shared" si="34"/>
        <v>24227.790370255847</v>
      </c>
      <c r="AP25" s="100">
        <f t="shared" si="35"/>
        <v>25340.786097893368</v>
      </c>
      <c r="AQ25" s="1">
        <f t="shared" si="36"/>
        <v>41515</v>
      </c>
      <c r="AR25" s="100">
        <f t="shared" si="15"/>
        <v>1032515.1722208285</v>
      </c>
      <c r="AS25" s="100">
        <f t="shared" si="16"/>
        <v>49568.576468149215</v>
      </c>
      <c r="AT25" s="100">
        <f t="shared" si="37"/>
        <v>20519.943224365015</v>
      </c>
      <c r="AU25" s="1">
        <f t="shared" si="17"/>
        <v>70088.519692514237</v>
      </c>
      <c r="AV25" s="100">
        <f t="shared" si="18"/>
        <v>1941920.7094327593</v>
      </c>
      <c r="AZ25" s="120">
        <v>2027</v>
      </c>
      <c r="BA25" s="120">
        <v>2028</v>
      </c>
      <c r="BB25" s="120">
        <v>2029</v>
      </c>
      <c r="BC25" s="120">
        <v>2030</v>
      </c>
      <c r="BD25" s="120">
        <v>2031</v>
      </c>
      <c r="BE25" s="120">
        <v>2032</v>
      </c>
      <c r="BF25" s="120">
        <v>2033</v>
      </c>
      <c r="BG25" s="120">
        <v>2034</v>
      </c>
      <c r="BH25" s="120">
        <v>2035</v>
      </c>
      <c r="BI25" s="120">
        <v>2036</v>
      </c>
      <c r="BJ25" s="120">
        <v>2037</v>
      </c>
      <c r="BK25" s="120">
        <v>2038</v>
      </c>
      <c r="BL25" s="120">
        <v>2039</v>
      </c>
      <c r="BM25" s="120">
        <v>2040</v>
      </c>
      <c r="BN25" s="120">
        <v>2041</v>
      </c>
      <c r="BO25" s="120">
        <v>2042</v>
      </c>
      <c r="BP25" s="120">
        <v>2043</v>
      </c>
      <c r="BQ25" s="120">
        <v>2044</v>
      </c>
      <c r="BR25" s="120">
        <v>2045</v>
      </c>
      <c r="BS25" s="120">
        <v>2046</v>
      </c>
      <c r="BT25" s="120">
        <v>2047</v>
      </c>
      <c r="BU25" s="120">
        <v>2048</v>
      </c>
      <c r="BV25" s="120">
        <v>2049</v>
      </c>
      <c r="BW25" s="120">
        <v>2050</v>
      </c>
      <c r="BX25" s="120">
        <v>2051</v>
      </c>
      <c r="BY25" s="120">
        <v>2052</v>
      </c>
      <c r="BZ25" s="120">
        <v>2053</v>
      </c>
      <c r="CA25" s="120">
        <v>2054</v>
      </c>
      <c r="CB25" s="120">
        <v>2055</v>
      </c>
      <c r="CC25"/>
    </row>
    <row r="26" spans="4:81">
      <c r="D26">
        <f t="shared" si="19"/>
        <v>18</v>
      </c>
      <c r="E26">
        <f t="shared" si="0"/>
        <v>2028</v>
      </c>
      <c r="F26" s="35">
        <f t="shared" si="1"/>
        <v>46751</v>
      </c>
      <c r="G26" s="36">
        <f t="shared" si="2"/>
        <v>12</v>
      </c>
      <c r="H26" s="36">
        <f t="shared" si="7"/>
        <v>31</v>
      </c>
      <c r="I26" s="37" t="s">
        <v>123</v>
      </c>
      <c r="J26" s="27">
        <f t="shared" si="20"/>
        <v>60776.665452454661</v>
      </c>
      <c r="K26" s="27">
        <f t="shared" si="8"/>
        <v>311.25978282266709</v>
      </c>
      <c r="L26" s="27">
        <f t="shared" si="21"/>
        <v>1326.7402171773329</v>
      </c>
      <c r="M26" s="27">
        <f t="shared" si="9"/>
        <v>0</v>
      </c>
      <c r="N26" s="27">
        <f t="shared" si="10"/>
        <v>59449.925235277326</v>
      </c>
      <c r="P26" s="72" t="s">
        <v>123</v>
      </c>
      <c r="Q26" s="44">
        <f t="shared" si="22"/>
        <v>523815.36497830553</v>
      </c>
      <c r="R26" s="44">
        <f t="shared" si="3"/>
        <v>2753.8337091969051</v>
      </c>
      <c r="S26" s="44">
        <f t="shared" si="23"/>
        <v>1027.1662908030949</v>
      </c>
      <c r="T26" s="44">
        <f t="shared" si="24"/>
        <v>0</v>
      </c>
      <c r="U26" s="43">
        <f t="shared" si="11"/>
        <v>522788.19868750242</v>
      </c>
      <c r="W26" s="72" t="s">
        <v>123</v>
      </c>
      <c r="X26" s="44">
        <f t="shared" si="25"/>
        <v>447923.14179006824</v>
      </c>
      <c r="Y26" s="44">
        <f t="shared" si="4"/>
        <v>2354.8485391259233</v>
      </c>
      <c r="Z26" s="44">
        <f t="shared" si="26"/>
        <v>529.15146087407675</v>
      </c>
      <c r="AA26" s="44">
        <f t="shared" si="27"/>
        <v>0</v>
      </c>
      <c r="AB26" s="43">
        <f t="shared" si="12"/>
        <v>447393.99032919417</v>
      </c>
      <c r="AD26" s="72" t="s">
        <v>123</v>
      </c>
      <c r="AE26" s="44">
        <f t="shared" si="28"/>
        <v>909405.53721193073</v>
      </c>
      <c r="AF26" s="44">
        <f t="shared" si="5"/>
        <v>4889.113659372525</v>
      </c>
      <c r="AG26" s="44">
        <f t="shared" si="29"/>
        <v>1152.886340627475</v>
      </c>
      <c r="AH26" s="44">
        <f t="shared" si="30"/>
        <v>0</v>
      </c>
      <c r="AI26" s="43">
        <f t="shared" si="13"/>
        <v>908252.65087130328</v>
      </c>
      <c r="AK26" s="101">
        <f t="shared" si="38"/>
        <v>2028</v>
      </c>
      <c r="AL26" s="101">
        <f t="shared" si="6"/>
        <v>12</v>
      </c>
      <c r="AM26" s="118">
        <f t="shared" si="32"/>
        <v>16428.316686347134</v>
      </c>
      <c r="AN26" s="100">
        <f t="shared" si="33"/>
        <v>14021.151659869065</v>
      </c>
      <c r="AO26" s="100">
        <f t="shared" si="34"/>
        <v>29116.904029628371</v>
      </c>
      <c r="AP26" s="100">
        <f t="shared" si="35"/>
        <v>30449.468346216199</v>
      </c>
      <c r="AQ26" s="1">
        <f t="shared" si="36"/>
        <v>49818</v>
      </c>
      <c r="AR26" s="100">
        <f t="shared" si="15"/>
        <v>1029632.1142519738</v>
      </c>
      <c r="AS26" s="100">
        <f t="shared" si="16"/>
        <v>59566.37237584457</v>
      </c>
      <c r="AT26" s="100">
        <f t="shared" si="37"/>
        <v>24555.887533846995</v>
      </c>
      <c r="AU26" s="1">
        <f t="shared" si="17"/>
        <v>84122.259909691566</v>
      </c>
      <c r="AV26" s="100">
        <f t="shared" si="18"/>
        <v>1937884.765123277</v>
      </c>
      <c r="AX26" s="133" t="s">
        <v>193</v>
      </c>
      <c r="AY26" t="s">
        <v>195</v>
      </c>
      <c r="AZ26" s="103">
        <v>61287.0206704804</v>
      </c>
      <c r="BA26" s="103">
        <v>60264.221015332754</v>
      </c>
      <c r="BB26" s="103">
        <v>58840.898632225944</v>
      </c>
      <c r="BC26" s="103">
        <v>57494.621793448066</v>
      </c>
      <c r="BD26" s="103">
        <v>56062.605201825587</v>
      </c>
      <c r="BE26" s="103">
        <v>54691.414468129005</v>
      </c>
      <c r="BF26" s="103">
        <v>52928.845138179342</v>
      </c>
      <c r="BG26" s="103">
        <v>51206.049896363562</v>
      </c>
      <c r="BH26" s="103">
        <v>49373.535736431921</v>
      </c>
      <c r="BI26" s="103">
        <v>47556.283210843168</v>
      </c>
      <c r="BJ26" s="103">
        <v>45359.359758988503</v>
      </c>
      <c r="BK26" s="103">
        <v>43154.489963946537</v>
      </c>
      <c r="BL26" s="103">
        <v>40809.199576470535</v>
      </c>
      <c r="BM26" s="103">
        <v>38420.832764560902</v>
      </c>
      <c r="BN26" s="103">
        <v>35667.784917272031</v>
      </c>
      <c r="BO26" s="103">
        <v>32845.691971932116</v>
      </c>
      <c r="BP26" s="103">
        <v>29843.869609381425</v>
      </c>
      <c r="BQ26" s="103">
        <v>26724.277810332158</v>
      </c>
      <c r="BR26" s="103">
        <v>23259.197251483834</v>
      </c>
      <c r="BS26" s="103">
        <v>19646.84393103344</v>
      </c>
      <c r="BT26" s="103">
        <v>15804.432221430387</v>
      </c>
      <c r="BU26" s="103">
        <v>11812.36548474626</v>
      </c>
      <c r="BV26" s="103">
        <v>9424.0915119360088</v>
      </c>
      <c r="BW26" s="103">
        <v>7820.2147852238368</v>
      </c>
      <c r="BX26" s="103">
        <v>6114.1926526185243</v>
      </c>
      <c r="BY26" s="103">
        <v>4310.8943162975747</v>
      </c>
      <c r="BZ26" s="103">
        <v>2370.0011107295609</v>
      </c>
      <c r="CA26" s="103">
        <v>448.52581289379606</v>
      </c>
      <c r="CB26" s="103">
        <v>0</v>
      </c>
      <c r="CC26"/>
    </row>
    <row r="27" spans="4:81">
      <c r="D27">
        <f t="shared" si="19"/>
        <v>19</v>
      </c>
      <c r="E27">
        <f t="shared" si="0"/>
        <v>2028</v>
      </c>
      <c r="F27" s="35">
        <f t="shared" si="1"/>
        <v>46782</v>
      </c>
      <c r="G27" s="36">
        <f t="shared" si="2"/>
        <v>1</v>
      </c>
      <c r="H27" s="36">
        <f t="shared" si="7"/>
        <v>31</v>
      </c>
      <c r="I27" s="37" t="s">
        <v>123</v>
      </c>
      <c r="J27" s="27">
        <f t="shared" si="20"/>
        <v>59449.925235277326</v>
      </c>
      <c r="K27" s="27">
        <f t="shared" si="8"/>
        <v>304.46505545836681</v>
      </c>
      <c r="L27" s="27">
        <f t="shared" si="21"/>
        <v>1333.5349445416332</v>
      </c>
      <c r="M27" s="27">
        <f t="shared" si="9"/>
        <v>0</v>
      </c>
      <c r="N27" s="27">
        <f t="shared" si="10"/>
        <v>58116.39029073569</v>
      </c>
      <c r="P27" s="72" t="s">
        <v>123</v>
      </c>
      <c r="Q27" s="44">
        <f t="shared" si="22"/>
        <v>522788.19868750242</v>
      </c>
      <c r="R27" s="44">
        <f t="shared" si="3"/>
        <v>2748.4336286615026</v>
      </c>
      <c r="S27" s="44">
        <f t="shared" si="23"/>
        <v>1032.5663713384974</v>
      </c>
      <c r="T27" s="44">
        <f t="shared" si="24"/>
        <v>0</v>
      </c>
      <c r="U27" s="43">
        <f t="shared" si="11"/>
        <v>521755.63231616397</v>
      </c>
      <c r="W27" s="72" t="s">
        <v>123</v>
      </c>
      <c r="X27" s="44">
        <f t="shared" si="25"/>
        <v>447393.99032919417</v>
      </c>
      <c r="Y27" s="44">
        <f t="shared" si="4"/>
        <v>2352.0666521717553</v>
      </c>
      <c r="Z27" s="44">
        <f t="shared" si="26"/>
        <v>531.93334782824468</v>
      </c>
      <c r="AA27" s="44">
        <f t="shared" si="27"/>
        <v>0</v>
      </c>
      <c r="AB27" s="43">
        <f t="shared" si="12"/>
        <v>446862.05698136595</v>
      </c>
      <c r="AD27" s="72" t="s">
        <v>123</v>
      </c>
      <c r="AE27" s="44">
        <f t="shared" si="28"/>
        <v>908252.65087130328</v>
      </c>
      <c r="AF27" s="44">
        <f t="shared" si="5"/>
        <v>4882.9155528897491</v>
      </c>
      <c r="AG27" s="44">
        <f t="shared" si="29"/>
        <v>1159.0844471102509</v>
      </c>
      <c r="AH27" s="44">
        <f t="shared" si="30"/>
        <v>0</v>
      </c>
      <c r="AI27" s="43">
        <f t="shared" si="13"/>
        <v>907093.56642419298</v>
      </c>
      <c r="AK27" s="101">
        <f t="shared" si="38"/>
        <v>2028</v>
      </c>
      <c r="AL27" s="101">
        <f t="shared" si="6"/>
        <v>1</v>
      </c>
      <c r="AM27" s="118">
        <f t="shared" si="32"/>
        <v>19176.750315008638</v>
      </c>
      <c r="AN27" s="100">
        <f t="shared" si="33"/>
        <v>16373.218312040821</v>
      </c>
      <c r="AO27" s="100">
        <f t="shared" si="34"/>
        <v>33999.819582518117</v>
      </c>
      <c r="AP27" s="100">
        <f t="shared" si="35"/>
        <v>35549.968627049457</v>
      </c>
      <c r="AQ27" s="1">
        <f t="shared" si="36"/>
        <v>58121</v>
      </c>
      <c r="AR27" s="100">
        <f t="shared" si="15"/>
        <v>1026734.0795882656</v>
      </c>
      <c r="AS27" s="100">
        <f t="shared" si="16"/>
        <v>69549.788209567574</v>
      </c>
      <c r="AT27" s="100">
        <f t="shared" si="37"/>
        <v>28613.00664466562</v>
      </c>
      <c r="AU27" s="1">
        <f t="shared" si="17"/>
        <v>98162.794854233187</v>
      </c>
      <c r="AV27" s="100">
        <f t="shared" si="18"/>
        <v>1933827.6460124585</v>
      </c>
    </row>
    <row r="28" spans="4:81">
      <c r="D28">
        <f t="shared" si="19"/>
        <v>20</v>
      </c>
      <c r="E28">
        <f t="shared" si="0"/>
        <v>2028</v>
      </c>
      <c r="F28" s="35">
        <f t="shared" si="1"/>
        <v>46812</v>
      </c>
      <c r="G28" s="36">
        <f t="shared" si="2"/>
        <v>2</v>
      </c>
      <c r="H28" s="36">
        <f t="shared" si="7"/>
        <v>29</v>
      </c>
      <c r="I28" s="37" t="s">
        <v>123</v>
      </c>
      <c r="J28" s="27">
        <f t="shared" si="20"/>
        <v>58116.39029073569</v>
      </c>
      <c r="K28" s="27">
        <f t="shared" si="8"/>
        <v>278.43323753810819</v>
      </c>
      <c r="L28" s="27">
        <f t="shared" si="21"/>
        <v>1359.5667624618918</v>
      </c>
      <c r="M28" s="27">
        <f t="shared" si="9"/>
        <v>0</v>
      </c>
      <c r="N28" s="27">
        <f t="shared" si="10"/>
        <v>56756.823528273795</v>
      </c>
      <c r="P28" s="72" t="s">
        <v>123</v>
      </c>
      <c r="Q28" s="44">
        <f t="shared" si="22"/>
        <v>521755.63231616397</v>
      </c>
      <c r="R28" s="44">
        <f t="shared" si="3"/>
        <v>2566.0370837554683</v>
      </c>
      <c r="S28" s="44">
        <f t="shared" si="23"/>
        <v>1214.9629162445317</v>
      </c>
      <c r="T28" s="44">
        <f t="shared" si="24"/>
        <v>0</v>
      </c>
      <c r="U28" s="43">
        <f t="shared" si="11"/>
        <v>520540.66939991945</v>
      </c>
      <c r="W28" s="72" t="s">
        <v>123</v>
      </c>
      <c r="X28" s="44">
        <f t="shared" si="25"/>
        <v>446862.05698136595</v>
      </c>
      <c r="Y28" s="44">
        <f t="shared" si="4"/>
        <v>2197.7043246226026</v>
      </c>
      <c r="Z28" s="44">
        <f t="shared" si="26"/>
        <v>686.2956753773974</v>
      </c>
      <c r="AA28" s="44">
        <f t="shared" si="27"/>
        <v>0</v>
      </c>
      <c r="AB28" s="43">
        <f t="shared" si="12"/>
        <v>446175.76130598853</v>
      </c>
      <c r="AD28" s="72" t="s">
        <v>123</v>
      </c>
      <c r="AE28" s="44">
        <f t="shared" si="28"/>
        <v>907093.56642419298</v>
      </c>
      <c r="AF28" s="44">
        <f t="shared" si="5"/>
        <v>4562.0593421503863</v>
      </c>
      <c r="AG28" s="44">
        <f t="shared" si="29"/>
        <v>1479.9406578496137</v>
      </c>
      <c r="AH28" s="44">
        <f t="shared" si="30"/>
        <v>0</v>
      </c>
      <c r="AI28" s="43">
        <f t="shared" si="13"/>
        <v>905613.62576634332</v>
      </c>
      <c r="AK28" s="101">
        <f t="shared" si="38"/>
        <v>2028</v>
      </c>
      <c r="AL28" s="101">
        <f t="shared" si="6"/>
        <v>2</v>
      </c>
      <c r="AM28" s="118">
        <f t="shared" si="32"/>
        <v>21742.787398764107</v>
      </c>
      <c r="AN28" s="100">
        <f t="shared" si="33"/>
        <v>18570.922636663425</v>
      </c>
      <c r="AO28" s="100">
        <f t="shared" si="34"/>
        <v>38561.878924668505</v>
      </c>
      <c r="AP28" s="100">
        <f t="shared" si="35"/>
        <v>40313.710035427532</v>
      </c>
      <c r="AQ28" s="1">
        <f t="shared" si="36"/>
        <v>66424</v>
      </c>
      <c r="AR28" s="100">
        <f t="shared" si="15"/>
        <v>1023473.2542341818</v>
      </c>
      <c r="AS28" s="100">
        <f t="shared" si="16"/>
        <v>78875.588960096036</v>
      </c>
      <c r="AT28" s="100">
        <f t="shared" si="37"/>
        <v>33353.772656599052</v>
      </c>
      <c r="AU28" s="1">
        <f t="shared" si="17"/>
        <v>112229.3616166951</v>
      </c>
      <c r="AV28" s="100">
        <f t="shared" si="18"/>
        <v>1929086.8800005252</v>
      </c>
      <c r="AY28" s="102" t="s">
        <v>134</v>
      </c>
      <c r="AZ28" s="119">
        <v>6</v>
      </c>
    </row>
    <row r="29" spans="4:81">
      <c r="D29">
        <f t="shared" si="19"/>
        <v>21</v>
      </c>
      <c r="E29">
        <f t="shared" si="0"/>
        <v>2028</v>
      </c>
      <c r="F29" s="35">
        <f t="shared" si="1"/>
        <v>46842</v>
      </c>
      <c r="G29" s="36">
        <f t="shared" si="2"/>
        <v>3</v>
      </c>
      <c r="H29" s="36">
        <f t="shared" si="7"/>
        <v>31</v>
      </c>
      <c r="I29" s="37" t="s">
        <v>123</v>
      </c>
      <c r="J29" s="27">
        <f t="shared" si="20"/>
        <v>56756.823528273795</v>
      </c>
      <c r="K29" s="27">
        <f t="shared" si="8"/>
        <v>290.67268553808822</v>
      </c>
      <c r="L29" s="27">
        <f t="shared" si="21"/>
        <v>1347.3273144619118</v>
      </c>
      <c r="M29" s="27">
        <f t="shared" si="9"/>
        <v>0</v>
      </c>
      <c r="N29" s="27">
        <f t="shared" si="10"/>
        <v>55409.496213811886</v>
      </c>
      <c r="P29" s="72" t="s">
        <v>123</v>
      </c>
      <c r="Q29" s="44">
        <f t="shared" si="22"/>
        <v>520540.66939991945</v>
      </c>
      <c r="R29" s="44">
        <f t="shared" si="3"/>
        <v>2736.6177822233021</v>
      </c>
      <c r="S29" s="44">
        <f t="shared" si="23"/>
        <v>1044.3822177766979</v>
      </c>
      <c r="T29" s="44">
        <f t="shared" si="24"/>
        <v>0</v>
      </c>
      <c r="U29" s="43">
        <f t="shared" si="11"/>
        <v>519496.28718214278</v>
      </c>
      <c r="W29" s="72" t="s">
        <v>123</v>
      </c>
      <c r="X29" s="44">
        <f t="shared" si="25"/>
        <v>446175.76130598853</v>
      </c>
      <c r="Y29" s="44">
        <f t="shared" si="4"/>
        <v>2345.6621051234561</v>
      </c>
      <c r="Z29" s="44">
        <f t="shared" si="26"/>
        <v>538.33789487654394</v>
      </c>
      <c r="AA29" s="44">
        <f t="shared" si="27"/>
        <v>0</v>
      </c>
      <c r="AB29" s="43">
        <f t="shared" si="12"/>
        <v>445637.42341111199</v>
      </c>
      <c r="AD29" s="72" t="s">
        <v>123</v>
      </c>
      <c r="AE29" s="44">
        <f t="shared" si="28"/>
        <v>905613.62576634332</v>
      </c>
      <c r="AF29" s="44">
        <f t="shared" si="5"/>
        <v>4868.7277201131383</v>
      </c>
      <c r="AG29" s="44">
        <f t="shared" si="29"/>
        <v>1173.2722798868617</v>
      </c>
      <c r="AH29" s="44">
        <f t="shared" si="30"/>
        <v>0</v>
      </c>
      <c r="AI29" s="43">
        <f t="shared" si="13"/>
        <v>904440.35348645644</v>
      </c>
      <c r="AK29" s="101">
        <f t="shared" si="38"/>
        <v>2028</v>
      </c>
      <c r="AL29" s="101">
        <f t="shared" si="6"/>
        <v>3</v>
      </c>
      <c r="AM29" s="118">
        <f t="shared" si="32"/>
        <v>24479.405180987407</v>
      </c>
      <c r="AN29" s="100">
        <f t="shared" si="33"/>
        <v>20916.584741786879</v>
      </c>
      <c r="AO29" s="100">
        <f t="shared" si="34"/>
        <v>43430.606644781641</v>
      </c>
      <c r="AP29" s="100">
        <f t="shared" si="35"/>
        <v>45395.989922774286</v>
      </c>
      <c r="AQ29" s="1">
        <f t="shared" si="36"/>
        <v>74727</v>
      </c>
      <c r="AR29" s="100">
        <f t="shared" si="15"/>
        <v>1020543.2068070667</v>
      </c>
      <c r="AS29" s="100">
        <f t="shared" si="16"/>
        <v>88826.596567555927</v>
      </c>
      <c r="AT29" s="100">
        <f t="shared" si="37"/>
        <v>37457.09236360107</v>
      </c>
      <c r="AU29" s="1">
        <f t="shared" si="17"/>
        <v>126283.688931157</v>
      </c>
      <c r="AV29" s="100">
        <f t="shared" si="18"/>
        <v>1924983.5602935231</v>
      </c>
    </row>
    <row r="30" spans="4:81">
      <c r="D30">
        <f t="shared" si="19"/>
        <v>22</v>
      </c>
      <c r="E30">
        <f t="shared" si="0"/>
        <v>2028</v>
      </c>
      <c r="F30" s="35">
        <f t="shared" si="1"/>
        <v>46873</v>
      </c>
      <c r="G30" s="36">
        <f t="shared" si="2"/>
        <v>4</v>
      </c>
      <c r="H30" s="36">
        <f t="shared" si="7"/>
        <v>30</v>
      </c>
      <c r="I30" s="37" t="s">
        <v>123</v>
      </c>
      <c r="J30" s="27">
        <f t="shared" si="20"/>
        <v>55409.496213811886</v>
      </c>
      <c r="K30" s="27">
        <f t="shared" si="8"/>
        <v>274.61857164598825</v>
      </c>
      <c r="L30" s="27">
        <f t="shared" si="21"/>
        <v>1363.3814283540119</v>
      </c>
      <c r="M30" s="27">
        <f t="shared" si="9"/>
        <v>0</v>
      </c>
      <c r="N30" s="27">
        <f t="shared" si="10"/>
        <v>54046.114785457874</v>
      </c>
      <c r="P30" s="72" t="s">
        <v>123</v>
      </c>
      <c r="Q30" s="44">
        <f t="shared" si="22"/>
        <v>519496.28718214278</v>
      </c>
      <c r="R30" s="44">
        <f t="shared" si="3"/>
        <v>2643.026315882847</v>
      </c>
      <c r="S30" s="44">
        <f t="shared" si="23"/>
        <v>1137.973684117153</v>
      </c>
      <c r="T30" s="44">
        <f t="shared" si="24"/>
        <v>0</v>
      </c>
      <c r="U30" s="43">
        <f t="shared" si="11"/>
        <v>518358.31349802564</v>
      </c>
      <c r="W30" s="72" t="s">
        <v>123</v>
      </c>
      <c r="X30" s="44">
        <f t="shared" si="25"/>
        <v>445637.42341111199</v>
      </c>
      <c r="Y30" s="44">
        <f t="shared" si="4"/>
        <v>2267.2566993820137</v>
      </c>
      <c r="Z30" s="44">
        <f t="shared" si="26"/>
        <v>616.74330061798628</v>
      </c>
      <c r="AA30" s="44">
        <f t="shared" si="27"/>
        <v>0</v>
      </c>
      <c r="AB30" s="43">
        <f t="shared" si="12"/>
        <v>445020.68011049402</v>
      </c>
      <c r="AD30" s="72" t="s">
        <v>123</v>
      </c>
      <c r="AE30" s="44">
        <f t="shared" si="28"/>
        <v>904440.35348645644</v>
      </c>
      <c r="AF30" s="44">
        <f t="shared" si="5"/>
        <v>4705.5677569062491</v>
      </c>
      <c r="AG30" s="44">
        <f t="shared" si="29"/>
        <v>1336.4322430937509</v>
      </c>
      <c r="AH30" s="44">
        <f t="shared" si="30"/>
        <v>0</v>
      </c>
      <c r="AI30" s="43">
        <f t="shared" si="13"/>
        <v>903103.92124336271</v>
      </c>
      <c r="AK30" s="101">
        <f t="shared" si="38"/>
        <v>2028</v>
      </c>
      <c r="AL30" s="101">
        <f t="shared" si="6"/>
        <v>4</v>
      </c>
      <c r="AM30" s="118">
        <f t="shared" si="32"/>
        <v>27122.431496870253</v>
      </c>
      <c r="AN30" s="100">
        <f t="shared" si="33"/>
        <v>23183.841441168894</v>
      </c>
      <c r="AO30" s="100">
        <f t="shared" si="34"/>
        <v>48136.174401687887</v>
      </c>
      <c r="AP30" s="100">
        <f t="shared" si="35"/>
        <v>50306.272938039147</v>
      </c>
      <c r="AQ30" s="1">
        <f t="shared" si="36"/>
        <v>83030</v>
      </c>
      <c r="AR30" s="100">
        <f t="shared" si="15"/>
        <v>1017425.1083939775</v>
      </c>
      <c r="AS30" s="100">
        <f t="shared" si="16"/>
        <v>98442.447339727034</v>
      </c>
      <c r="AT30" s="100">
        <f t="shared" si="37"/>
        <v>41911.623019783976</v>
      </c>
      <c r="AU30" s="1">
        <f t="shared" si="17"/>
        <v>140354.07035951101</v>
      </c>
      <c r="AV30" s="100">
        <f t="shared" si="18"/>
        <v>1920529.0296373402</v>
      </c>
      <c r="AZ30" s="102" t="s">
        <v>135</v>
      </c>
      <c r="BA30"/>
      <c r="BB30"/>
      <c r="BC30"/>
      <c r="BD30"/>
      <c r="BE30"/>
      <c r="BF30"/>
      <c r="BG30"/>
      <c r="BH30"/>
      <c r="BI30"/>
      <c r="BJ30"/>
      <c r="BK30"/>
      <c r="BL30"/>
      <c r="BM30"/>
      <c r="BN30"/>
      <c r="BO30"/>
      <c r="BP30"/>
      <c r="BQ30"/>
      <c r="BR30"/>
      <c r="BS30"/>
      <c r="BT30"/>
      <c r="BU30"/>
      <c r="BV30"/>
      <c r="BW30"/>
      <c r="BX30"/>
      <c r="BY30"/>
      <c r="BZ30"/>
      <c r="CA30"/>
      <c r="CB30"/>
      <c r="CC30"/>
    </row>
    <row r="31" spans="4:81">
      <c r="D31">
        <f t="shared" si="19"/>
        <v>23</v>
      </c>
      <c r="E31">
        <f t="shared" si="0"/>
        <v>2028</v>
      </c>
      <c r="F31" s="35">
        <f t="shared" si="1"/>
        <v>46903</v>
      </c>
      <c r="G31" s="36">
        <f t="shared" si="2"/>
        <v>5</v>
      </c>
      <c r="H31" s="36">
        <f t="shared" si="7"/>
        <v>31</v>
      </c>
      <c r="I31" s="37" t="s">
        <v>123</v>
      </c>
      <c r="J31" s="27">
        <f t="shared" si="20"/>
        <v>54046.114785457874</v>
      </c>
      <c r="K31" s="27">
        <f t="shared" si="8"/>
        <v>276.79014347522303</v>
      </c>
      <c r="L31" s="27">
        <f t="shared" si="21"/>
        <v>1361.209856524777</v>
      </c>
      <c r="M31" s="27">
        <f t="shared" si="9"/>
        <v>0</v>
      </c>
      <c r="N31" s="27">
        <f t="shared" si="10"/>
        <v>52684.904928933094</v>
      </c>
      <c r="P31" s="72" t="s">
        <v>123</v>
      </c>
      <c r="Q31" s="44">
        <f t="shared" si="22"/>
        <v>518358.31349802564</v>
      </c>
      <c r="R31" s="44">
        <f t="shared" si="3"/>
        <v>2725.1445692366065</v>
      </c>
      <c r="S31" s="44">
        <f t="shared" si="23"/>
        <v>1055.8554307633935</v>
      </c>
      <c r="T31" s="44">
        <f t="shared" si="24"/>
        <v>0</v>
      </c>
      <c r="U31" s="43">
        <f t="shared" si="11"/>
        <v>517302.45806726225</v>
      </c>
      <c r="W31" s="72" t="s">
        <v>123</v>
      </c>
      <c r="X31" s="44">
        <f t="shared" si="25"/>
        <v>445020.68011049402</v>
      </c>
      <c r="Y31" s="44">
        <f t="shared" si="4"/>
        <v>2339.5895426411698</v>
      </c>
      <c r="Z31" s="44">
        <f t="shared" si="26"/>
        <v>544.41045735883017</v>
      </c>
      <c r="AA31" s="44">
        <f t="shared" si="27"/>
        <v>0</v>
      </c>
      <c r="AB31" s="43">
        <f t="shared" si="12"/>
        <v>444476.26965313521</v>
      </c>
      <c r="AD31" s="72" t="s">
        <v>123</v>
      </c>
      <c r="AE31" s="44">
        <f t="shared" si="28"/>
        <v>903103.92124336271</v>
      </c>
      <c r="AF31" s="44">
        <f t="shared" si="5"/>
        <v>4855.2351360434259</v>
      </c>
      <c r="AG31" s="44">
        <f t="shared" si="29"/>
        <v>1186.7648639565741</v>
      </c>
      <c r="AH31" s="44">
        <f t="shared" si="30"/>
        <v>0</v>
      </c>
      <c r="AI31" s="43">
        <f t="shared" si="13"/>
        <v>901917.15637940611</v>
      </c>
      <c r="AK31" s="101">
        <f t="shared" si="38"/>
        <v>2028</v>
      </c>
      <c r="AL31" s="101">
        <f t="shared" si="6"/>
        <v>5</v>
      </c>
      <c r="AM31" s="118">
        <f t="shared" si="32"/>
        <v>29847.57606610686</v>
      </c>
      <c r="AN31" s="100">
        <f t="shared" si="33"/>
        <v>25523.430983810063</v>
      </c>
      <c r="AO31" s="100">
        <f t="shared" si="34"/>
        <v>52991.409537731313</v>
      </c>
      <c r="AP31" s="100">
        <f t="shared" si="35"/>
        <v>55371.007049916923</v>
      </c>
      <c r="AQ31" s="1">
        <f t="shared" si="36"/>
        <v>91333</v>
      </c>
      <c r="AR31" s="100">
        <f t="shared" si="15"/>
        <v>1014463.6326493305</v>
      </c>
      <c r="AS31" s="100">
        <f t="shared" si="16"/>
        <v>108362.41658764824</v>
      </c>
      <c r="AT31" s="100">
        <f t="shared" si="37"/>
        <v>46059.863628387553</v>
      </c>
      <c r="AU31" s="1">
        <f t="shared" si="17"/>
        <v>154422.28021603578</v>
      </c>
      <c r="AV31" s="100">
        <f t="shared" si="18"/>
        <v>1916380.7890287368</v>
      </c>
      <c r="AZ31" s="120">
        <v>2027</v>
      </c>
      <c r="BA31" s="120">
        <v>2028</v>
      </c>
      <c r="BB31" s="120">
        <v>2029</v>
      </c>
      <c r="BC31" s="120">
        <v>2030</v>
      </c>
      <c r="BD31" s="120">
        <v>2031</v>
      </c>
      <c r="BE31" s="120">
        <v>2032</v>
      </c>
      <c r="BF31" s="120">
        <v>2033</v>
      </c>
      <c r="BG31" s="120">
        <v>2034</v>
      </c>
      <c r="BH31" s="120">
        <v>2035</v>
      </c>
      <c r="BI31" s="120">
        <v>2036</v>
      </c>
      <c r="BJ31" s="120">
        <v>2037</v>
      </c>
      <c r="BK31" s="120">
        <v>2038</v>
      </c>
      <c r="BL31" s="120">
        <v>2039</v>
      </c>
      <c r="BM31" s="120">
        <v>2040</v>
      </c>
      <c r="BN31" s="120">
        <v>2041</v>
      </c>
      <c r="BO31" s="120">
        <v>2042</v>
      </c>
      <c r="BP31" s="120">
        <v>2043</v>
      </c>
      <c r="BQ31" s="120">
        <v>2044</v>
      </c>
      <c r="BR31" s="120">
        <v>2045</v>
      </c>
      <c r="BS31" s="120">
        <v>2046</v>
      </c>
      <c r="BT31" s="120">
        <v>2047</v>
      </c>
      <c r="BU31" s="120">
        <v>2048</v>
      </c>
      <c r="BV31" s="120">
        <v>2049</v>
      </c>
      <c r="BW31" s="120">
        <v>2050</v>
      </c>
      <c r="BX31" s="120">
        <v>2051</v>
      </c>
      <c r="BY31" s="120">
        <v>2052</v>
      </c>
      <c r="BZ31" s="120">
        <v>2053</v>
      </c>
      <c r="CA31" s="120">
        <v>2054</v>
      </c>
      <c r="CB31" s="120">
        <v>2055</v>
      </c>
      <c r="CC31"/>
    </row>
    <row r="32" spans="4:81">
      <c r="D32">
        <f t="shared" si="19"/>
        <v>24</v>
      </c>
      <c r="E32">
        <f t="shared" si="0"/>
        <v>2028</v>
      </c>
      <c r="F32" s="35">
        <f t="shared" si="1"/>
        <v>46934</v>
      </c>
      <c r="G32" s="36">
        <f t="shared" si="2"/>
        <v>6</v>
      </c>
      <c r="H32" s="36">
        <f t="shared" si="7"/>
        <v>30</v>
      </c>
      <c r="I32" s="37" t="s">
        <v>123</v>
      </c>
      <c r="J32" s="27">
        <f t="shared" si="20"/>
        <v>52684.904928933094</v>
      </c>
      <c r="K32" s="27">
        <f t="shared" si="8"/>
        <v>261.11504936010948</v>
      </c>
      <c r="L32" s="27">
        <f t="shared" si="21"/>
        <v>1376.8849506398906</v>
      </c>
      <c r="M32" s="27">
        <f t="shared" si="9"/>
        <v>0</v>
      </c>
      <c r="N32" s="27">
        <f t="shared" si="10"/>
        <v>51308.019978293203</v>
      </c>
      <c r="P32" s="72" t="s">
        <v>123</v>
      </c>
      <c r="Q32" s="44">
        <f t="shared" si="22"/>
        <v>517302.45806726225</v>
      </c>
      <c r="R32" s="44">
        <f t="shared" si="3"/>
        <v>2631.8648346052219</v>
      </c>
      <c r="S32" s="44">
        <f t="shared" si="23"/>
        <v>1149.1351653947781</v>
      </c>
      <c r="T32" s="44">
        <f t="shared" si="24"/>
        <v>0</v>
      </c>
      <c r="U32" s="43">
        <f t="shared" si="11"/>
        <v>516153.3229018675</v>
      </c>
      <c r="W32" s="72" t="s">
        <v>123</v>
      </c>
      <c r="X32" s="44">
        <f t="shared" si="25"/>
        <v>444476.26965313521</v>
      </c>
      <c r="Y32" s="44">
        <f t="shared" si="4"/>
        <v>2261.3491308106081</v>
      </c>
      <c r="Z32" s="44">
        <f t="shared" si="26"/>
        <v>622.65086918939187</v>
      </c>
      <c r="AA32" s="44">
        <f t="shared" si="27"/>
        <v>0</v>
      </c>
      <c r="AB32" s="43">
        <f t="shared" si="12"/>
        <v>443853.6187839458</v>
      </c>
      <c r="AD32" s="72" t="s">
        <v>123</v>
      </c>
      <c r="AE32" s="44">
        <f t="shared" si="28"/>
        <v>901917.15637940611</v>
      </c>
      <c r="AF32" s="44">
        <f t="shared" si="5"/>
        <v>4692.4402190808005</v>
      </c>
      <c r="AG32" s="44">
        <f t="shared" si="29"/>
        <v>1349.5597809191995</v>
      </c>
      <c r="AH32" s="44">
        <f t="shared" si="30"/>
        <v>0</v>
      </c>
      <c r="AI32" s="43">
        <f t="shared" si="13"/>
        <v>900567.59659848688</v>
      </c>
      <c r="AK32" s="101">
        <f t="shared" si="38"/>
        <v>2028</v>
      </c>
      <c r="AL32" s="101">
        <f t="shared" si="6"/>
        <v>6</v>
      </c>
      <c r="AM32" s="118">
        <f t="shared" si="32"/>
        <v>32479.440900712081</v>
      </c>
      <c r="AN32" s="100">
        <f t="shared" si="33"/>
        <v>27784.780114620673</v>
      </c>
      <c r="AO32" s="100">
        <f t="shared" si="34"/>
        <v>57683.849756812117</v>
      </c>
      <c r="AP32" s="100">
        <f t="shared" si="35"/>
        <v>60264.221015332754</v>
      </c>
      <c r="AQ32" s="1">
        <f t="shared" si="36"/>
        <v>99636</v>
      </c>
      <c r="AR32" s="100">
        <f t="shared" si="15"/>
        <v>1011314.9616641065</v>
      </c>
      <c r="AS32" s="100">
        <f t="shared" si="16"/>
        <v>117948.07077214487</v>
      </c>
      <c r="AT32" s="100">
        <f t="shared" si="37"/>
        <v>50558.09439453081</v>
      </c>
      <c r="AU32" s="1">
        <f t="shared" si="17"/>
        <v>168506.1651666757</v>
      </c>
      <c r="AV32" s="100">
        <f t="shared" si="18"/>
        <v>1911882.5582625933</v>
      </c>
      <c r="AX32" t="s">
        <v>151</v>
      </c>
      <c r="AY32" s="103" t="s">
        <v>153</v>
      </c>
      <c r="AZ32" s="103">
        <v>33166.442001155257</v>
      </c>
      <c r="BA32" s="103">
        <v>32479.440900712081</v>
      </c>
      <c r="BB32" s="103">
        <v>31568.029033721305</v>
      </c>
      <c r="BC32" s="103">
        <v>30688.901483701888</v>
      </c>
      <c r="BD32" s="103">
        <v>29753.785316270045</v>
      </c>
      <c r="BE32" s="103">
        <v>28839.21059533329</v>
      </c>
      <c r="BF32" s="103">
        <v>27706.198174574089</v>
      </c>
      <c r="BG32" s="103">
        <v>26581.123866908987</v>
      </c>
      <c r="BH32" s="103">
        <v>25384.397436669613</v>
      </c>
      <c r="BI32" s="103">
        <v>24178.449304658297</v>
      </c>
      <c r="BJ32" s="103">
        <v>22761.71107636713</v>
      </c>
      <c r="BK32" s="103">
        <v>21321.739349736996</v>
      </c>
      <c r="BL32" s="103">
        <v>19790.060764318041</v>
      </c>
      <c r="BM32" s="103">
        <v>18211.053292225522</v>
      </c>
      <c r="BN32" s="103">
        <v>16431.047317122684</v>
      </c>
      <c r="BO32" s="103">
        <v>14587.897335897775</v>
      </c>
      <c r="BP32" s="103">
        <v>12627.363456135918</v>
      </c>
      <c r="BQ32" s="103">
        <v>10570.710234870297</v>
      </c>
      <c r="BR32" s="103">
        <v>8325.5951566459244</v>
      </c>
      <c r="BS32" s="103">
        <v>5966.2367367734087</v>
      </c>
      <c r="BT32" s="103">
        <v>3456.6188739951399</v>
      </c>
      <c r="BU32" s="103">
        <v>852.16036434374996</v>
      </c>
      <c r="BV32" s="103">
        <v>0</v>
      </c>
      <c r="BW32" s="103">
        <v>0</v>
      </c>
      <c r="BX32" s="103">
        <v>0</v>
      </c>
      <c r="BY32" s="103">
        <v>0</v>
      </c>
      <c r="BZ32" s="103">
        <v>0</v>
      </c>
      <c r="CA32" s="103">
        <v>0</v>
      </c>
      <c r="CB32" s="103">
        <v>0</v>
      </c>
      <c r="CC32"/>
    </row>
    <row r="33" spans="4:81">
      <c r="D33">
        <f t="shared" si="19"/>
        <v>25</v>
      </c>
      <c r="E33">
        <f t="shared" si="0"/>
        <v>2029</v>
      </c>
      <c r="F33" s="35">
        <f t="shared" si="1"/>
        <v>46964</v>
      </c>
      <c r="G33" s="36">
        <f t="shared" si="2"/>
        <v>7</v>
      </c>
      <c r="H33" s="36">
        <f t="shared" si="7"/>
        <v>31</v>
      </c>
      <c r="I33" s="37" t="s">
        <v>123</v>
      </c>
      <c r="J33" s="27">
        <f t="shared" si="20"/>
        <v>51308.019978293203</v>
      </c>
      <c r="K33" s="27">
        <f t="shared" si="8"/>
        <v>262.76734724773559</v>
      </c>
      <c r="L33" s="27">
        <f t="shared" si="21"/>
        <v>1375.2326527522644</v>
      </c>
      <c r="M33" s="27">
        <f t="shared" si="9"/>
        <v>0</v>
      </c>
      <c r="N33" s="27">
        <f t="shared" si="10"/>
        <v>49932.787325540936</v>
      </c>
      <c r="P33" s="72" t="s">
        <v>123</v>
      </c>
      <c r="Q33" s="44">
        <f t="shared" si="22"/>
        <v>516153.3229018675</v>
      </c>
      <c r="R33" s="44">
        <f t="shared" si="3"/>
        <v>2713.5523597709412</v>
      </c>
      <c r="S33" s="44">
        <f t="shared" si="23"/>
        <v>1067.4476402290588</v>
      </c>
      <c r="T33" s="44">
        <f t="shared" si="24"/>
        <v>0</v>
      </c>
      <c r="U33" s="43">
        <f t="shared" si="11"/>
        <v>515085.87526163843</v>
      </c>
      <c r="W33" s="72" t="s">
        <v>123</v>
      </c>
      <c r="X33" s="44">
        <f t="shared" si="25"/>
        <v>443853.6187839458</v>
      </c>
      <c r="Y33" s="44">
        <f t="shared" si="4"/>
        <v>2333.453997491818</v>
      </c>
      <c r="Z33" s="44">
        <f t="shared" si="26"/>
        <v>550.54600250818203</v>
      </c>
      <c r="AA33" s="44">
        <f t="shared" si="27"/>
        <v>0</v>
      </c>
      <c r="AB33" s="43">
        <f t="shared" si="12"/>
        <v>443303.0727814376</v>
      </c>
      <c r="AD33" s="72" t="s">
        <v>123</v>
      </c>
      <c r="AE33" s="44">
        <f t="shared" si="28"/>
        <v>900567.59659848688</v>
      </c>
      <c r="AF33" s="44">
        <f t="shared" si="5"/>
        <v>4841.599437822495</v>
      </c>
      <c r="AG33" s="44">
        <f t="shared" si="29"/>
        <v>1200.400562177505</v>
      </c>
      <c r="AH33" s="44">
        <f t="shared" si="30"/>
        <v>0</v>
      </c>
      <c r="AI33" s="43">
        <f t="shared" si="13"/>
        <v>899367.19603630935</v>
      </c>
      <c r="AK33" s="101">
        <f t="shared" si="38"/>
        <v>2029</v>
      </c>
      <c r="AL33" s="101">
        <f t="shared" si="6"/>
        <v>7</v>
      </c>
      <c r="AM33" s="118">
        <f t="shared" si="32"/>
        <v>2713.5523597709412</v>
      </c>
      <c r="AN33" s="100">
        <f t="shared" si="33"/>
        <v>2333.453997491818</v>
      </c>
      <c r="AO33" s="100">
        <f t="shared" si="34"/>
        <v>4841.599437822495</v>
      </c>
      <c r="AP33" s="100">
        <f t="shared" si="35"/>
        <v>5047.0063572627587</v>
      </c>
      <c r="AQ33" s="1">
        <f t="shared" si="36"/>
        <v>8303</v>
      </c>
      <c r="AR33" s="100">
        <f t="shared" si="15"/>
        <v>1008321.7353686169</v>
      </c>
      <c r="AS33" s="100">
        <f t="shared" si="16"/>
        <v>9888.6057950852537</v>
      </c>
      <c r="AT33" s="100">
        <f t="shared" si="37"/>
        <v>4193.62685766701</v>
      </c>
      <c r="AU33" s="1">
        <f t="shared" si="17"/>
        <v>14082.232652752264</v>
      </c>
      <c r="AV33" s="100">
        <f t="shared" si="18"/>
        <v>1907688.9314049263</v>
      </c>
    </row>
    <row r="34" spans="4:81">
      <c r="D34">
        <f t="shared" si="19"/>
        <v>26</v>
      </c>
      <c r="E34">
        <f t="shared" si="0"/>
        <v>2029</v>
      </c>
      <c r="F34" s="35">
        <f t="shared" si="1"/>
        <v>46995</v>
      </c>
      <c r="G34" s="36">
        <f t="shared" si="2"/>
        <v>8</v>
      </c>
      <c r="H34" s="36">
        <f t="shared" si="7"/>
        <v>31</v>
      </c>
      <c r="I34" s="37" t="s">
        <v>123</v>
      </c>
      <c r="J34" s="27">
        <f t="shared" si="20"/>
        <v>49932.787325540936</v>
      </c>
      <c r="K34" s="27">
        <f t="shared" si="8"/>
        <v>255.72427218529774</v>
      </c>
      <c r="L34" s="27">
        <f t="shared" si="21"/>
        <v>1382.2757278147023</v>
      </c>
      <c r="M34" s="27">
        <f t="shared" si="9"/>
        <v>0</v>
      </c>
      <c r="N34" s="27">
        <f t="shared" si="10"/>
        <v>48550.511597726232</v>
      </c>
      <c r="P34" s="72" t="s">
        <v>123</v>
      </c>
      <c r="Q34" s="44">
        <f t="shared" si="22"/>
        <v>515085.87526163843</v>
      </c>
      <c r="R34" s="44">
        <f t="shared" si="3"/>
        <v>2707.9405096974192</v>
      </c>
      <c r="S34" s="44">
        <f t="shared" si="23"/>
        <v>1073.0594903025808</v>
      </c>
      <c r="T34" s="44">
        <f t="shared" si="24"/>
        <v>0</v>
      </c>
      <c r="U34" s="43">
        <f t="shared" si="11"/>
        <v>514012.81577133585</v>
      </c>
      <c r="W34" s="72" t="s">
        <v>123</v>
      </c>
      <c r="X34" s="44">
        <f t="shared" si="25"/>
        <v>443303.0727814376</v>
      </c>
      <c r="Y34" s="44">
        <f t="shared" si="4"/>
        <v>2330.559633863837</v>
      </c>
      <c r="Z34" s="44">
        <f t="shared" si="26"/>
        <v>553.44036613616299</v>
      </c>
      <c r="AA34" s="44">
        <f t="shared" si="27"/>
        <v>0</v>
      </c>
      <c r="AB34" s="43">
        <f t="shared" si="12"/>
        <v>442749.63241530146</v>
      </c>
      <c r="AD34" s="72" t="s">
        <v>123</v>
      </c>
      <c r="AE34" s="44">
        <f t="shared" si="28"/>
        <v>899367.19603630935</v>
      </c>
      <c r="AF34" s="44">
        <f t="shared" si="5"/>
        <v>4835.145887074108</v>
      </c>
      <c r="AG34" s="44">
        <f t="shared" si="29"/>
        <v>1206.854112925892</v>
      </c>
      <c r="AH34" s="44">
        <f t="shared" si="30"/>
        <v>0</v>
      </c>
      <c r="AI34" s="43">
        <f t="shared" si="13"/>
        <v>898160.34192338341</v>
      </c>
      <c r="AK34" s="101">
        <f t="shared" si="38"/>
        <v>2029</v>
      </c>
      <c r="AL34" s="101">
        <f t="shared" si="6"/>
        <v>8</v>
      </c>
      <c r="AM34" s="118">
        <f t="shared" si="32"/>
        <v>5421.4928694683604</v>
      </c>
      <c r="AN34" s="100">
        <f t="shared" si="33"/>
        <v>4664.013631355655</v>
      </c>
      <c r="AO34" s="100">
        <f t="shared" si="34"/>
        <v>9676.7453248966031</v>
      </c>
      <c r="AP34" s="100">
        <f t="shared" si="35"/>
        <v>10085.506500824016</v>
      </c>
      <c r="AQ34" s="1">
        <f t="shared" si="36"/>
        <v>16606</v>
      </c>
      <c r="AR34" s="100">
        <f t="shared" si="15"/>
        <v>1005312.9597843636</v>
      </c>
      <c r="AS34" s="100">
        <f t="shared" si="16"/>
        <v>19762.251825720617</v>
      </c>
      <c r="AT34" s="100">
        <f t="shared" si="37"/>
        <v>8409.2565548463481</v>
      </c>
      <c r="AU34" s="1">
        <f t="shared" si="17"/>
        <v>28171.508380566964</v>
      </c>
      <c r="AV34" s="100">
        <f t="shared" si="18"/>
        <v>1903473.3017077469</v>
      </c>
      <c r="AY34" s="102" t="s">
        <v>134</v>
      </c>
      <c r="AZ34" s="119">
        <v>6</v>
      </c>
    </row>
    <row r="35" spans="4:81">
      <c r="D35">
        <f t="shared" si="19"/>
        <v>27</v>
      </c>
      <c r="E35">
        <f t="shared" si="0"/>
        <v>2029</v>
      </c>
      <c r="F35" s="35">
        <f t="shared" si="1"/>
        <v>47026</v>
      </c>
      <c r="G35" s="36">
        <f t="shared" si="2"/>
        <v>9</v>
      </c>
      <c r="H35" s="36">
        <f t="shared" si="7"/>
        <v>30</v>
      </c>
      <c r="I35" s="37" t="s">
        <v>123</v>
      </c>
      <c r="J35" s="27">
        <f t="shared" si="20"/>
        <v>48550.511597726232</v>
      </c>
      <c r="K35" s="27">
        <f t="shared" si="8"/>
        <v>240.62431638434725</v>
      </c>
      <c r="L35" s="27">
        <f t="shared" si="21"/>
        <v>1397.3756836156526</v>
      </c>
      <c r="M35" s="27">
        <f t="shared" si="9"/>
        <v>0</v>
      </c>
      <c r="N35" s="27">
        <f t="shared" si="10"/>
        <v>47153.135914110579</v>
      </c>
      <c r="P35" s="72" t="s">
        <v>123</v>
      </c>
      <c r="Q35" s="44">
        <f t="shared" si="22"/>
        <v>514012.81577133585</v>
      </c>
      <c r="R35" s="44">
        <f t="shared" si="3"/>
        <v>2615.1282161297827</v>
      </c>
      <c r="S35" s="44">
        <f t="shared" si="23"/>
        <v>1165.8717838702173</v>
      </c>
      <c r="T35" s="44">
        <f t="shared" si="24"/>
        <v>0</v>
      </c>
      <c r="U35" s="43">
        <f t="shared" si="11"/>
        <v>512846.94398746564</v>
      </c>
      <c r="W35" s="72" t="s">
        <v>123</v>
      </c>
      <c r="X35" s="44">
        <f t="shared" si="25"/>
        <v>442749.63241530146</v>
      </c>
      <c r="Y35" s="44">
        <f t="shared" si="4"/>
        <v>2252.5645682060676</v>
      </c>
      <c r="Z35" s="44">
        <f t="shared" si="26"/>
        <v>631.43543179393237</v>
      </c>
      <c r="AA35" s="44">
        <f t="shared" si="27"/>
        <v>0</v>
      </c>
      <c r="AB35" s="43">
        <f t="shared" si="12"/>
        <v>442118.19698350754</v>
      </c>
      <c r="AD35" s="72" t="s">
        <v>123</v>
      </c>
      <c r="AE35" s="44">
        <f t="shared" si="28"/>
        <v>898160.34192338341</v>
      </c>
      <c r="AF35" s="44">
        <f t="shared" si="5"/>
        <v>4672.8944912671368</v>
      </c>
      <c r="AG35" s="44">
        <f t="shared" si="29"/>
        <v>1369.1055087328632</v>
      </c>
      <c r="AH35" s="44">
        <f t="shared" si="30"/>
        <v>0</v>
      </c>
      <c r="AI35" s="43">
        <f t="shared" si="13"/>
        <v>896791.23641465057</v>
      </c>
      <c r="AK35" s="101">
        <f t="shared" si="38"/>
        <v>2029</v>
      </c>
      <c r="AL35" s="101">
        <f t="shared" si="6"/>
        <v>9</v>
      </c>
      <c r="AM35" s="118">
        <f t="shared" si="32"/>
        <v>8036.6210855981426</v>
      </c>
      <c r="AN35" s="100">
        <f t="shared" si="33"/>
        <v>6916.5781995617226</v>
      </c>
      <c r="AO35" s="100">
        <f t="shared" si="34"/>
        <v>14349.639816163741</v>
      </c>
      <c r="AP35" s="100">
        <f t="shared" si="35"/>
        <v>14953.199285159866</v>
      </c>
      <c r="AQ35" s="1">
        <f t="shared" si="36"/>
        <v>24909</v>
      </c>
      <c r="AR35" s="100">
        <f t="shared" si="15"/>
        <v>1002118.2768850839</v>
      </c>
      <c r="AS35" s="100">
        <f t="shared" si="16"/>
        <v>29302.839101323607</v>
      </c>
      <c r="AT35" s="100">
        <f t="shared" si="37"/>
        <v>12973.044962859014</v>
      </c>
      <c r="AU35" s="1">
        <f t="shared" si="17"/>
        <v>42275.884064182625</v>
      </c>
      <c r="AV35" s="100">
        <f t="shared" si="18"/>
        <v>1898909.5132997343</v>
      </c>
    </row>
    <row r="36" spans="4:81">
      <c r="D36">
        <f t="shared" si="19"/>
        <v>28</v>
      </c>
      <c r="E36">
        <f t="shared" si="0"/>
        <v>2029</v>
      </c>
      <c r="F36" s="35">
        <f t="shared" si="1"/>
        <v>47056</v>
      </c>
      <c r="G36" s="36">
        <f t="shared" si="2"/>
        <v>10</v>
      </c>
      <c r="H36" s="36">
        <f t="shared" si="7"/>
        <v>31</v>
      </c>
      <c r="I36" s="37" t="s">
        <v>123</v>
      </c>
      <c r="J36" s="27">
        <f t="shared" si="20"/>
        <v>47153.135914110579</v>
      </c>
      <c r="K36" s="27">
        <f t="shared" si="8"/>
        <v>241.48864921711481</v>
      </c>
      <c r="L36" s="27">
        <f t="shared" si="21"/>
        <v>1396.5113507828851</v>
      </c>
      <c r="M36" s="27">
        <f t="shared" si="9"/>
        <v>0</v>
      </c>
      <c r="N36" s="27">
        <f t="shared" si="10"/>
        <v>45756.624563327692</v>
      </c>
      <c r="P36" s="72" t="s">
        <v>123</v>
      </c>
      <c r="Q36" s="44">
        <f t="shared" si="22"/>
        <v>512846.94398746564</v>
      </c>
      <c r="R36" s="44">
        <f t="shared" si="3"/>
        <v>2696.1698652535556</v>
      </c>
      <c r="S36" s="44">
        <f t="shared" si="23"/>
        <v>1084.8301347464444</v>
      </c>
      <c r="T36" s="44">
        <f t="shared" si="24"/>
        <v>0</v>
      </c>
      <c r="U36" s="43">
        <f t="shared" si="11"/>
        <v>511762.11385271919</v>
      </c>
      <c r="W36" s="72" t="s">
        <v>123</v>
      </c>
      <c r="X36" s="44">
        <f t="shared" si="25"/>
        <v>442118.19698350754</v>
      </c>
      <c r="Y36" s="44">
        <f t="shared" si="4"/>
        <v>2324.330433401788</v>
      </c>
      <c r="Z36" s="44">
        <f t="shared" si="26"/>
        <v>559.66956659821199</v>
      </c>
      <c r="AA36" s="44">
        <f t="shared" si="27"/>
        <v>0</v>
      </c>
      <c r="AB36" s="43">
        <f t="shared" si="12"/>
        <v>441558.52741690935</v>
      </c>
      <c r="AD36" s="72" t="s">
        <v>123</v>
      </c>
      <c r="AE36" s="44">
        <f t="shared" si="28"/>
        <v>896791.23641465057</v>
      </c>
      <c r="AF36" s="44">
        <f t="shared" si="5"/>
        <v>4821.297104702654</v>
      </c>
      <c r="AG36" s="44">
        <f t="shared" si="29"/>
        <v>1220.702895297346</v>
      </c>
      <c r="AH36" s="44">
        <f t="shared" si="30"/>
        <v>0</v>
      </c>
      <c r="AI36" s="43">
        <f t="shared" si="13"/>
        <v>895570.53351935325</v>
      </c>
      <c r="AK36" s="101">
        <f t="shared" si="38"/>
        <v>2029</v>
      </c>
      <c r="AL36" s="101">
        <f t="shared" si="6"/>
        <v>10</v>
      </c>
      <c r="AM36" s="118">
        <f t="shared" si="32"/>
        <v>10732.790950851699</v>
      </c>
      <c r="AN36" s="100">
        <f t="shared" si="33"/>
        <v>9240.9086329635102</v>
      </c>
      <c r="AO36" s="100">
        <f t="shared" si="34"/>
        <v>19170.936920866396</v>
      </c>
      <c r="AP36" s="100">
        <f t="shared" si="35"/>
        <v>19973.699583815207</v>
      </c>
      <c r="AQ36" s="1">
        <f t="shared" si="36"/>
        <v>33212</v>
      </c>
      <c r="AR36" s="100">
        <f t="shared" si="15"/>
        <v>999077.26583295618</v>
      </c>
      <c r="AS36" s="100">
        <f t="shared" si="16"/>
        <v>39144.636504681606</v>
      </c>
      <c r="AT36" s="100">
        <f t="shared" si="37"/>
        <v>17234.758910283901</v>
      </c>
      <c r="AU36" s="1">
        <f t="shared" si="17"/>
        <v>56379.395414965504</v>
      </c>
      <c r="AV36" s="100">
        <f t="shared" si="18"/>
        <v>1894647.7993523094</v>
      </c>
      <c r="AZ36" s="102" t="s">
        <v>135</v>
      </c>
      <c r="BA36"/>
      <c r="BB36"/>
      <c r="BC36"/>
      <c r="BD36"/>
      <c r="BE36"/>
      <c r="BF36"/>
      <c r="BG36"/>
      <c r="BH36"/>
      <c r="BI36"/>
      <c r="BJ36"/>
      <c r="BK36"/>
      <c r="BL36"/>
      <c r="BM36"/>
      <c r="BN36"/>
      <c r="BO36"/>
      <c r="BP36"/>
      <c r="BQ36"/>
      <c r="BR36"/>
      <c r="BS36"/>
      <c r="BT36"/>
      <c r="BU36"/>
      <c r="BV36"/>
      <c r="BW36"/>
      <c r="BX36"/>
      <c r="BY36"/>
      <c r="BZ36"/>
      <c r="CA36"/>
      <c r="CB36"/>
      <c r="CC36"/>
    </row>
    <row r="37" spans="4:81">
      <c r="D37">
        <f t="shared" si="19"/>
        <v>29</v>
      </c>
      <c r="E37">
        <f t="shared" si="0"/>
        <v>2029</v>
      </c>
      <c r="F37" s="35">
        <f t="shared" si="1"/>
        <v>47087</v>
      </c>
      <c r="G37" s="36">
        <f t="shared" si="2"/>
        <v>11</v>
      </c>
      <c r="H37" s="36">
        <f t="shared" si="7"/>
        <v>30</v>
      </c>
      <c r="I37" s="37" t="s">
        <v>123</v>
      </c>
      <c r="J37" s="27">
        <f t="shared" si="20"/>
        <v>45756.624563327692</v>
      </c>
      <c r="K37" s="27">
        <f t="shared" si="8"/>
        <v>226.77735297276655</v>
      </c>
      <c r="L37" s="27">
        <f t="shared" si="21"/>
        <v>1411.2226470272335</v>
      </c>
      <c r="M37" s="27">
        <f t="shared" si="9"/>
        <v>0</v>
      </c>
      <c r="N37" s="27">
        <f t="shared" si="10"/>
        <v>44345.401916300456</v>
      </c>
      <c r="P37" s="72" t="s">
        <v>123</v>
      </c>
      <c r="Q37" s="44">
        <f t="shared" si="22"/>
        <v>511762.11385271919</v>
      </c>
      <c r="R37" s="44">
        <f t="shared" si="3"/>
        <v>2603.6773847246559</v>
      </c>
      <c r="S37" s="44">
        <f t="shared" si="23"/>
        <v>1177.3226152753441</v>
      </c>
      <c r="T37" s="44">
        <f t="shared" si="24"/>
        <v>0</v>
      </c>
      <c r="U37" s="43">
        <f t="shared" si="11"/>
        <v>510584.79123744386</v>
      </c>
      <c r="W37" s="72" t="s">
        <v>123</v>
      </c>
      <c r="X37" s="44">
        <f t="shared" si="25"/>
        <v>441558.52741690935</v>
      </c>
      <c r="Y37" s="44">
        <f t="shared" si="4"/>
        <v>2246.5046175704128</v>
      </c>
      <c r="Z37" s="44">
        <f t="shared" si="26"/>
        <v>637.49538242958715</v>
      </c>
      <c r="AA37" s="44">
        <f t="shared" si="27"/>
        <v>0</v>
      </c>
      <c r="AB37" s="43">
        <f t="shared" si="12"/>
        <v>440921.03203447978</v>
      </c>
      <c r="AD37" s="72" t="s">
        <v>123</v>
      </c>
      <c r="AE37" s="44">
        <f t="shared" si="28"/>
        <v>895570.53351935325</v>
      </c>
      <c r="AF37" s="44">
        <f t="shared" si="5"/>
        <v>4659.42039220069</v>
      </c>
      <c r="AG37" s="44">
        <f t="shared" si="29"/>
        <v>1382.57960779931</v>
      </c>
      <c r="AH37" s="44">
        <f t="shared" si="30"/>
        <v>0</v>
      </c>
      <c r="AI37" s="43">
        <f t="shared" si="13"/>
        <v>894187.95391155395</v>
      </c>
      <c r="AK37" s="101">
        <f t="shared" si="38"/>
        <v>2029</v>
      </c>
      <c r="AL37" s="101">
        <f t="shared" si="6"/>
        <v>11</v>
      </c>
      <c r="AM37" s="118">
        <f t="shared" si="32"/>
        <v>13336.468335576355</v>
      </c>
      <c r="AN37" s="100">
        <f t="shared" si="33"/>
        <v>11487.413250533922</v>
      </c>
      <c r="AO37" s="100">
        <f t="shared" si="34"/>
        <v>23830.357313067085</v>
      </c>
      <c r="AP37" s="100">
        <f t="shared" si="35"/>
        <v>24823.881586110278</v>
      </c>
      <c r="AQ37" s="1">
        <f t="shared" si="36"/>
        <v>41515</v>
      </c>
      <c r="AR37" s="100">
        <f t="shared" si="15"/>
        <v>995851.22518822411</v>
      </c>
      <c r="AS37" s="100">
        <f t="shared" si="16"/>
        <v>48654.238899177362</v>
      </c>
      <c r="AT37" s="100">
        <f t="shared" si="37"/>
        <v>21843.379162815378</v>
      </c>
      <c r="AU37" s="1">
        <f t="shared" si="17"/>
        <v>70497.618061992747</v>
      </c>
      <c r="AV37" s="100">
        <f t="shared" si="18"/>
        <v>1890039.1790997782</v>
      </c>
      <c r="AZ37" s="120">
        <v>2027</v>
      </c>
      <c r="BA37" s="120">
        <v>2028</v>
      </c>
      <c r="BB37" s="120">
        <v>2029</v>
      </c>
      <c r="BC37" s="120">
        <v>2030</v>
      </c>
      <c r="BD37" s="120">
        <v>2031</v>
      </c>
      <c r="BE37" s="120">
        <v>2032</v>
      </c>
      <c r="BF37" s="120">
        <v>2033</v>
      </c>
      <c r="BG37" s="120">
        <v>2034</v>
      </c>
      <c r="BH37" s="120">
        <v>2035</v>
      </c>
      <c r="BI37" s="120">
        <v>2036</v>
      </c>
      <c r="BJ37" s="120">
        <v>2037</v>
      </c>
      <c r="BK37" s="120">
        <v>2038</v>
      </c>
      <c r="BL37" s="120">
        <v>2039</v>
      </c>
      <c r="BM37" s="120">
        <v>2040</v>
      </c>
      <c r="BN37" s="120">
        <v>2041</v>
      </c>
      <c r="BO37" s="120">
        <v>2042</v>
      </c>
      <c r="BP37" s="120">
        <v>2043</v>
      </c>
      <c r="BQ37" s="120">
        <v>2044</v>
      </c>
      <c r="BR37" s="120">
        <v>2045</v>
      </c>
      <c r="BS37" s="120">
        <v>2046</v>
      </c>
      <c r="BT37" s="120">
        <v>2047</v>
      </c>
      <c r="BU37" s="120">
        <v>2048</v>
      </c>
      <c r="BV37" s="120">
        <v>2049</v>
      </c>
      <c r="BW37" s="120">
        <v>2050</v>
      </c>
      <c r="BX37" s="120">
        <v>2051</v>
      </c>
      <c r="BY37" s="120">
        <v>2052</v>
      </c>
      <c r="BZ37" s="120">
        <v>2053</v>
      </c>
      <c r="CA37" s="120">
        <v>2054</v>
      </c>
      <c r="CB37" s="120">
        <v>2055</v>
      </c>
      <c r="CC37"/>
    </row>
    <row r="38" spans="4:81">
      <c r="D38">
        <f t="shared" si="19"/>
        <v>30</v>
      </c>
      <c r="E38">
        <f t="shared" si="0"/>
        <v>2029</v>
      </c>
      <c r="F38" s="35">
        <f t="shared" si="1"/>
        <v>47117</v>
      </c>
      <c r="G38" s="36">
        <f t="shared" si="2"/>
        <v>12</v>
      </c>
      <c r="H38" s="36">
        <f t="shared" si="7"/>
        <v>31</v>
      </c>
      <c r="I38" s="37" t="s">
        <v>123</v>
      </c>
      <c r="J38" s="27">
        <f t="shared" si="20"/>
        <v>44345.401916300456</v>
      </c>
      <c r="K38" s="27">
        <f t="shared" si="8"/>
        <v>227.10920493737106</v>
      </c>
      <c r="L38" s="27">
        <f t="shared" si="21"/>
        <v>1410.890795062629</v>
      </c>
      <c r="M38" s="27">
        <f t="shared" si="9"/>
        <v>0</v>
      </c>
      <c r="N38" s="27">
        <f t="shared" si="10"/>
        <v>42934.511121237825</v>
      </c>
      <c r="P38" s="72" t="s">
        <v>123</v>
      </c>
      <c r="Q38" s="44">
        <f t="shared" si="22"/>
        <v>510584.79123744386</v>
      </c>
      <c r="R38" s="44">
        <f t="shared" si="3"/>
        <v>2684.2771394672081</v>
      </c>
      <c r="S38" s="44">
        <f t="shared" si="23"/>
        <v>1096.7228605327919</v>
      </c>
      <c r="T38" s="44">
        <f t="shared" si="24"/>
        <v>0</v>
      </c>
      <c r="U38" s="43">
        <f t="shared" si="11"/>
        <v>509488.06837691105</v>
      </c>
      <c r="W38" s="72" t="s">
        <v>123</v>
      </c>
      <c r="X38" s="44">
        <f t="shared" si="25"/>
        <v>440921.03203447978</v>
      </c>
      <c r="Y38" s="44">
        <f t="shared" si="4"/>
        <v>2318.0366256738716</v>
      </c>
      <c r="Z38" s="44">
        <f t="shared" si="26"/>
        <v>565.96337432612836</v>
      </c>
      <c r="AA38" s="44">
        <f t="shared" si="27"/>
        <v>0</v>
      </c>
      <c r="AB38" s="43">
        <f t="shared" si="12"/>
        <v>440355.06866015366</v>
      </c>
      <c r="AD38" s="72" t="s">
        <v>123</v>
      </c>
      <c r="AE38" s="44">
        <f t="shared" si="28"/>
        <v>894187.95391155395</v>
      </c>
      <c r="AF38" s="44">
        <f t="shared" si="5"/>
        <v>4807.301430029157</v>
      </c>
      <c r="AG38" s="44">
        <f t="shared" si="29"/>
        <v>1234.698569970843</v>
      </c>
      <c r="AH38" s="44">
        <f t="shared" si="30"/>
        <v>0</v>
      </c>
      <c r="AI38" s="43">
        <f t="shared" si="13"/>
        <v>892953.25534158316</v>
      </c>
      <c r="AK38" s="101">
        <f t="shared" si="38"/>
        <v>2029</v>
      </c>
      <c r="AL38" s="101">
        <f t="shared" si="6"/>
        <v>12</v>
      </c>
      <c r="AM38" s="118">
        <f t="shared" si="32"/>
        <v>16020.745475043565</v>
      </c>
      <c r="AN38" s="100">
        <f t="shared" si="33"/>
        <v>13805.449876207793</v>
      </c>
      <c r="AO38" s="100">
        <f t="shared" si="34"/>
        <v>28637.658743096243</v>
      </c>
      <c r="AP38" s="100">
        <f t="shared" si="35"/>
        <v>29826.195351251357</v>
      </c>
      <c r="AQ38" s="1">
        <f t="shared" si="36"/>
        <v>49818</v>
      </c>
      <c r="AR38" s="100">
        <f t="shared" si="15"/>
        <v>992777.64815830253</v>
      </c>
      <c r="AS38" s="100">
        <f t="shared" si="16"/>
        <v>58463.854094347596</v>
      </c>
      <c r="AT38" s="100">
        <f t="shared" si="37"/>
        <v>26151.654762707771</v>
      </c>
      <c r="AU38" s="1">
        <f t="shared" si="17"/>
        <v>84615.508857055363</v>
      </c>
      <c r="AV38" s="100">
        <f t="shared" si="18"/>
        <v>1885730.9034998857</v>
      </c>
      <c r="AX38" t="s">
        <v>152</v>
      </c>
      <c r="AY38" t="s">
        <v>154</v>
      </c>
      <c r="AZ38" s="103">
        <v>28120.578669325139</v>
      </c>
      <c r="BA38" s="103">
        <v>27784.780114620673</v>
      </c>
      <c r="BB38" s="103">
        <v>27272.869598504643</v>
      </c>
      <c r="BC38" s="103">
        <v>26805.720309746182</v>
      </c>
      <c r="BD38" s="103">
        <v>26308.819885555546</v>
      </c>
      <c r="BE38" s="103">
        <v>25852.203872795712</v>
      </c>
      <c r="BF38" s="103">
        <v>25222.646963605257</v>
      </c>
      <c r="BG38" s="103">
        <v>24624.926029454571</v>
      </c>
      <c r="BH38" s="103">
        <v>23989.138299762311</v>
      </c>
      <c r="BI38" s="103">
        <v>23377.833906184871</v>
      </c>
      <c r="BJ38" s="103">
        <v>22597.648682621373</v>
      </c>
      <c r="BK38" s="103">
        <v>21832.750614209541</v>
      </c>
      <c r="BL38" s="103">
        <v>21019.138812152494</v>
      </c>
      <c r="BM38" s="103">
        <v>20209.77947233538</v>
      </c>
      <c r="BN38" s="103">
        <v>19236.737600149347</v>
      </c>
      <c r="BO38" s="103">
        <v>18257.794636034341</v>
      </c>
      <c r="BP38" s="103">
        <v>17216.506153245507</v>
      </c>
      <c r="BQ38" s="103">
        <v>16153.567575461861</v>
      </c>
      <c r="BR38" s="103">
        <v>14933.602094837908</v>
      </c>
      <c r="BS38" s="103">
        <v>13680.60719426003</v>
      </c>
      <c r="BT38" s="103">
        <v>12347.813347435247</v>
      </c>
      <c r="BU38" s="103">
        <v>10960.20512040251</v>
      </c>
      <c r="BV38" s="103">
        <v>9424.0915119360088</v>
      </c>
      <c r="BW38" s="103">
        <v>7820.2147852238368</v>
      </c>
      <c r="BX38" s="103">
        <v>6114.1926526185243</v>
      </c>
      <c r="BY38" s="103">
        <v>4310.8943162975747</v>
      </c>
      <c r="BZ38" s="103">
        <v>2370.0011107295609</v>
      </c>
      <c r="CA38" s="103">
        <v>448.52581289379606</v>
      </c>
      <c r="CB38" s="103">
        <v>0</v>
      </c>
      <c r="CC38"/>
    </row>
    <row r="39" spans="4:81">
      <c r="D39">
        <f t="shared" si="19"/>
        <v>31</v>
      </c>
      <c r="E39">
        <f t="shared" si="0"/>
        <v>2029</v>
      </c>
      <c r="F39" s="35">
        <f t="shared" si="1"/>
        <v>47148</v>
      </c>
      <c r="G39" s="36">
        <f t="shared" si="2"/>
        <v>1</v>
      </c>
      <c r="H39" s="36">
        <f t="shared" si="7"/>
        <v>31</v>
      </c>
      <c r="I39" s="37" t="s">
        <v>123</v>
      </c>
      <c r="J39" s="27">
        <f t="shared" si="20"/>
        <v>42934.511121237825</v>
      </c>
      <c r="K39" s="27">
        <f t="shared" si="8"/>
        <v>219.88351133953387</v>
      </c>
      <c r="L39" s="27">
        <f t="shared" si="21"/>
        <v>1418.1164886604661</v>
      </c>
      <c r="M39" s="27">
        <f t="shared" si="9"/>
        <v>0</v>
      </c>
      <c r="N39" s="27">
        <f t="shared" si="10"/>
        <v>41516.394632577358</v>
      </c>
      <c r="P39" s="72" t="s">
        <v>123</v>
      </c>
      <c r="Q39" s="44">
        <f t="shared" si="22"/>
        <v>509488.06837691105</v>
      </c>
      <c r="R39" s="44">
        <f t="shared" si="3"/>
        <v>2678.5113819409717</v>
      </c>
      <c r="S39" s="44">
        <f t="shared" si="23"/>
        <v>1102.4886180590283</v>
      </c>
      <c r="T39" s="44">
        <f t="shared" si="24"/>
        <v>0</v>
      </c>
      <c r="U39" s="43">
        <f t="shared" si="11"/>
        <v>508385.57975885202</v>
      </c>
      <c r="W39" s="72" t="s">
        <v>123</v>
      </c>
      <c r="X39" s="44">
        <f t="shared" si="25"/>
        <v>440355.06866015366</v>
      </c>
      <c r="Y39" s="44">
        <f t="shared" si="4"/>
        <v>2315.0612089095034</v>
      </c>
      <c r="Z39" s="44">
        <f t="shared" si="26"/>
        <v>568.93879109049658</v>
      </c>
      <c r="AA39" s="44">
        <f t="shared" si="27"/>
        <v>0</v>
      </c>
      <c r="AB39" s="43">
        <f t="shared" si="12"/>
        <v>439786.12986906315</v>
      </c>
      <c r="AD39" s="72" t="s">
        <v>123</v>
      </c>
      <c r="AE39" s="44">
        <f t="shared" si="28"/>
        <v>892953.25534158316</v>
      </c>
      <c r="AF39" s="44">
        <f t="shared" si="5"/>
        <v>4800.6634875528453</v>
      </c>
      <c r="AG39" s="44">
        <f t="shared" si="29"/>
        <v>1241.3365124471547</v>
      </c>
      <c r="AH39" s="44">
        <f t="shared" si="30"/>
        <v>0</v>
      </c>
      <c r="AI39" s="43">
        <f t="shared" si="13"/>
        <v>891711.91882913606</v>
      </c>
      <c r="AK39" s="101">
        <f t="shared" si="38"/>
        <v>2029</v>
      </c>
      <c r="AL39" s="101">
        <f t="shared" si="6"/>
        <v>1</v>
      </c>
      <c r="AM39" s="118">
        <f t="shared" si="32"/>
        <v>18699.256856984535</v>
      </c>
      <c r="AN39" s="100">
        <f t="shared" si="33"/>
        <v>16120.511085117296</v>
      </c>
      <c r="AO39" s="100">
        <f t="shared" si="34"/>
        <v>33438.322230649086</v>
      </c>
      <c r="AP39" s="100">
        <f t="shared" si="35"/>
        <v>34819.767942101833</v>
      </c>
      <c r="AQ39" s="1">
        <f t="shared" si="36"/>
        <v>58121</v>
      </c>
      <c r="AR39" s="100">
        <f t="shared" si="15"/>
        <v>989688.10426049249</v>
      </c>
      <c r="AS39" s="100">
        <f t="shared" si="16"/>
        <v>68258.090172750919</v>
      </c>
      <c r="AT39" s="100">
        <f t="shared" si="37"/>
        <v>30482.535172964919</v>
      </c>
      <c r="AU39" s="1">
        <f t="shared" si="17"/>
        <v>98740.625345715845</v>
      </c>
      <c r="AV39" s="100">
        <f t="shared" si="18"/>
        <v>1881400.0230896287</v>
      </c>
    </row>
    <row r="40" spans="4:81">
      <c r="D40">
        <f t="shared" si="19"/>
        <v>32</v>
      </c>
      <c r="E40">
        <f t="shared" si="0"/>
        <v>2029</v>
      </c>
      <c r="F40" s="35">
        <f t="shared" si="1"/>
        <v>47177</v>
      </c>
      <c r="G40" s="36">
        <f t="shared" si="2"/>
        <v>2</v>
      </c>
      <c r="H40" s="36">
        <f t="shared" si="7"/>
        <v>28</v>
      </c>
      <c r="I40" s="37" t="s">
        <v>123</v>
      </c>
      <c r="J40" s="27">
        <f t="shared" si="20"/>
        <v>41516.394632577358</v>
      </c>
      <c r="K40" s="27">
        <f t="shared" si="8"/>
        <v>192.0446046510784</v>
      </c>
      <c r="L40" s="27">
        <f t="shared" si="21"/>
        <v>1445.9553953489217</v>
      </c>
      <c r="M40" s="27">
        <f t="shared" si="9"/>
        <v>0</v>
      </c>
      <c r="N40" s="27">
        <f t="shared" si="10"/>
        <v>40070.439237228435</v>
      </c>
      <c r="P40" s="72" t="s">
        <v>123</v>
      </c>
      <c r="Q40" s="44">
        <f t="shared" si="22"/>
        <v>508385.57975885202</v>
      </c>
      <c r="R40" s="44">
        <f t="shared" si="3"/>
        <v>2414.0654433918967</v>
      </c>
      <c r="S40" s="44">
        <f t="shared" si="23"/>
        <v>1366.9345566081033</v>
      </c>
      <c r="T40" s="44">
        <f t="shared" si="24"/>
        <v>0</v>
      </c>
      <c r="U40" s="43">
        <f t="shared" si="11"/>
        <v>507018.64520224393</v>
      </c>
      <c r="W40" s="72" t="s">
        <v>123</v>
      </c>
      <c r="X40" s="44">
        <f t="shared" si="25"/>
        <v>439786.12986906315</v>
      </c>
      <c r="Y40" s="44">
        <f t="shared" si="4"/>
        <v>2088.3214254494796</v>
      </c>
      <c r="Z40" s="44">
        <f t="shared" si="26"/>
        <v>795.67857455052035</v>
      </c>
      <c r="AA40" s="44">
        <f t="shared" si="27"/>
        <v>0</v>
      </c>
      <c r="AB40" s="43">
        <f t="shared" si="12"/>
        <v>438990.4512945126</v>
      </c>
      <c r="AD40" s="72" t="s">
        <v>123</v>
      </c>
      <c r="AE40" s="44">
        <f t="shared" si="28"/>
        <v>891711.91882913606</v>
      </c>
      <c r="AF40" s="44">
        <f t="shared" si="5"/>
        <v>4330.0553559801665</v>
      </c>
      <c r="AG40" s="44">
        <f t="shared" si="29"/>
        <v>1711.9446440198335</v>
      </c>
      <c r="AH40" s="44">
        <f t="shared" si="30"/>
        <v>0</v>
      </c>
      <c r="AI40" s="43">
        <f t="shared" si="13"/>
        <v>889999.97418511624</v>
      </c>
      <c r="AK40" s="101">
        <f t="shared" si="38"/>
        <v>2029</v>
      </c>
      <c r="AL40" s="101">
        <f t="shared" si="6"/>
        <v>2</v>
      </c>
      <c r="AM40" s="118">
        <f t="shared" si="32"/>
        <v>21113.322300376432</v>
      </c>
      <c r="AN40" s="100">
        <f t="shared" si="33"/>
        <v>18208.832510566775</v>
      </c>
      <c r="AO40" s="100">
        <f t="shared" si="34"/>
        <v>37768.377586629256</v>
      </c>
      <c r="AP40" s="100">
        <f t="shared" si="35"/>
        <v>39322.154810943204</v>
      </c>
      <c r="AQ40" s="1">
        <f t="shared" si="36"/>
        <v>66424</v>
      </c>
      <c r="AR40" s="100">
        <f t="shared" si="15"/>
        <v>986079.53573398502</v>
      </c>
      <c r="AS40" s="100">
        <f t="shared" si="16"/>
        <v>77090.53239757246</v>
      </c>
      <c r="AT40" s="100">
        <f t="shared" si="37"/>
        <v>35803.048343492293</v>
      </c>
      <c r="AU40" s="1">
        <f t="shared" si="17"/>
        <v>112893.58074106475</v>
      </c>
      <c r="AV40" s="100">
        <f t="shared" si="18"/>
        <v>1876079.5099191014</v>
      </c>
      <c r="AY40" s="102" t="s">
        <v>134</v>
      </c>
      <c r="AZ40" s="119">
        <v>6</v>
      </c>
    </row>
    <row r="41" spans="4:81">
      <c r="D41">
        <f t="shared" si="19"/>
        <v>33</v>
      </c>
      <c r="E41">
        <f t="shared" si="0"/>
        <v>2029</v>
      </c>
      <c r="F41" s="35">
        <f t="shared" si="1"/>
        <v>47207</v>
      </c>
      <c r="G41" s="36">
        <f t="shared" si="2"/>
        <v>3</v>
      </c>
      <c r="H41" s="36">
        <f t="shared" si="7"/>
        <v>31</v>
      </c>
      <c r="I41" s="37" t="s">
        <v>123</v>
      </c>
      <c r="J41" s="27">
        <f t="shared" si="20"/>
        <v>40070.439237228435</v>
      </c>
      <c r="K41" s="27">
        <f t="shared" si="8"/>
        <v>205.21553990726332</v>
      </c>
      <c r="L41" s="27">
        <f t="shared" si="21"/>
        <v>1432.7844600927367</v>
      </c>
      <c r="M41" s="27">
        <f t="shared" si="9"/>
        <v>0</v>
      </c>
      <c r="N41" s="27">
        <f t="shared" si="10"/>
        <v>38637.6547771357</v>
      </c>
      <c r="P41" s="72" t="s">
        <v>123</v>
      </c>
      <c r="Q41" s="44">
        <f t="shared" si="22"/>
        <v>507018.64520224393</v>
      </c>
      <c r="R41" s="44">
        <f t="shared" si="3"/>
        <v>2665.5289815851665</v>
      </c>
      <c r="S41" s="44">
        <f t="shared" si="23"/>
        <v>1115.4710184148335</v>
      </c>
      <c r="T41" s="44">
        <f t="shared" si="24"/>
        <v>0</v>
      </c>
      <c r="U41" s="43">
        <f t="shared" si="11"/>
        <v>505903.17418382911</v>
      </c>
      <c r="W41" s="72" t="s">
        <v>123</v>
      </c>
      <c r="X41" s="44">
        <f t="shared" si="25"/>
        <v>438990.4512945126</v>
      </c>
      <c r="Y41" s="44">
        <f t="shared" si="4"/>
        <v>2307.8870602439456</v>
      </c>
      <c r="Z41" s="44">
        <f t="shared" si="26"/>
        <v>576.1129397560544</v>
      </c>
      <c r="AA41" s="44">
        <f t="shared" si="27"/>
        <v>0</v>
      </c>
      <c r="AB41" s="43">
        <f t="shared" si="12"/>
        <v>438414.33835475653</v>
      </c>
      <c r="AD41" s="72" t="s">
        <v>123</v>
      </c>
      <c r="AE41" s="44">
        <f t="shared" si="28"/>
        <v>889999.97418511624</v>
      </c>
      <c r="AF41" s="44">
        <f t="shared" si="5"/>
        <v>4784.7861625848036</v>
      </c>
      <c r="AG41" s="44">
        <f t="shared" si="29"/>
        <v>1257.2138374151964</v>
      </c>
      <c r="AH41" s="44">
        <f t="shared" si="30"/>
        <v>0</v>
      </c>
      <c r="AI41" s="43">
        <f t="shared" si="13"/>
        <v>888742.76034770103</v>
      </c>
      <c r="AK41" s="101">
        <f t="shared" si="38"/>
        <v>2029</v>
      </c>
      <c r="AL41" s="101">
        <f t="shared" si="6"/>
        <v>3</v>
      </c>
      <c r="AM41" s="118">
        <f t="shared" si="32"/>
        <v>23778.851281961601</v>
      </c>
      <c r="AN41" s="100">
        <f t="shared" si="33"/>
        <v>20516.719570810721</v>
      </c>
      <c r="AO41" s="100">
        <f t="shared" si="34"/>
        <v>42553.163749214058</v>
      </c>
      <c r="AP41" s="100">
        <f t="shared" si="35"/>
        <v>44295.570852772318</v>
      </c>
      <c r="AQ41" s="1">
        <f t="shared" si="36"/>
        <v>74727</v>
      </c>
      <c r="AR41" s="100">
        <f t="shared" si="15"/>
        <v>982955.16731572128</v>
      </c>
      <c r="AS41" s="100">
        <f t="shared" si="16"/>
        <v>86848.734601986376</v>
      </c>
      <c r="AT41" s="100">
        <f t="shared" si="37"/>
        <v>40184.630599171112</v>
      </c>
      <c r="AU41" s="1">
        <f t="shared" si="17"/>
        <v>127033.36520115749</v>
      </c>
      <c r="AV41" s="100">
        <f t="shared" si="18"/>
        <v>1871697.9276634222</v>
      </c>
    </row>
    <row r="42" spans="4:81">
      <c r="D42">
        <f t="shared" si="19"/>
        <v>34</v>
      </c>
      <c r="E42">
        <f t="shared" si="0"/>
        <v>2029</v>
      </c>
      <c r="F42" s="35">
        <f t="shared" si="1"/>
        <v>47238</v>
      </c>
      <c r="G42" s="36">
        <f t="shared" si="2"/>
        <v>4</v>
      </c>
      <c r="H42" s="36">
        <f t="shared" si="7"/>
        <v>30</v>
      </c>
      <c r="I42" s="37" t="s">
        <v>123</v>
      </c>
      <c r="J42" s="27">
        <f t="shared" si="20"/>
        <v>38637.6547771357</v>
      </c>
      <c r="K42" s="27">
        <f t="shared" si="8"/>
        <v>191.49456847079037</v>
      </c>
      <c r="L42" s="27">
        <f t="shared" si="21"/>
        <v>1446.5054315292095</v>
      </c>
      <c r="M42" s="27">
        <f t="shared" si="9"/>
        <v>0</v>
      </c>
      <c r="N42" s="27">
        <f t="shared" si="10"/>
        <v>37191.149345606493</v>
      </c>
      <c r="P42" s="72" t="s">
        <v>123</v>
      </c>
      <c r="Q42" s="44">
        <f t="shared" si="22"/>
        <v>505903.17418382911</v>
      </c>
      <c r="R42" s="44">
        <f t="shared" si="3"/>
        <v>2573.8690259160835</v>
      </c>
      <c r="S42" s="44">
        <f t="shared" si="23"/>
        <v>1207.1309740839165</v>
      </c>
      <c r="T42" s="44">
        <f t="shared" si="24"/>
        <v>0</v>
      </c>
      <c r="U42" s="43">
        <f t="shared" si="11"/>
        <v>504696.0432097452</v>
      </c>
      <c r="W42" s="72" t="s">
        <v>123</v>
      </c>
      <c r="X42" s="44">
        <f t="shared" si="25"/>
        <v>438414.33835475653</v>
      </c>
      <c r="Y42" s="44">
        <f t="shared" si="4"/>
        <v>2230.5080173281722</v>
      </c>
      <c r="Z42" s="44">
        <f t="shared" si="26"/>
        <v>653.49198267182783</v>
      </c>
      <c r="AA42" s="44">
        <f t="shared" si="27"/>
        <v>0</v>
      </c>
      <c r="AB42" s="43">
        <f t="shared" si="12"/>
        <v>437760.84637208469</v>
      </c>
      <c r="AD42" s="72" t="s">
        <v>123</v>
      </c>
      <c r="AE42" s="44">
        <f t="shared" si="28"/>
        <v>888742.76034770103</v>
      </c>
      <c r="AF42" s="44">
        <f t="shared" si="5"/>
        <v>4623.8972654802301</v>
      </c>
      <c r="AG42" s="44">
        <f t="shared" si="29"/>
        <v>1418.1027345197699</v>
      </c>
      <c r="AH42" s="44">
        <f t="shared" si="30"/>
        <v>0</v>
      </c>
      <c r="AI42" s="43">
        <f t="shared" si="13"/>
        <v>887324.65761318128</v>
      </c>
      <c r="AK42" s="101">
        <f t="shared" si="38"/>
        <v>2029</v>
      </c>
      <c r="AL42" s="101">
        <f t="shared" si="6"/>
        <v>4</v>
      </c>
      <c r="AM42" s="118">
        <f t="shared" si="32"/>
        <v>26352.720307877684</v>
      </c>
      <c r="AN42" s="100">
        <f t="shared" si="33"/>
        <v>22747.227588138892</v>
      </c>
      <c r="AO42" s="100">
        <f t="shared" si="34"/>
        <v>47177.061014694285</v>
      </c>
      <c r="AP42" s="100">
        <f t="shared" si="35"/>
        <v>49099.947896016572</v>
      </c>
      <c r="AQ42" s="1">
        <f t="shared" si="36"/>
        <v>83030</v>
      </c>
      <c r="AR42" s="100">
        <f t="shared" si="15"/>
        <v>979648.03892743634</v>
      </c>
      <c r="AS42" s="100">
        <f t="shared" si="16"/>
        <v>96277.008910710865</v>
      </c>
      <c r="AT42" s="100">
        <f t="shared" si="37"/>
        <v>44909.861721975831</v>
      </c>
      <c r="AU42" s="1">
        <f t="shared" si="17"/>
        <v>141186.87063268671</v>
      </c>
      <c r="AV42" s="100">
        <f t="shared" si="18"/>
        <v>1866972.6965406176</v>
      </c>
      <c r="AZ42" s="102" t="s">
        <v>135</v>
      </c>
      <c r="BA42"/>
      <c r="BB42"/>
      <c r="BC42"/>
      <c r="BD42"/>
      <c r="BE42"/>
      <c r="BF42"/>
      <c r="BG42"/>
      <c r="BH42"/>
      <c r="BI42"/>
      <c r="BJ42"/>
      <c r="BK42"/>
      <c r="BL42"/>
      <c r="BM42"/>
      <c r="BN42"/>
      <c r="BO42"/>
      <c r="BP42"/>
      <c r="BQ42"/>
      <c r="BR42"/>
      <c r="BS42"/>
      <c r="BT42"/>
      <c r="BU42"/>
      <c r="BV42"/>
      <c r="BW42"/>
      <c r="BX42"/>
      <c r="BY42"/>
      <c r="BZ42"/>
      <c r="CA42"/>
      <c r="CB42"/>
      <c r="CC42"/>
    </row>
    <row r="43" spans="4:81">
      <c r="D43">
        <f t="shared" si="19"/>
        <v>35</v>
      </c>
      <c r="E43">
        <f t="shared" si="0"/>
        <v>2029</v>
      </c>
      <c r="F43" s="35">
        <f t="shared" si="1"/>
        <v>47268</v>
      </c>
      <c r="G43" s="36">
        <f t="shared" si="2"/>
        <v>5</v>
      </c>
      <c r="H43" s="36">
        <f t="shared" si="7"/>
        <v>31</v>
      </c>
      <c r="I43" s="37" t="s">
        <v>123</v>
      </c>
      <c r="J43" s="27">
        <f t="shared" si="20"/>
        <v>37191.149345606493</v>
      </c>
      <c r="K43" s="27">
        <f t="shared" si="8"/>
        <v>190.46963142943071</v>
      </c>
      <c r="L43" s="27">
        <f t="shared" si="21"/>
        <v>1447.5303685705694</v>
      </c>
      <c r="M43" s="27">
        <f t="shared" si="9"/>
        <v>0</v>
      </c>
      <c r="N43" s="27">
        <f t="shared" si="10"/>
        <v>35743.618977035927</v>
      </c>
      <c r="P43" s="72" t="s">
        <v>123</v>
      </c>
      <c r="Q43" s="44">
        <f t="shared" si="22"/>
        <v>504696.0432097452</v>
      </c>
      <c r="R43" s="44">
        <f t="shared" si="3"/>
        <v>2653.3184583977536</v>
      </c>
      <c r="S43" s="44">
        <f t="shared" si="23"/>
        <v>1127.6815416022464</v>
      </c>
      <c r="T43" s="44">
        <f t="shared" si="24"/>
        <v>0</v>
      </c>
      <c r="U43" s="43">
        <f t="shared" si="11"/>
        <v>503568.36166814296</v>
      </c>
      <c r="W43" s="72" t="s">
        <v>123</v>
      </c>
      <c r="X43" s="44">
        <f t="shared" si="25"/>
        <v>437760.84637208469</v>
      </c>
      <c r="Y43" s="44">
        <f t="shared" si="4"/>
        <v>2301.4227071325845</v>
      </c>
      <c r="Z43" s="44">
        <f t="shared" si="26"/>
        <v>582.57729286741551</v>
      </c>
      <c r="AA43" s="44">
        <f t="shared" si="27"/>
        <v>0</v>
      </c>
      <c r="AB43" s="43">
        <f t="shared" si="12"/>
        <v>437178.26907921728</v>
      </c>
      <c r="AD43" s="72" t="s">
        <v>123</v>
      </c>
      <c r="AE43" s="44">
        <f t="shared" si="28"/>
        <v>887324.65761318128</v>
      </c>
      <c r="AF43" s="44">
        <f t="shared" si="5"/>
        <v>4770.403220916015</v>
      </c>
      <c r="AG43" s="44">
        <f t="shared" si="29"/>
        <v>1271.596779083985</v>
      </c>
      <c r="AH43" s="44">
        <f t="shared" si="30"/>
        <v>0</v>
      </c>
      <c r="AI43" s="43">
        <f t="shared" si="13"/>
        <v>886053.06083409733</v>
      </c>
      <c r="AK43" s="101">
        <f t="shared" si="38"/>
        <v>2029</v>
      </c>
      <c r="AL43" s="101">
        <f t="shared" si="6"/>
        <v>5</v>
      </c>
      <c r="AM43" s="118">
        <f t="shared" si="32"/>
        <v>29006.038766275437</v>
      </c>
      <c r="AN43" s="100">
        <f t="shared" si="33"/>
        <v>25048.650295271476</v>
      </c>
      <c r="AO43" s="100">
        <f t="shared" si="34"/>
        <v>51947.4642356103</v>
      </c>
      <c r="AP43" s="100">
        <f t="shared" si="35"/>
        <v>54054.689061546916</v>
      </c>
      <c r="AQ43" s="1">
        <f t="shared" si="36"/>
        <v>91333</v>
      </c>
      <c r="AR43" s="100">
        <f t="shared" si="15"/>
        <v>976490.24972439627</v>
      </c>
      <c r="AS43" s="100">
        <f t="shared" si="16"/>
        <v>106002.15329715722</v>
      </c>
      <c r="AT43" s="100">
        <f t="shared" si="37"/>
        <v>49339.247704100046</v>
      </c>
      <c r="AU43" s="1">
        <f t="shared" si="17"/>
        <v>155341.40100125727</v>
      </c>
      <c r="AV43" s="100">
        <f t="shared" si="18"/>
        <v>1862543.3105584937</v>
      </c>
      <c r="AZ43" s="120">
        <v>2027</v>
      </c>
      <c r="BA43" s="120">
        <v>2028</v>
      </c>
      <c r="BB43" s="120">
        <v>2029</v>
      </c>
      <c r="BC43" s="120">
        <v>2030</v>
      </c>
      <c r="BD43" s="120">
        <v>2031</v>
      </c>
      <c r="BE43" s="120">
        <v>2032</v>
      </c>
      <c r="BF43" s="120">
        <v>2033</v>
      </c>
      <c r="BG43" s="120">
        <v>2034</v>
      </c>
      <c r="BH43" s="120">
        <v>2035</v>
      </c>
      <c r="BI43" s="120">
        <v>2036</v>
      </c>
      <c r="BJ43" s="120">
        <v>2037</v>
      </c>
      <c r="BK43" s="120">
        <v>2038</v>
      </c>
      <c r="BL43" s="120">
        <v>2039</v>
      </c>
      <c r="BM43" s="120">
        <v>2040</v>
      </c>
      <c r="BN43" s="120">
        <v>2041</v>
      </c>
      <c r="BO43" s="120">
        <v>2042</v>
      </c>
      <c r="BP43" s="120">
        <v>2043</v>
      </c>
      <c r="BQ43" s="120">
        <v>2044</v>
      </c>
      <c r="BR43" s="120">
        <v>2045</v>
      </c>
      <c r="BS43" s="120">
        <v>2046</v>
      </c>
      <c r="BT43" s="120">
        <v>2047</v>
      </c>
      <c r="BU43" s="120">
        <v>2048</v>
      </c>
      <c r="BV43" s="120">
        <v>2049</v>
      </c>
      <c r="BW43" s="120">
        <v>2050</v>
      </c>
      <c r="BX43" s="120">
        <v>2051</v>
      </c>
      <c r="BY43" s="120">
        <v>2052</v>
      </c>
      <c r="BZ43" s="120">
        <v>2053</v>
      </c>
      <c r="CA43" s="120">
        <v>2054</v>
      </c>
      <c r="CB43" s="120">
        <v>2055</v>
      </c>
      <c r="CC43"/>
    </row>
    <row r="44" spans="4:81">
      <c r="D44" s="39">
        <f t="shared" si="19"/>
        <v>36</v>
      </c>
      <c r="E44" s="40">
        <f t="shared" si="0"/>
        <v>2029</v>
      </c>
      <c r="F44" s="35">
        <f t="shared" si="1"/>
        <v>47299</v>
      </c>
      <c r="G44" s="36">
        <f t="shared" si="2"/>
        <v>6</v>
      </c>
      <c r="H44" s="41">
        <f t="shared" si="7"/>
        <v>30</v>
      </c>
      <c r="I44" s="37" t="s">
        <v>123</v>
      </c>
      <c r="J44" s="27">
        <f t="shared" si="20"/>
        <v>35743.618977035927</v>
      </c>
      <c r="K44" s="27">
        <f t="shared" si="8"/>
        <v>177.15125131358354</v>
      </c>
      <c r="L44" s="27">
        <f t="shared" si="21"/>
        <v>1460.8487486864165</v>
      </c>
      <c r="M44" s="27">
        <f t="shared" si="9"/>
        <v>0</v>
      </c>
      <c r="N44" s="27">
        <f t="shared" si="10"/>
        <v>34282.770228349509</v>
      </c>
      <c r="P44" s="72" t="s">
        <v>123</v>
      </c>
      <c r="Q44" s="44">
        <f t="shared" si="22"/>
        <v>503568.36166814296</v>
      </c>
      <c r="R44" s="44">
        <f t="shared" si="3"/>
        <v>2561.9902674458667</v>
      </c>
      <c r="S44" s="44">
        <f t="shared" si="23"/>
        <v>1219.0097325541333</v>
      </c>
      <c r="T44" s="44">
        <f t="shared" si="24"/>
        <v>0</v>
      </c>
      <c r="U44" s="43">
        <f t="shared" si="11"/>
        <v>502349.35193558881</v>
      </c>
      <c r="W44" s="72" t="s">
        <v>123</v>
      </c>
      <c r="X44" s="44">
        <f t="shared" si="25"/>
        <v>437178.26907921728</v>
      </c>
      <c r="Y44" s="44">
        <f t="shared" si="4"/>
        <v>2224.2193032331684</v>
      </c>
      <c r="Z44" s="44">
        <f t="shared" si="26"/>
        <v>659.78069676683162</v>
      </c>
      <c r="AA44" s="44">
        <f t="shared" si="27"/>
        <v>0</v>
      </c>
      <c r="AB44" s="43">
        <f t="shared" si="12"/>
        <v>436518.48838245042</v>
      </c>
      <c r="AD44" s="72" t="s">
        <v>123</v>
      </c>
      <c r="AE44" s="44">
        <f t="shared" si="28"/>
        <v>886053.06083409733</v>
      </c>
      <c r="AF44" s="44">
        <f t="shared" si="5"/>
        <v>4609.9034589697285</v>
      </c>
      <c r="AG44" s="44">
        <f t="shared" si="29"/>
        <v>1432.0965410302715</v>
      </c>
      <c r="AH44" s="44">
        <f t="shared" si="30"/>
        <v>0</v>
      </c>
      <c r="AI44" s="43">
        <f t="shared" si="13"/>
        <v>884620.96429306711</v>
      </c>
      <c r="AK44" s="101">
        <f t="shared" si="38"/>
        <v>2029</v>
      </c>
      <c r="AL44" s="101">
        <f t="shared" si="6"/>
        <v>6</v>
      </c>
      <c r="AM44" s="118">
        <f t="shared" si="32"/>
        <v>31568.029033721305</v>
      </c>
      <c r="AN44" s="100">
        <f t="shared" si="33"/>
        <v>27272.869598504643</v>
      </c>
      <c r="AO44" s="100">
        <f t="shared" si="34"/>
        <v>56557.367694580025</v>
      </c>
      <c r="AP44" s="100">
        <f t="shared" si="35"/>
        <v>58840.898632225944</v>
      </c>
      <c r="AQ44" s="1">
        <f t="shared" si="36"/>
        <v>99636</v>
      </c>
      <c r="AR44" s="100">
        <f t="shared" si="15"/>
        <v>973150.61054638878</v>
      </c>
      <c r="AS44" s="100">
        <f t="shared" si="16"/>
        <v>115398.26632680597</v>
      </c>
      <c r="AT44" s="100">
        <f t="shared" si="37"/>
        <v>54110.983423137703</v>
      </c>
      <c r="AU44" s="1">
        <f t="shared" si="17"/>
        <v>169509.24974994367</v>
      </c>
      <c r="AV44" s="100">
        <f t="shared" si="18"/>
        <v>1857771.574839456</v>
      </c>
      <c r="AX44" t="s">
        <v>155</v>
      </c>
      <c r="AY44" t="s">
        <v>156</v>
      </c>
      <c r="AZ44" s="103">
        <v>58439.736841674821</v>
      </c>
      <c r="BA44" s="103">
        <v>57683.849756812117</v>
      </c>
      <c r="BB44" s="103">
        <v>56557.367694580025</v>
      </c>
      <c r="BC44" s="103">
        <v>55518.141166607165</v>
      </c>
      <c r="BD44" s="103">
        <v>54411.189255885278</v>
      </c>
      <c r="BE44" s="103">
        <v>53380.661014373138</v>
      </c>
      <c r="BF44" s="103">
        <v>51985.84895033294</v>
      </c>
      <c r="BG44" s="103">
        <v>50648.700989097189</v>
      </c>
      <c r="BH44" s="103">
        <v>49224.412394872204</v>
      </c>
      <c r="BI44" s="103">
        <v>47840.28217496568</v>
      </c>
      <c r="BJ44" s="103">
        <v>46099.993778610748</v>
      </c>
      <c r="BK44" s="103">
        <v>44379.270356606336</v>
      </c>
      <c r="BL44" s="103">
        <v>42546.40906165156</v>
      </c>
      <c r="BM44" s="103">
        <v>40707.014377198604</v>
      </c>
      <c r="BN44" s="103">
        <v>38521.923329685094</v>
      </c>
      <c r="BO44" s="103">
        <v>36307.344422049762</v>
      </c>
      <c r="BP44" s="103">
        <v>33948.443559469655</v>
      </c>
      <c r="BQ44" s="103">
        <v>31522.893408296957</v>
      </c>
      <c r="BR44" s="103">
        <v>28765.116535528516</v>
      </c>
      <c r="BS44" s="103">
        <v>25914.696012272103</v>
      </c>
      <c r="BT44" s="103">
        <v>22878.51635398882</v>
      </c>
      <c r="BU44" s="103">
        <v>19698.287861057801</v>
      </c>
      <c r="BV44" s="103">
        <v>16203.174882954449</v>
      </c>
      <c r="BW44" s="103">
        <v>12534.104831812125</v>
      </c>
      <c r="BX44" s="103">
        <v>8625.9250515991789</v>
      </c>
      <c r="BY44" s="103">
        <v>4474.0441015028418</v>
      </c>
      <c r="BZ44" s="103">
        <v>588.11622995840571</v>
      </c>
      <c r="CA44" s="103">
        <v>0</v>
      </c>
      <c r="CB44" s="103">
        <v>0</v>
      </c>
      <c r="CC44"/>
    </row>
    <row r="45" spans="4:81">
      <c r="D45" s="39">
        <f t="shared" si="19"/>
        <v>37</v>
      </c>
      <c r="E45" s="40">
        <f t="shared" ref="E45:E108" si="39">IF(MONTH(EDATE($E$5,D45))&lt;7,YEAR(EDATE($E$5,D45)),YEAR(EDATE($E$5,D45))+1)</f>
        <v>2030</v>
      </c>
      <c r="F45" s="35">
        <f t="shared" ref="F45:F50" si="40">EDATE($E$5,D45)</f>
        <v>47329</v>
      </c>
      <c r="G45" s="36">
        <f t="shared" si="2"/>
        <v>7</v>
      </c>
      <c r="H45" s="41">
        <f t="shared" ref="H45:H50" si="41">DAY(EOMONTH(F45,0))</f>
        <v>31</v>
      </c>
      <c r="I45" s="37" t="s">
        <v>123</v>
      </c>
      <c r="J45" s="27">
        <f t="shared" si="20"/>
        <v>34282.770228349509</v>
      </c>
      <c r="K45" s="27">
        <f t="shared" si="8"/>
        <v>175.57474626809241</v>
      </c>
      <c r="L45" s="27">
        <f t="shared" si="21"/>
        <v>1462.4252537319076</v>
      </c>
      <c r="M45" s="27">
        <f t="shared" si="9"/>
        <v>0</v>
      </c>
      <c r="N45" s="27">
        <f t="shared" si="10"/>
        <v>32820.344974617605</v>
      </c>
      <c r="P45" s="72" t="s">
        <v>123</v>
      </c>
      <c r="Q45" s="44">
        <f t="shared" ref="Q45:Q108" si="42">IF(P45="PI",IF(U44&lt;=0,0,U44),(IF(P45="IO",Q44,"")))*IF(U44&lt;=0,0,1)</f>
        <v>502349.35193558881</v>
      </c>
      <c r="R45" s="44">
        <f t="shared" si="3"/>
        <v>2640.9812915868529</v>
      </c>
      <c r="S45" s="44">
        <f t="shared" ref="S45:S108" si="43">IF(P45="IO",0,$R$6-R45)*IF(Q45&gt;0,1,0)</f>
        <v>1140.0187084131471</v>
      </c>
      <c r="T45" s="44">
        <f t="shared" ref="T45:T108" si="44">IF(P45="IO",$R$6-R45+IF(ISNUMBER(T44),T44,0),IF(ISNUMBER(T44),T44,0))</f>
        <v>0</v>
      </c>
      <c r="U45" s="43">
        <f t="shared" si="11"/>
        <v>501209.33322717564</v>
      </c>
      <c r="W45" s="72" t="s">
        <v>123</v>
      </c>
      <c r="X45" s="44">
        <f t="shared" si="25"/>
        <v>436518.48838245042</v>
      </c>
      <c r="Y45" s="44">
        <f t="shared" si="4"/>
        <v>2294.8913078276278</v>
      </c>
      <c r="Z45" s="44">
        <f t="shared" si="26"/>
        <v>589.10869217237223</v>
      </c>
      <c r="AA45" s="44">
        <f t="shared" si="27"/>
        <v>0</v>
      </c>
      <c r="AB45" s="43">
        <f t="shared" si="12"/>
        <v>435929.37969027803</v>
      </c>
      <c r="AD45" s="72" t="s">
        <v>123</v>
      </c>
      <c r="AE45" s="44">
        <f t="shared" si="28"/>
        <v>884620.96429306711</v>
      </c>
      <c r="AF45" s="44">
        <f t="shared" si="5"/>
        <v>4755.8677211843433</v>
      </c>
      <c r="AG45" s="44">
        <f t="shared" si="29"/>
        <v>1286.1322788156567</v>
      </c>
      <c r="AH45" s="44">
        <f t="shared" si="30"/>
        <v>0</v>
      </c>
      <c r="AI45" s="43">
        <f t="shared" si="13"/>
        <v>883334.8320142515</v>
      </c>
      <c r="AK45" s="101">
        <f t="shared" si="38"/>
        <v>2030</v>
      </c>
      <c r="AL45" s="101">
        <f t="shared" si="6"/>
        <v>7</v>
      </c>
      <c r="AM45" s="118">
        <f t="shared" si="32"/>
        <v>2640.9812915868529</v>
      </c>
      <c r="AN45" s="100">
        <f t="shared" si="33"/>
        <v>2294.8913078276278</v>
      </c>
      <c r="AO45" s="100">
        <f t="shared" si="34"/>
        <v>4755.8677211843433</v>
      </c>
      <c r="AP45" s="100">
        <f t="shared" si="35"/>
        <v>4935.8725994144806</v>
      </c>
      <c r="AQ45" s="1">
        <f t="shared" si="36"/>
        <v>8303</v>
      </c>
      <c r="AR45" s="100">
        <f t="shared" si="15"/>
        <v>969959.05789207132</v>
      </c>
      <c r="AS45" s="100">
        <f t="shared" si="16"/>
        <v>9691.740320598823</v>
      </c>
      <c r="AT45" s="100">
        <f t="shared" si="37"/>
        <v>4477.6849331330832</v>
      </c>
      <c r="AU45" s="1">
        <f t="shared" si="17"/>
        <v>14169.425253731906</v>
      </c>
      <c r="AV45" s="100">
        <f t="shared" si="18"/>
        <v>1853293.8899063228</v>
      </c>
    </row>
    <row r="46" spans="4:81">
      <c r="D46" s="39">
        <f t="shared" si="19"/>
        <v>38</v>
      </c>
      <c r="E46" s="40">
        <f t="shared" si="39"/>
        <v>2030</v>
      </c>
      <c r="F46" s="35">
        <f t="shared" si="40"/>
        <v>47360</v>
      </c>
      <c r="G46" s="36">
        <f t="shared" si="2"/>
        <v>8</v>
      </c>
      <c r="H46" s="41">
        <f t="shared" si="41"/>
        <v>31</v>
      </c>
      <c r="I46" s="37" t="s">
        <v>123</v>
      </c>
      <c r="J46" s="27">
        <f t="shared" si="20"/>
        <v>32820.344974617605</v>
      </c>
      <c r="K46" s="27">
        <f t="shared" si="8"/>
        <v>168.08512564671969</v>
      </c>
      <c r="L46" s="27">
        <f t="shared" si="21"/>
        <v>1469.9148743532803</v>
      </c>
      <c r="M46" s="27">
        <f t="shared" si="9"/>
        <v>0</v>
      </c>
      <c r="N46" s="27">
        <f t="shared" si="10"/>
        <v>31350.430100264326</v>
      </c>
      <c r="P46" s="72" t="s">
        <v>123</v>
      </c>
      <c r="Q46" s="44">
        <f t="shared" si="42"/>
        <v>501209.33322717564</v>
      </c>
      <c r="R46" s="44">
        <f t="shared" si="3"/>
        <v>2634.9879165195266</v>
      </c>
      <c r="S46" s="44">
        <f t="shared" si="43"/>
        <v>1146.0120834804734</v>
      </c>
      <c r="T46" s="44">
        <f t="shared" si="44"/>
        <v>0</v>
      </c>
      <c r="U46" s="43">
        <f t="shared" si="11"/>
        <v>500063.32114369515</v>
      </c>
      <c r="W46" s="72" t="s">
        <v>123</v>
      </c>
      <c r="X46" s="44">
        <f t="shared" si="25"/>
        <v>435929.37969027803</v>
      </c>
      <c r="Y46" s="44">
        <f t="shared" si="4"/>
        <v>2291.7942101032177</v>
      </c>
      <c r="Z46" s="44">
        <f t="shared" si="26"/>
        <v>592.20578989678233</v>
      </c>
      <c r="AA46" s="44">
        <f t="shared" si="27"/>
        <v>0</v>
      </c>
      <c r="AB46" s="43">
        <f t="shared" si="12"/>
        <v>435337.17390038125</v>
      </c>
      <c r="AD46" s="72" t="s">
        <v>123</v>
      </c>
      <c r="AE46" s="44">
        <f t="shared" si="28"/>
        <v>883334.8320142515</v>
      </c>
      <c r="AF46" s="44">
        <f t="shared" si="5"/>
        <v>4748.9532626344253</v>
      </c>
      <c r="AG46" s="44">
        <f t="shared" si="29"/>
        <v>1293.0467373655747</v>
      </c>
      <c r="AH46" s="44">
        <f t="shared" si="30"/>
        <v>0</v>
      </c>
      <c r="AI46" s="43">
        <f t="shared" si="13"/>
        <v>882041.78527688596</v>
      </c>
      <c r="AK46" s="101">
        <f t="shared" si="38"/>
        <v>2030</v>
      </c>
      <c r="AL46" s="101">
        <f t="shared" si="6"/>
        <v>8</v>
      </c>
      <c r="AM46" s="118">
        <f t="shared" si="32"/>
        <v>5275.9692081063795</v>
      </c>
      <c r="AN46" s="100">
        <f t="shared" si="33"/>
        <v>4586.6855179308459</v>
      </c>
      <c r="AO46" s="100">
        <f t="shared" si="34"/>
        <v>9504.8209838187686</v>
      </c>
      <c r="AP46" s="100">
        <f t="shared" si="35"/>
        <v>9862.6547260372245</v>
      </c>
      <c r="AQ46" s="1">
        <f t="shared" si="36"/>
        <v>16606</v>
      </c>
      <c r="AR46" s="100">
        <f t="shared" si="15"/>
        <v>966750.92514434084</v>
      </c>
      <c r="AS46" s="100">
        <f t="shared" si="16"/>
        <v>19367.475709855993</v>
      </c>
      <c r="AT46" s="100">
        <f t="shared" si="37"/>
        <v>8978.8644182291937</v>
      </c>
      <c r="AU46" s="1">
        <f t="shared" si="17"/>
        <v>28346.340128085187</v>
      </c>
      <c r="AV46" s="100">
        <f t="shared" si="18"/>
        <v>1848792.7104212269</v>
      </c>
      <c r="AY46" s="102" t="s">
        <v>134</v>
      </c>
      <c r="AZ46" s="119">
        <v>6</v>
      </c>
    </row>
    <row r="47" spans="4:81">
      <c r="D47" s="39">
        <f t="shared" si="19"/>
        <v>39</v>
      </c>
      <c r="E47" s="40">
        <f t="shared" si="39"/>
        <v>2030</v>
      </c>
      <c r="F47" s="35">
        <f t="shared" si="40"/>
        <v>47391</v>
      </c>
      <c r="G47" s="36">
        <f t="shared" si="2"/>
        <v>9</v>
      </c>
      <c r="H47" s="41">
        <f t="shared" si="41"/>
        <v>30</v>
      </c>
      <c r="I47" s="37" t="s">
        <v>123</v>
      </c>
      <c r="J47" s="27">
        <f t="shared" si="20"/>
        <v>31350.430100264326</v>
      </c>
      <c r="K47" s="27">
        <f t="shared" si="8"/>
        <v>155.37788507226895</v>
      </c>
      <c r="L47" s="27">
        <f t="shared" si="21"/>
        <v>1482.622114927731</v>
      </c>
      <c r="M47" s="27">
        <f t="shared" si="9"/>
        <v>0</v>
      </c>
      <c r="N47" s="27">
        <f t="shared" si="10"/>
        <v>29867.807985336596</v>
      </c>
      <c r="P47" s="72" t="s">
        <v>123</v>
      </c>
      <c r="Q47" s="44">
        <f t="shared" si="42"/>
        <v>500063.32114369515</v>
      </c>
      <c r="R47" s="44">
        <f t="shared" si="3"/>
        <v>2544.1577735995666</v>
      </c>
      <c r="S47" s="44">
        <f t="shared" si="43"/>
        <v>1236.8422264004334</v>
      </c>
      <c r="T47" s="44">
        <f t="shared" si="44"/>
        <v>0</v>
      </c>
      <c r="U47" s="43">
        <f t="shared" si="11"/>
        <v>498826.47891729471</v>
      </c>
      <c r="W47" s="72" t="s">
        <v>123</v>
      </c>
      <c r="X47" s="44">
        <f t="shared" si="25"/>
        <v>435337.17390038125</v>
      </c>
      <c r="Y47" s="44">
        <f t="shared" si="4"/>
        <v>2214.8524162548165</v>
      </c>
      <c r="Z47" s="44">
        <f t="shared" si="26"/>
        <v>669.14758374518351</v>
      </c>
      <c r="AA47" s="44">
        <f t="shared" si="27"/>
        <v>0</v>
      </c>
      <c r="AB47" s="43">
        <f t="shared" si="12"/>
        <v>434668.02631663607</v>
      </c>
      <c r="AD47" s="72" t="s">
        <v>123</v>
      </c>
      <c r="AE47" s="44">
        <f t="shared" si="28"/>
        <v>882041.78527688596</v>
      </c>
      <c r="AF47" s="44">
        <f t="shared" si="5"/>
        <v>4589.0338362761822</v>
      </c>
      <c r="AG47" s="44">
        <f t="shared" si="29"/>
        <v>1452.9661637238178</v>
      </c>
      <c r="AH47" s="44">
        <f t="shared" si="30"/>
        <v>0</v>
      </c>
      <c r="AI47" s="43">
        <f t="shared" si="13"/>
        <v>880588.81911316211</v>
      </c>
      <c r="AK47" s="101">
        <f t="shared" si="38"/>
        <v>2030</v>
      </c>
      <c r="AL47" s="101">
        <f t="shared" si="6"/>
        <v>9</v>
      </c>
      <c r="AM47" s="118">
        <f t="shared" si="32"/>
        <v>7820.1269817059456</v>
      </c>
      <c r="AN47" s="100">
        <f t="shared" si="33"/>
        <v>6801.5379341856624</v>
      </c>
      <c r="AO47" s="100">
        <f t="shared" si="34"/>
        <v>14093.854820094952</v>
      </c>
      <c r="AP47" s="100">
        <f t="shared" si="35"/>
        <v>14621.664915891608</v>
      </c>
      <c r="AQ47" s="1">
        <f t="shared" si="36"/>
        <v>24909</v>
      </c>
      <c r="AR47" s="100">
        <f t="shared" si="15"/>
        <v>963362.31321926741</v>
      </c>
      <c r="AS47" s="100">
        <f t="shared" si="16"/>
        <v>28715.51973598656</v>
      </c>
      <c r="AT47" s="100">
        <f t="shared" si="37"/>
        <v>13820.442507026361</v>
      </c>
      <c r="AU47" s="1">
        <f t="shared" si="17"/>
        <v>42535.962243012924</v>
      </c>
      <c r="AV47" s="100">
        <f t="shared" si="18"/>
        <v>1843951.1323324295</v>
      </c>
    </row>
    <row r="48" spans="4:81">
      <c r="D48" s="39">
        <f t="shared" si="19"/>
        <v>40</v>
      </c>
      <c r="E48" s="40">
        <f t="shared" si="39"/>
        <v>2030</v>
      </c>
      <c r="F48" s="35">
        <f t="shared" si="40"/>
        <v>47421</v>
      </c>
      <c r="G48" s="36">
        <f t="shared" si="2"/>
        <v>10</v>
      </c>
      <c r="H48" s="41">
        <f t="shared" si="41"/>
        <v>31</v>
      </c>
      <c r="I48" s="37" t="s">
        <v>123</v>
      </c>
      <c r="J48" s="27">
        <f t="shared" si="20"/>
        <v>29867.807985336596</v>
      </c>
      <c r="K48" s="27">
        <f t="shared" si="8"/>
        <v>152.96409169038276</v>
      </c>
      <c r="L48" s="27">
        <f t="shared" si="21"/>
        <v>1485.0359083096173</v>
      </c>
      <c r="M48" s="27">
        <f t="shared" si="9"/>
        <v>0</v>
      </c>
      <c r="N48" s="27">
        <f t="shared" si="10"/>
        <v>28382.772077026981</v>
      </c>
      <c r="P48" s="72" t="s">
        <v>123</v>
      </c>
      <c r="Q48" s="44">
        <f t="shared" si="42"/>
        <v>498826.47891729471</v>
      </c>
      <c r="R48" s="44">
        <f t="shared" si="3"/>
        <v>2622.4606312175256</v>
      </c>
      <c r="S48" s="44">
        <f t="shared" si="43"/>
        <v>1158.5393687824744</v>
      </c>
      <c r="T48" s="44">
        <f t="shared" si="44"/>
        <v>0</v>
      </c>
      <c r="U48" s="43">
        <f t="shared" si="11"/>
        <v>497667.93954851222</v>
      </c>
      <c r="W48" s="72" t="s">
        <v>123</v>
      </c>
      <c r="X48" s="44">
        <f t="shared" si="25"/>
        <v>434668.02631663607</v>
      </c>
      <c r="Y48" s="44">
        <f t="shared" si="4"/>
        <v>2285.1629471205288</v>
      </c>
      <c r="Z48" s="44">
        <f t="shared" si="26"/>
        <v>598.83705287947123</v>
      </c>
      <c r="AA48" s="44">
        <f t="shared" si="27"/>
        <v>0</v>
      </c>
      <c r="AB48" s="43">
        <f t="shared" si="12"/>
        <v>434069.18926375662</v>
      </c>
      <c r="AD48" s="72" t="s">
        <v>123</v>
      </c>
      <c r="AE48" s="44">
        <f t="shared" si="28"/>
        <v>880588.81911316211</v>
      </c>
      <c r="AF48" s="44">
        <f t="shared" si="5"/>
        <v>4734.190245878789</v>
      </c>
      <c r="AG48" s="44">
        <f t="shared" si="29"/>
        <v>1307.809754121211</v>
      </c>
      <c r="AH48" s="44">
        <f t="shared" si="30"/>
        <v>0</v>
      </c>
      <c r="AI48" s="43">
        <f t="shared" si="13"/>
        <v>879281.00935904088</v>
      </c>
      <c r="AK48" s="101">
        <f t="shared" si="38"/>
        <v>2030</v>
      </c>
      <c r="AL48" s="101">
        <f t="shared" si="6"/>
        <v>10</v>
      </c>
      <c r="AM48" s="118">
        <f t="shared" si="32"/>
        <v>10442.587612923471</v>
      </c>
      <c r="AN48" s="100">
        <f t="shared" si="33"/>
        <v>9086.7008813061911</v>
      </c>
      <c r="AO48" s="100">
        <f t="shared" si="34"/>
        <v>18828.04506597374</v>
      </c>
      <c r="AP48" s="100">
        <f t="shared" si="35"/>
        <v>19529.288494229662</v>
      </c>
      <c r="AQ48" s="1">
        <f t="shared" si="36"/>
        <v>33212</v>
      </c>
      <c r="AR48" s="100">
        <f t="shared" si="15"/>
        <v>960119.90088929585</v>
      </c>
      <c r="AS48" s="100">
        <f t="shared" si="16"/>
        <v>38357.333560203406</v>
      </c>
      <c r="AT48" s="100">
        <f t="shared" si="37"/>
        <v>18370.664591119137</v>
      </c>
      <c r="AU48" s="1">
        <f t="shared" si="17"/>
        <v>56727.998151322543</v>
      </c>
      <c r="AV48" s="100">
        <f t="shared" si="18"/>
        <v>1839400.9102483368</v>
      </c>
      <c r="AZ48" s="102" t="s">
        <v>135</v>
      </c>
      <c r="BA48"/>
      <c r="BB48"/>
      <c r="BC48"/>
      <c r="BD48"/>
      <c r="BE48"/>
      <c r="BF48"/>
      <c r="BG48"/>
      <c r="BH48"/>
      <c r="BI48"/>
      <c r="BJ48"/>
      <c r="BK48"/>
      <c r="BL48"/>
      <c r="BM48"/>
      <c r="BN48"/>
      <c r="BO48"/>
      <c r="BP48"/>
      <c r="BQ48"/>
      <c r="BR48"/>
      <c r="BS48"/>
      <c r="BT48"/>
      <c r="BU48"/>
      <c r="BV48"/>
      <c r="BW48"/>
      <c r="BX48"/>
      <c r="BY48"/>
      <c r="BZ48"/>
      <c r="CA48"/>
      <c r="CB48"/>
      <c r="CC48"/>
    </row>
    <row r="49" spans="4:81">
      <c r="D49" s="39">
        <f t="shared" si="19"/>
        <v>41</v>
      </c>
      <c r="E49" s="40">
        <f t="shared" si="39"/>
        <v>2030</v>
      </c>
      <c r="F49" s="35">
        <f t="shared" si="40"/>
        <v>47452</v>
      </c>
      <c r="G49" s="36">
        <f t="shared" si="2"/>
        <v>11</v>
      </c>
      <c r="H49" s="41">
        <f t="shared" si="41"/>
        <v>30</v>
      </c>
      <c r="I49" s="37" t="s">
        <v>123</v>
      </c>
      <c r="J49" s="27">
        <f t="shared" si="20"/>
        <v>28382.772077026981</v>
      </c>
      <c r="K49" s="27">
        <f t="shared" si="8"/>
        <v>140.66968407490907</v>
      </c>
      <c r="L49" s="27">
        <f t="shared" si="21"/>
        <v>1497.3303159250909</v>
      </c>
      <c r="M49" s="27">
        <f t="shared" si="9"/>
        <v>0</v>
      </c>
      <c r="N49" s="27">
        <f t="shared" si="10"/>
        <v>26885.441761101891</v>
      </c>
      <c r="P49" s="72" t="s">
        <v>123</v>
      </c>
      <c r="Q49" s="44">
        <f t="shared" si="42"/>
        <v>497667.93954851222</v>
      </c>
      <c r="R49" s="44">
        <f t="shared" si="3"/>
        <v>2531.9708595659922</v>
      </c>
      <c r="S49" s="44">
        <f t="shared" si="43"/>
        <v>1249.0291404340078</v>
      </c>
      <c r="T49" s="44">
        <f t="shared" si="44"/>
        <v>0</v>
      </c>
      <c r="U49" s="43">
        <f t="shared" si="11"/>
        <v>496418.91040807823</v>
      </c>
      <c r="W49" s="72" t="s">
        <v>123</v>
      </c>
      <c r="X49" s="44">
        <f t="shared" si="25"/>
        <v>434069.18926375662</v>
      </c>
      <c r="Y49" s="44">
        <f t="shared" si="4"/>
        <v>2208.4013272953312</v>
      </c>
      <c r="Z49" s="44">
        <f t="shared" si="26"/>
        <v>675.59867270466884</v>
      </c>
      <c r="AA49" s="44">
        <f t="shared" si="27"/>
        <v>0</v>
      </c>
      <c r="AB49" s="43">
        <f t="shared" si="12"/>
        <v>433393.59059105197</v>
      </c>
      <c r="AD49" s="72" t="s">
        <v>123</v>
      </c>
      <c r="AE49" s="44">
        <f t="shared" si="28"/>
        <v>879281.00935904088</v>
      </c>
      <c r="AF49" s="44">
        <f t="shared" si="5"/>
        <v>4574.6702377337497</v>
      </c>
      <c r="AG49" s="44">
        <f t="shared" si="29"/>
        <v>1467.3297622662503</v>
      </c>
      <c r="AH49" s="44">
        <f t="shared" si="30"/>
        <v>0</v>
      </c>
      <c r="AI49" s="43">
        <f t="shared" si="13"/>
        <v>877813.67959677463</v>
      </c>
      <c r="AK49" s="101">
        <f t="shared" si="38"/>
        <v>2030</v>
      </c>
      <c r="AL49" s="101">
        <f t="shared" si="6"/>
        <v>11</v>
      </c>
      <c r="AM49" s="118">
        <f t="shared" si="32"/>
        <v>12974.558472489463</v>
      </c>
      <c r="AN49" s="100">
        <f t="shared" si="33"/>
        <v>11295.102208601522</v>
      </c>
      <c r="AO49" s="100">
        <f t="shared" si="34"/>
        <v>23402.71530370749</v>
      </c>
      <c r="AP49" s="100">
        <f t="shared" si="35"/>
        <v>24269.660681090987</v>
      </c>
      <c r="AQ49" s="1">
        <f t="shared" si="36"/>
        <v>41515</v>
      </c>
      <c r="AR49" s="100">
        <f t="shared" si="15"/>
        <v>956697.94276023214</v>
      </c>
      <c r="AS49" s="100">
        <f t="shared" si="16"/>
        <v>47672.375984798477</v>
      </c>
      <c r="AT49" s="100">
        <f t="shared" si="37"/>
        <v>23259.952482449153</v>
      </c>
      <c r="AU49" s="1">
        <f t="shared" si="17"/>
        <v>70932.328467247629</v>
      </c>
      <c r="AV49" s="100">
        <f t="shared" si="18"/>
        <v>1834511.6223570067</v>
      </c>
      <c r="AZ49" s="120">
        <v>2027</v>
      </c>
      <c r="BA49" s="120">
        <v>2028</v>
      </c>
      <c r="BB49" s="120">
        <v>2029</v>
      </c>
      <c r="BC49" s="120">
        <v>2030</v>
      </c>
      <c r="BD49" s="120">
        <v>2031</v>
      </c>
      <c r="BE49" s="120">
        <v>2032</v>
      </c>
      <c r="BF49" s="120">
        <v>2033</v>
      </c>
      <c r="BG49" s="120">
        <v>2034</v>
      </c>
      <c r="BH49" s="120">
        <v>2035</v>
      </c>
      <c r="BI49" s="120">
        <v>2036</v>
      </c>
      <c r="BJ49" s="120">
        <v>2037</v>
      </c>
      <c r="BK49" s="120">
        <v>2038</v>
      </c>
      <c r="BL49" s="120">
        <v>2039</v>
      </c>
      <c r="BM49" s="120">
        <v>2040</v>
      </c>
      <c r="BN49" s="120">
        <v>2041</v>
      </c>
      <c r="BO49" s="120">
        <v>2042</v>
      </c>
      <c r="BP49" s="120">
        <v>2043</v>
      </c>
      <c r="BQ49" s="120">
        <v>2044</v>
      </c>
      <c r="BR49" s="120">
        <v>2045</v>
      </c>
      <c r="BS49" s="120">
        <v>2046</v>
      </c>
      <c r="BT49" s="120">
        <v>2047</v>
      </c>
      <c r="BU49" s="120">
        <v>2048</v>
      </c>
      <c r="BV49" s="120">
        <v>2049</v>
      </c>
      <c r="BW49" s="120">
        <v>2050</v>
      </c>
      <c r="BX49" s="120">
        <v>2051</v>
      </c>
      <c r="BY49" s="120">
        <v>2052</v>
      </c>
      <c r="BZ49" s="120">
        <v>2053</v>
      </c>
      <c r="CA49" s="120">
        <v>2054</v>
      </c>
      <c r="CB49" s="120">
        <v>2055</v>
      </c>
      <c r="CC49"/>
    </row>
    <row r="50" spans="4:81">
      <c r="D50" s="39">
        <f t="shared" si="19"/>
        <v>42</v>
      </c>
      <c r="E50" s="40">
        <f t="shared" si="39"/>
        <v>2030</v>
      </c>
      <c r="F50" s="35">
        <f t="shared" si="40"/>
        <v>47482</v>
      </c>
      <c r="G50" s="36">
        <f t="shared" si="2"/>
        <v>12</v>
      </c>
      <c r="H50" s="41">
        <f t="shared" si="41"/>
        <v>31</v>
      </c>
      <c r="I50" s="37" t="s">
        <v>123</v>
      </c>
      <c r="J50" s="27">
        <f t="shared" si="20"/>
        <v>26885.441761101891</v>
      </c>
      <c r="K50" s="27">
        <f t="shared" si="8"/>
        <v>137.69029118911715</v>
      </c>
      <c r="L50" s="27">
        <f t="shared" si="21"/>
        <v>1500.309708810883</v>
      </c>
      <c r="M50" s="27">
        <f t="shared" si="9"/>
        <v>0</v>
      </c>
      <c r="N50" s="27">
        <f t="shared" si="10"/>
        <v>25385.132052291006</v>
      </c>
      <c r="P50" s="72" t="s">
        <v>123</v>
      </c>
      <c r="Q50" s="44">
        <f t="shared" si="42"/>
        <v>496418.91040807823</v>
      </c>
      <c r="R50" s="44">
        <f t="shared" si="3"/>
        <v>2609.803416937154</v>
      </c>
      <c r="S50" s="44">
        <f t="shared" si="43"/>
        <v>1171.196583062846</v>
      </c>
      <c r="T50" s="44">
        <f t="shared" si="44"/>
        <v>0</v>
      </c>
      <c r="U50" s="43">
        <f t="shared" si="11"/>
        <v>495247.71382501541</v>
      </c>
      <c r="W50" s="72" t="s">
        <v>123</v>
      </c>
      <c r="X50" s="44">
        <f t="shared" si="25"/>
        <v>433393.59059105197</v>
      </c>
      <c r="Y50" s="44">
        <f t="shared" si="4"/>
        <v>2278.4629068086838</v>
      </c>
      <c r="Z50" s="44">
        <f t="shared" si="26"/>
        <v>605.53709319131622</v>
      </c>
      <c r="AA50" s="44">
        <f t="shared" si="27"/>
        <v>0</v>
      </c>
      <c r="AB50" s="43">
        <f t="shared" si="12"/>
        <v>432788.05349786067</v>
      </c>
      <c r="AD50" s="72" t="s">
        <v>123</v>
      </c>
      <c r="AE50" s="44">
        <f t="shared" si="28"/>
        <v>877813.67959677463</v>
      </c>
      <c r="AF50" s="44">
        <f t="shared" si="5"/>
        <v>4719.2706396513713</v>
      </c>
      <c r="AG50" s="44">
        <f t="shared" si="29"/>
        <v>1322.7293603486287</v>
      </c>
      <c r="AH50" s="44">
        <f t="shared" si="30"/>
        <v>0</v>
      </c>
      <c r="AI50" s="43">
        <f t="shared" si="13"/>
        <v>876490.95023642597</v>
      </c>
      <c r="AK50" s="101">
        <f t="shared" si="38"/>
        <v>2030</v>
      </c>
      <c r="AL50" s="101">
        <f t="shared" si="6"/>
        <v>12</v>
      </c>
      <c r="AM50" s="118">
        <f t="shared" si="32"/>
        <v>15584.361889426618</v>
      </c>
      <c r="AN50" s="100">
        <f t="shared" si="33"/>
        <v>13573.565115410205</v>
      </c>
      <c r="AO50" s="100">
        <f t="shared" si="34"/>
        <v>28121.985943358861</v>
      </c>
      <c r="AP50" s="100">
        <f t="shared" si="35"/>
        <v>29157.927004836823</v>
      </c>
      <c r="AQ50" s="1">
        <f t="shared" si="36"/>
        <v>49818</v>
      </c>
      <c r="AR50" s="100">
        <f t="shared" si="15"/>
        <v>953420.89937516709</v>
      </c>
      <c r="AS50" s="100">
        <f t="shared" si="16"/>
        <v>57279.912948195684</v>
      </c>
      <c r="AT50" s="100">
        <f t="shared" si="37"/>
        <v>27859.725227862829</v>
      </c>
      <c r="AU50" s="1">
        <f t="shared" si="17"/>
        <v>85139.638176058506</v>
      </c>
      <c r="AV50" s="100">
        <f t="shared" si="18"/>
        <v>1829911.8496115929</v>
      </c>
      <c r="AX50" t="s">
        <v>219</v>
      </c>
      <c r="AY50" t="s">
        <v>218</v>
      </c>
      <c r="AZ50" s="103">
        <v>47853.327342875942</v>
      </c>
      <c r="BA50" s="103">
        <v>50558.09439453081</v>
      </c>
      <c r="BB50" s="103">
        <v>54110.983423137703</v>
      </c>
      <c r="BC50" s="103">
        <v>57551.961121568376</v>
      </c>
      <c r="BD50" s="103">
        <v>59567.122749476039</v>
      </c>
      <c r="BE50" s="103">
        <v>44411.924517497864</v>
      </c>
      <c r="BF50" s="103">
        <v>47569.305911487711</v>
      </c>
      <c r="BG50" s="103">
        <v>50629.249114539256</v>
      </c>
      <c r="BH50" s="103">
        <v>53886.051868695875</v>
      </c>
      <c r="BI50" s="103">
        <v>57087.434614191137</v>
      </c>
      <c r="BJ50" s="103">
        <v>61024.646462400771</v>
      </c>
      <c r="BK50" s="103">
        <v>64950.239679447135</v>
      </c>
      <c r="BL50" s="103">
        <v>69128.391361877875</v>
      </c>
      <c r="BM50" s="103">
        <v>73356.152858240472</v>
      </c>
      <c r="BN50" s="103">
        <v>78294.291753042868</v>
      </c>
      <c r="BO50" s="103">
        <v>83330.963606018122</v>
      </c>
      <c r="BP50" s="103">
        <v>88691.686831148923</v>
      </c>
      <c r="BQ50" s="103">
        <v>94236.828781370888</v>
      </c>
      <c r="BR50" s="103">
        <v>100459.68621298765</v>
      </c>
      <c r="BS50" s="103">
        <v>106922.46005669447</v>
      </c>
      <c r="BT50" s="103">
        <v>113801.05142458077</v>
      </c>
      <c r="BU50" s="103">
        <v>109630.34665419594</v>
      </c>
      <c r="BV50" s="103">
        <v>81484.733605109534</v>
      </c>
      <c r="BW50" s="103">
        <v>86757.68038296407</v>
      </c>
      <c r="BX50" s="103">
        <v>92371.882295782314</v>
      </c>
      <c r="BY50" s="103">
        <v>98327.061582199589</v>
      </c>
      <c r="BZ50" s="103">
        <v>67901.882659312032</v>
      </c>
      <c r="CA50" s="103">
        <v>22623.474187106203</v>
      </c>
      <c r="CB50" s="103">
        <v>0</v>
      </c>
      <c r="CC50"/>
    </row>
    <row r="51" spans="4:81">
      <c r="D51" s="39">
        <f t="shared" si="19"/>
        <v>43</v>
      </c>
      <c r="E51" s="40">
        <f t="shared" si="39"/>
        <v>2030</v>
      </c>
      <c r="F51" s="35">
        <f t="shared" ref="F51:F114" si="45">EDATE($E$5,D51)</f>
        <v>47513</v>
      </c>
      <c r="G51" s="36">
        <f t="shared" si="2"/>
        <v>1</v>
      </c>
      <c r="H51" s="41">
        <f t="shared" ref="H51:H114" si="46">DAY(EOMONTH(F51,0))</f>
        <v>31</v>
      </c>
      <c r="I51" s="37" t="s">
        <v>123</v>
      </c>
      <c r="J51" s="27">
        <f t="shared" si="20"/>
        <v>25385.132052291006</v>
      </c>
      <c r="K51" s="27">
        <f t="shared" si="8"/>
        <v>130.00665026122624</v>
      </c>
      <c r="L51" s="27">
        <f t="shared" si="21"/>
        <v>1507.9933497387738</v>
      </c>
      <c r="M51" s="27">
        <f t="shared" si="9"/>
        <v>0</v>
      </c>
      <c r="N51" s="27">
        <f t="shared" si="10"/>
        <v>23877.138702552234</v>
      </c>
      <c r="P51" s="72" t="s">
        <v>123</v>
      </c>
      <c r="Q51" s="44">
        <f t="shared" si="42"/>
        <v>495247.71382501541</v>
      </c>
      <c r="R51" s="44">
        <f t="shared" si="3"/>
        <v>2603.6461316680056</v>
      </c>
      <c r="S51" s="44">
        <f t="shared" si="43"/>
        <v>1177.3538683319944</v>
      </c>
      <c r="T51" s="44">
        <f t="shared" si="44"/>
        <v>0</v>
      </c>
      <c r="U51" s="43">
        <f t="shared" si="11"/>
        <v>494070.35995668342</v>
      </c>
      <c r="W51" s="72" t="s">
        <v>123</v>
      </c>
      <c r="X51" s="44">
        <f t="shared" si="25"/>
        <v>432788.05349786067</v>
      </c>
      <c r="Y51" s="44">
        <f t="shared" si="4"/>
        <v>2275.2794407042325</v>
      </c>
      <c r="Z51" s="44">
        <f t="shared" si="26"/>
        <v>608.72055929576754</v>
      </c>
      <c r="AA51" s="44">
        <f t="shared" si="27"/>
        <v>0</v>
      </c>
      <c r="AB51" s="43">
        <f t="shared" si="12"/>
        <v>432179.33293856488</v>
      </c>
      <c r="AD51" s="72" t="s">
        <v>123</v>
      </c>
      <c r="AE51" s="44">
        <f t="shared" si="28"/>
        <v>876490.95023642597</v>
      </c>
      <c r="AF51" s="44">
        <f t="shared" si="5"/>
        <v>4712.1594291751744</v>
      </c>
      <c r="AG51" s="44">
        <f t="shared" si="29"/>
        <v>1329.8405708248256</v>
      </c>
      <c r="AH51" s="44">
        <f t="shared" si="30"/>
        <v>0</v>
      </c>
      <c r="AI51" s="43">
        <f t="shared" si="13"/>
        <v>875161.10966560117</v>
      </c>
      <c r="AK51" s="101">
        <f t="shared" si="38"/>
        <v>2030</v>
      </c>
      <c r="AL51" s="101">
        <f t="shared" si="6"/>
        <v>1</v>
      </c>
      <c r="AM51" s="118">
        <f t="shared" si="32"/>
        <v>18188.008021094625</v>
      </c>
      <c r="AN51" s="100">
        <f t="shared" si="33"/>
        <v>15848.844556114438</v>
      </c>
      <c r="AO51" s="100">
        <f t="shared" si="34"/>
        <v>32834.145372534033</v>
      </c>
      <c r="AP51" s="100">
        <f t="shared" si="35"/>
        <v>34036.852577209065</v>
      </c>
      <c r="AQ51" s="1">
        <f t="shared" si="36"/>
        <v>58121</v>
      </c>
      <c r="AR51" s="100">
        <f t="shared" si="15"/>
        <v>950126.8315978006</v>
      </c>
      <c r="AS51" s="100">
        <f t="shared" si="16"/>
        <v>66870.99794974309</v>
      </c>
      <c r="AT51" s="100">
        <f t="shared" si="37"/>
        <v>32483.633576054192</v>
      </c>
      <c r="AU51" s="1">
        <f t="shared" si="17"/>
        <v>99354.631525797275</v>
      </c>
      <c r="AV51" s="100">
        <f t="shared" si="18"/>
        <v>1825287.9412634019</v>
      </c>
      <c r="AZ51"/>
      <c r="BA51"/>
      <c r="BB51"/>
      <c r="BC51"/>
      <c r="BD51"/>
      <c r="BE51"/>
      <c r="BF51"/>
      <c r="BG51"/>
      <c r="BH51"/>
      <c r="BI51"/>
      <c r="BJ51"/>
      <c r="BK51"/>
      <c r="BL51"/>
      <c r="BM51"/>
      <c r="BN51"/>
      <c r="BO51"/>
      <c r="BP51"/>
      <c r="BQ51"/>
      <c r="BR51"/>
      <c r="BS51"/>
      <c r="BT51"/>
      <c r="BU51"/>
      <c r="BV51"/>
      <c r="BW51"/>
      <c r="BX51"/>
      <c r="BY51"/>
      <c r="BZ51"/>
      <c r="CA51"/>
      <c r="CB51"/>
      <c r="CC51"/>
    </row>
    <row r="52" spans="4:81">
      <c r="D52" s="39">
        <f t="shared" si="19"/>
        <v>44</v>
      </c>
      <c r="E52" s="40">
        <f t="shared" si="39"/>
        <v>2030</v>
      </c>
      <c r="F52" s="35">
        <f t="shared" si="45"/>
        <v>47542</v>
      </c>
      <c r="G52" s="36">
        <f t="shared" si="2"/>
        <v>2</v>
      </c>
      <c r="H52" s="41">
        <f t="shared" si="46"/>
        <v>28</v>
      </c>
      <c r="I52" s="37" t="s">
        <v>123</v>
      </c>
      <c r="J52" s="27">
        <f t="shared" si="20"/>
        <v>23877.138702552234</v>
      </c>
      <c r="K52" s="27">
        <f t="shared" si="8"/>
        <v>110.44975612435394</v>
      </c>
      <c r="L52" s="27">
        <f t="shared" si="21"/>
        <v>1527.5502438756462</v>
      </c>
      <c r="M52" s="27">
        <f t="shared" si="9"/>
        <v>0</v>
      </c>
      <c r="N52" s="27">
        <f t="shared" si="10"/>
        <v>22349.58845867659</v>
      </c>
      <c r="P52" s="72" t="s">
        <v>123</v>
      </c>
      <c r="Q52" s="44">
        <f t="shared" si="42"/>
        <v>494070.35995668342</v>
      </c>
      <c r="R52" s="44">
        <f t="shared" si="3"/>
        <v>2346.0897202107499</v>
      </c>
      <c r="S52" s="44">
        <f t="shared" si="43"/>
        <v>1434.9102797892501</v>
      </c>
      <c r="T52" s="44">
        <f t="shared" si="44"/>
        <v>0</v>
      </c>
      <c r="U52" s="43">
        <f t="shared" si="11"/>
        <v>492635.44967689418</v>
      </c>
      <c r="W52" s="72" t="s">
        <v>123</v>
      </c>
      <c r="X52" s="44">
        <f t="shared" si="25"/>
        <v>432179.33293856488</v>
      </c>
      <c r="Y52" s="44">
        <f t="shared" si="4"/>
        <v>2052.200602326358</v>
      </c>
      <c r="Z52" s="44">
        <f t="shared" si="26"/>
        <v>831.79939767364203</v>
      </c>
      <c r="AA52" s="44">
        <f t="shared" si="27"/>
        <v>0</v>
      </c>
      <c r="AB52" s="43">
        <f t="shared" si="12"/>
        <v>431347.53354089125</v>
      </c>
      <c r="AD52" s="72" t="s">
        <v>123</v>
      </c>
      <c r="AE52" s="44">
        <f t="shared" si="28"/>
        <v>875161.10966560117</v>
      </c>
      <c r="AF52" s="44">
        <f t="shared" si="5"/>
        <v>4249.6864404693461</v>
      </c>
      <c r="AG52" s="44">
        <f t="shared" si="29"/>
        <v>1792.3135595306539</v>
      </c>
      <c r="AH52" s="44">
        <f t="shared" si="30"/>
        <v>0</v>
      </c>
      <c r="AI52" s="43">
        <f t="shared" si="13"/>
        <v>873368.79610607051</v>
      </c>
      <c r="AK52" s="101">
        <f t="shared" si="38"/>
        <v>2030</v>
      </c>
      <c r="AL52" s="101">
        <f t="shared" si="6"/>
        <v>2</v>
      </c>
      <c r="AM52" s="118">
        <f t="shared" si="32"/>
        <v>20534.097741305377</v>
      </c>
      <c r="AN52" s="100">
        <f t="shared" si="33"/>
        <v>17901.045158440797</v>
      </c>
      <c r="AO52" s="100">
        <f t="shared" si="34"/>
        <v>37083.83181300338</v>
      </c>
      <c r="AP52" s="100">
        <f t="shared" si="35"/>
        <v>38435.142899746177</v>
      </c>
      <c r="AQ52" s="1">
        <f t="shared" si="36"/>
        <v>66424</v>
      </c>
      <c r="AR52" s="100">
        <f t="shared" si="15"/>
        <v>946332.57167646196</v>
      </c>
      <c r="AS52" s="100">
        <f t="shared" si="16"/>
        <v>75518.974712749565</v>
      </c>
      <c r="AT52" s="100">
        <f t="shared" si="37"/>
        <v>38070.207056923377</v>
      </c>
      <c r="AU52" s="1">
        <f t="shared" si="17"/>
        <v>113589.18176967294</v>
      </c>
      <c r="AV52" s="100">
        <f t="shared" si="18"/>
        <v>1819701.3677825325</v>
      </c>
    </row>
    <row r="53" spans="4:81">
      <c r="D53" s="39">
        <f t="shared" si="19"/>
        <v>45</v>
      </c>
      <c r="E53" s="40">
        <f t="shared" si="39"/>
        <v>2030</v>
      </c>
      <c r="F53" s="35">
        <f t="shared" si="45"/>
        <v>47572</v>
      </c>
      <c r="G53" s="36">
        <f t="shared" si="2"/>
        <v>3</v>
      </c>
      <c r="H53" s="41">
        <f t="shared" si="46"/>
        <v>31</v>
      </c>
      <c r="I53" s="37" t="s">
        <v>123</v>
      </c>
      <c r="J53" s="27">
        <f t="shared" si="20"/>
        <v>22349.58845867659</v>
      </c>
      <c r="K53" s="27">
        <f t="shared" si="8"/>
        <v>114.46050878302508</v>
      </c>
      <c r="L53" s="27">
        <f t="shared" si="21"/>
        <v>1523.539491216975</v>
      </c>
      <c r="M53" s="27">
        <f t="shared" si="9"/>
        <v>0</v>
      </c>
      <c r="N53" s="27">
        <f t="shared" si="10"/>
        <v>20826.048967459614</v>
      </c>
      <c r="P53" s="72" t="s">
        <v>123</v>
      </c>
      <c r="Q53" s="44">
        <f t="shared" si="42"/>
        <v>492635.44967689418</v>
      </c>
      <c r="R53" s="44">
        <f t="shared" si="3"/>
        <v>2589.9127791369647</v>
      </c>
      <c r="S53" s="44">
        <f t="shared" si="43"/>
        <v>1191.0872208630353</v>
      </c>
      <c r="T53" s="44">
        <f t="shared" si="44"/>
        <v>0</v>
      </c>
      <c r="U53" s="43">
        <f t="shared" si="11"/>
        <v>491444.36245603114</v>
      </c>
      <c r="W53" s="72" t="s">
        <v>123</v>
      </c>
      <c r="X53" s="44">
        <f t="shared" si="25"/>
        <v>431347.53354089125</v>
      </c>
      <c r="Y53" s="44">
        <f t="shared" si="4"/>
        <v>2267.7062523605919</v>
      </c>
      <c r="Z53" s="44">
        <f t="shared" si="26"/>
        <v>616.29374763940814</v>
      </c>
      <c r="AA53" s="44">
        <f t="shared" si="27"/>
        <v>0</v>
      </c>
      <c r="AB53" s="43">
        <f t="shared" si="12"/>
        <v>430731.23979325185</v>
      </c>
      <c r="AD53" s="72" t="s">
        <v>123</v>
      </c>
      <c r="AE53" s="44">
        <f t="shared" si="28"/>
        <v>873368.79610607051</v>
      </c>
      <c r="AF53" s="44">
        <f t="shared" si="5"/>
        <v>4695.3742153395669</v>
      </c>
      <c r="AG53" s="44">
        <f t="shared" si="29"/>
        <v>1346.6257846604331</v>
      </c>
      <c r="AH53" s="44">
        <f t="shared" si="30"/>
        <v>0</v>
      </c>
      <c r="AI53" s="43">
        <f t="shared" si="13"/>
        <v>872022.17032141006</v>
      </c>
      <c r="AK53" s="101">
        <f t="shared" si="38"/>
        <v>2030</v>
      </c>
      <c r="AL53" s="101">
        <f t="shared" si="6"/>
        <v>3</v>
      </c>
      <c r="AM53" s="118">
        <f t="shared" si="32"/>
        <v>23124.010520442342</v>
      </c>
      <c r="AN53" s="100">
        <f t="shared" si="33"/>
        <v>20168.751410801389</v>
      </c>
      <c r="AO53" s="100">
        <f t="shared" si="34"/>
        <v>41779.206028342946</v>
      </c>
      <c r="AP53" s="100">
        <f t="shared" si="35"/>
        <v>43292.761931243731</v>
      </c>
      <c r="AQ53" s="1">
        <f t="shared" si="36"/>
        <v>74727</v>
      </c>
      <c r="AR53" s="100">
        <f t="shared" si="15"/>
        <v>943001.65121674258</v>
      </c>
      <c r="AS53" s="100">
        <f t="shared" si="16"/>
        <v>85071.967959586676</v>
      </c>
      <c r="AT53" s="100">
        <f t="shared" si="37"/>
        <v>42747.753301303223</v>
      </c>
      <c r="AU53" s="1">
        <f t="shared" si="17"/>
        <v>127819.7212608899</v>
      </c>
      <c r="AV53" s="100">
        <f t="shared" si="18"/>
        <v>1815023.8215381526</v>
      </c>
    </row>
    <row r="54" spans="4:81">
      <c r="D54" s="39">
        <f t="shared" si="19"/>
        <v>46</v>
      </c>
      <c r="E54" s="40">
        <f t="shared" si="39"/>
        <v>2030</v>
      </c>
      <c r="F54" s="35">
        <f t="shared" si="45"/>
        <v>47603</v>
      </c>
      <c r="G54" s="36">
        <f t="shared" si="2"/>
        <v>4</v>
      </c>
      <c r="H54" s="41">
        <f t="shared" si="46"/>
        <v>30</v>
      </c>
      <c r="I54" s="37" t="s">
        <v>123</v>
      </c>
      <c r="J54" s="27">
        <f t="shared" si="20"/>
        <v>20826.048967459614</v>
      </c>
      <c r="K54" s="27">
        <f t="shared" si="8"/>
        <v>103.21732214283409</v>
      </c>
      <c r="L54" s="27">
        <f t="shared" si="21"/>
        <v>1534.7826778571659</v>
      </c>
      <c r="M54" s="27">
        <f t="shared" si="9"/>
        <v>0</v>
      </c>
      <c r="N54" s="27">
        <f t="shared" si="10"/>
        <v>19291.266289602449</v>
      </c>
      <c r="P54" s="72" t="s">
        <v>123</v>
      </c>
      <c r="Q54" s="44">
        <f t="shared" si="42"/>
        <v>491444.36245603114</v>
      </c>
      <c r="R54" s="44">
        <f t="shared" si="3"/>
        <v>2500.3073454269856</v>
      </c>
      <c r="S54" s="44">
        <f t="shared" si="43"/>
        <v>1280.6926545730144</v>
      </c>
      <c r="T54" s="44">
        <f t="shared" si="44"/>
        <v>0</v>
      </c>
      <c r="U54" s="43">
        <f t="shared" si="11"/>
        <v>490163.66980145813</v>
      </c>
      <c r="W54" s="72" t="s">
        <v>123</v>
      </c>
      <c r="X54" s="44">
        <f t="shared" si="25"/>
        <v>430731.23979325185</v>
      </c>
      <c r="Y54" s="44">
        <f t="shared" si="4"/>
        <v>2191.4189377974485</v>
      </c>
      <c r="Z54" s="44">
        <f t="shared" si="26"/>
        <v>692.58106220255149</v>
      </c>
      <c r="AA54" s="44">
        <f t="shared" si="27"/>
        <v>0</v>
      </c>
      <c r="AB54" s="43">
        <f t="shared" si="12"/>
        <v>430038.65873104928</v>
      </c>
      <c r="AD54" s="72" t="s">
        <v>123</v>
      </c>
      <c r="AE54" s="44">
        <f t="shared" si="28"/>
        <v>872022.17032141006</v>
      </c>
      <c r="AF54" s="44">
        <f t="shared" si="5"/>
        <v>4536.9043875078287</v>
      </c>
      <c r="AG54" s="44">
        <f t="shared" si="29"/>
        <v>1505.0956124921713</v>
      </c>
      <c r="AH54" s="44">
        <f t="shared" si="30"/>
        <v>0</v>
      </c>
      <c r="AI54" s="43">
        <f t="shared" si="13"/>
        <v>870517.07470891788</v>
      </c>
      <c r="AK54" s="101">
        <f t="shared" si="38"/>
        <v>2030</v>
      </c>
      <c r="AL54" s="101">
        <f t="shared" si="6"/>
        <v>4</v>
      </c>
      <c r="AM54" s="118">
        <f t="shared" si="32"/>
        <v>25624.317865869329</v>
      </c>
      <c r="AN54" s="100">
        <f t="shared" si="33"/>
        <v>22360.170348598836</v>
      </c>
      <c r="AO54" s="100">
        <f t="shared" si="34"/>
        <v>46316.110415850773</v>
      </c>
      <c r="AP54" s="100">
        <f t="shared" si="35"/>
        <v>47984.488214468161</v>
      </c>
      <c r="AQ54" s="1">
        <f t="shared" si="36"/>
        <v>83030</v>
      </c>
      <c r="AR54" s="100">
        <f t="shared" si="15"/>
        <v>939493.59482210991</v>
      </c>
      <c r="AS54" s="100">
        <f t="shared" si="16"/>
        <v>94300.598630318942</v>
      </c>
      <c r="AT54" s="100">
        <f t="shared" si="37"/>
        <v>47760.905308428133</v>
      </c>
      <c r="AU54" s="1">
        <f t="shared" si="17"/>
        <v>142061.50393874708</v>
      </c>
      <c r="AV54" s="100">
        <f t="shared" si="18"/>
        <v>1810010.6695310278</v>
      </c>
    </row>
    <row r="55" spans="4:81">
      <c r="D55" s="39">
        <f t="shared" si="19"/>
        <v>47</v>
      </c>
      <c r="E55" s="40">
        <f t="shared" si="39"/>
        <v>2030</v>
      </c>
      <c r="F55" s="35">
        <f t="shared" si="45"/>
        <v>47633</v>
      </c>
      <c r="G55" s="36">
        <f t="shared" si="2"/>
        <v>5</v>
      </c>
      <c r="H55" s="41">
        <f t="shared" si="46"/>
        <v>31</v>
      </c>
      <c r="I55" s="37" t="s">
        <v>123</v>
      </c>
      <c r="J55" s="27">
        <f t="shared" si="20"/>
        <v>19291.266289602449</v>
      </c>
      <c r="K55" s="27">
        <f t="shared" si="8"/>
        <v>98.797709794942079</v>
      </c>
      <c r="L55" s="27">
        <f t="shared" si="21"/>
        <v>1539.202290205058</v>
      </c>
      <c r="M55" s="27">
        <f t="shared" si="9"/>
        <v>0</v>
      </c>
      <c r="N55" s="27">
        <f t="shared" si="10"/>
        <v>17752.063999397389</v>
      </c>
      <c r="P55" s="72" t="s">
        <v>123</v>
      </c>
      <c r="Q55" s="44">
        <f t="shared" si="42"/>
        <v>490163.66980145813</v>
      </c>
      <c r="R55" s="44">
        <f t="shared" si="3"/>
        <v>2576.91798899183</v>
      </c>
      <c r="S55" s="44">
        <f t="shared" si="43"/>
        <v>1204.08201100817</v>
      </c>
      <c r="T55" s="44">
        <f t="shared" si="44"/>
        <v>0</v>
      </c>
      <c r="U55" s="43">
        <f t="shared" si="11"/>
        <v>488959.58779044996</v>
      </c>
      <c r="W55" s="72" t="s">
        <v>123</v>
      </c>
      <c r="X55" s="44">
        <f t="shared" si="25"/>
        <v>430038.65873104928</v>
      </c>
      <c r="Y55" s="44">
        <f t="shared" si="4"/>
        <v>2260.8251568192068</v>
      </c>
      <c r="Z55" s="44">
        <f t="shared" si="26"/>
        <v>623.17484318079323</v>
      </c>
      <c r="AA55" s="44">
        <f t="shared" si="27"/>
        <v>0</v>
      </c>
      <c r="AB55" s="43">
        <f t="shared" si="12"/>
        <v>429415.48388786847</v>
      </c>
      <c r="AD55" s="72" t="s">
        <v>123</v>
      </c>
      <c r="AE55" s="44">
        <f t="shared" si="28"/>
        <v>870517.07470891788</v>
      </c>
      <c r="AF55" s="44">
        <f t="shared" si="5"/>
        <v>4680.0428923323552</v>
      </c>
      <c r="AG55" s="44">
        <f t="shared" si="29"/>
        <v>1361.9571076676448</v>
      </c>
      <c r="AH55" s="44">
        <f t="shared" si="30"/>
        <v>0</v>
      </c>
      <c r="AI55" s="43">
        <f t="shared" si="13"/>
        <v>869155.11760125018</v>
      </c>
      <c r="AK55" s="101">
        <f t="shared" si="38"/>
        <v>2030</v>
      </c>
      <c r="AL55" s="101">
        <f t="shared" si="6"/>
        <v>5</v>
      </c>
      <c r="AM55" s="118">
        <f t="shared" si="32"/>
        <v>28201.235854861159</v>
      </c>
      <c r="AN55" s="100">
        <f t="shared" si="33"/>
        <v>24620.995505418043</v>
      </c>
      <c r="AO55" s="100">
        <f t="shared" si="34"/>
        <v>50996.153308183129</v>
      </c>
      <c r="AP55" s="100">
        <f t="shared" si="35"/>
        <v>52822.231360279198</v>
      </c>
      <c r="AQ55" s="1">
        <f t="shared" si="36"/>
        <v>91333</v>
      </c>
      <c r="AR55" s="100">
        <f t="shared" si="15"/>
        <v>936127.13567771576</v>
      </c>
      <c r="AS55" s="100">
        <f t="shared" si="16"/>
        <v>103818.38466846233</v>
      </c>
      <c r="AT55" s="100">
        <f t="shared" si="37"/>
        <v>52489.3215604898</v>
      </c>
      <c r="AU55" s="1">
        <f t="shared" si="17"/>
        <v>156307.70622895213</v>
      </c>
      <c r="AV55" s="100">
        <f t="shared" si="18"/>
        <v>1805282.2532789661</v>
      </c>
    </row>
    <row r="56" spans="4:81">
      <c r="D56" s="39">
        <f t="shared" si="19"/>
        <v>48</v>
      </c>
      <c r="E56" s="40">
        <f t="shared" si="39"/>
        <v>2030</v>
      </c>
      <c r="F56" s="35">
        <f t="shared" si="45"/>
        <v>47664</v>
      </c>
      <c r="G56" s="36">
        <f t="shared" si="2"/>
        <v>6</v>
      </c>
      <c r="H56" s="41">
        <f t="shared" si="46"/>
        <v>30</v>
      </c>
      <c r="I56" s="37" t="s">
        <v>123</v>
      </c>
      <c r="J56" s="27">
        <f t="shared" si="20"/>
        <v>17752.063999397389</v>
      </c>
      <c r="K56" s="27">
        <f t="shared" si="8"/>
        <v>87.982147328520213</v>
      </c>
      <c r="L56" s="27">
        <f t="shared" si="21"/>
        <v>1550.0178526714799</v>
      </c>
      <c r="M56" s="27">
        <f t="shared" si="9"/>
        <v>0</v>
      </c>
      <c r="N56" s="27">
        <f t="shared" si="10"/>
        <v>16202.046146725908</v>
      </c>
      <c r="P56" s="72" t="s">
        <v>123</v>
      </c>
      <c r="Q56" s="44">
        <f t="shared" si="42"/>
        <v>488959.58779044996</v>
      </c>
      <c r="R56" s="44">
        <f t="shared" si="3"/>
        <v>2487.6656288407275</v>
      </c>
      <c r="S56" s="44">
        <f t="shared" si="43"/>
        <v>1293.3343711592725</v>
      </c>
      <c r="T56" s="44">
        <f t="shared" si="44"/>
        <v>0</v>
      </c>
      <c r="U56" s="43">
        <f t="shared" si="11"/>
        <v>487666.2534192907</v>
      </c>
      <c r="W56" s="72" t="s">
        <v>123</v>
      </c>
      <c r="X56" s="44">
        <f t="shared" si="25"/>
        <v>429415.48388786847</v>
      </c>
      <c r="Y56" s="44">
        <f t="shared" si="4"/>
        <v>2184.7248043281415</v>
      </c>
      <c r="Z56" s="44">
        <f t="shared" si="26"/>
        <v>699.27519567185846</v>
      </c>
      <c r="AA56" s="44">
        <f t="shared" si="27"/>
        <v>0</v>
      </c>
      <c r="AB56" s="43">
        <f t="shared" si="12"/>
        <v>428716.20869219658</v>
      </c>
      <c r="AD56" s="72" t="s">
        <v>123</v>
      </c>
      <c r="AE56" s="44">
        <f t="shared" si="28"/>
        <v>869155.11760125018</v>
      </c>
      <c r="AF56" s="44">
        <f t="shared" si="5"/>
        <v>4521.9878584240378</v>
      </c>
      <c r="AG56" s="44">
        <f t="shared" si="29"/>
        <v>1520.0121415759622</v>
      </c>
      <c r="AH56" s="44">
        <f t="shared" si="30"/>
        <v>0</v>
      </c>
      <c r="AI56" s="43">
        <f t="shared" si="13"/>
        <v>867635.10545967426</v>
      </c>
      <c r="AK56" s="101">
        <f t="shared" si="38"/>
        <v>2030</v>
      </c>
      <c r="AL56" s="101">
        <f t="shared" si="6"/>
        <v>6</v>
      </c>
      <c r="AM56" s="118">
        <f t="shared" si="32"/>
        <v>30688.901483701888</v>
      </c>
      <c r="AN56" s="100">
        <f t="shared" si="33"/>
        <v>26805.720309746182</v>
      </c>
      <c r="AO56" s="100">
        <f t="shared" si="34"/>
        <v>55518.141166607165</v>
      </c>
      <c r="AP56" s="100">
        <f t="shared" si="35"/>
        <v>57494.621793448066</v>
      </c>
      <c r="AQ56" s="1">
        <f t="shared" si="36"/>
        <v>99636</v>
      </c>
      <c r="AR56" s="100">
        <f t="shared" si="15"/>
        <v>932584.50825821317</v>
      </c>
      <c r="AS56" s="100">
        <f t="shared" si="16"/>
        <v>113012.76296005523</v>
      </c>
      <c r="AT56" s="100">
        <f t="shared" si="37"/>
        <v>57551.961121568376</v>
      </c>
      <c r="AU56" s="1">
        <f t="shared" si="17"/>
        <v>170564.7240816236</v>
      </c>
      <c r="AV56" s="100">
        <f t="shared" si="18"/>
        <v>1800219.6137178876</v>
      </c>
    </row>
    <row r="57" spans="4:81">
      <c r="D57" s="39">
        <f t="shared" si="19"/>
        <v>49</v>
      </c>
      <c r="E57" s="40">
        <f t="shared" si="39"/>
        <v>2031</v>
      </c>
      <c r="F57" s="35">
        <f t="shared" si="45"/>
        <v>47694</v>
      </c>
      <c r="G57" s="36">
        <f t="shared" si="2"/>
        <v>7</v>
      </c>
      <c r="H57" s="41">
        <f t="shared" si="46"/>
        <v>31</v>
      </c>
      <c r="I57" s="37" t="s">
        <v>123</v>
      </c>
      <c r="J57" s="27">
        <f t="shared" si="20"/>
        <v>16202.046146725908</v>
      </c>
      <c r="K57" s="27">
        <f t="shared" si="8"/>
        <v>82.976670854999284</v>
      </c>
      <c r="L57" s="27">
        <f t="shared" si="21"/>
        <v>1555.0233291450006</v>
      </c>
      <c r="M57" s="27">
        <f t="shared" si="9"/>
        <v>0</v>
      </c>
      <c r="N57" s="27">
        <f t="shared" si="10"/>
        <v>14647.022817580908</v>
      </c>
      <c r="P57" s="72" t="s">
        <v>123</v>
      </c>
      <c r="Q57" s="44">
        <f t="shared" si="42"/>
        <v>487666.2534192907</v>
      </c>
      <c r="R57" s="44">
        <f t="shared" si="3"/>
        <v>2563.7884210582929</v>
      </c>
      <c r="S57" s="44">
        <f t="shared" si="43"/>
        <v>1217.2115789417071</v>
      </c>
      <c r="T57" s="44">
        <f t="shared" si="44"/>
        <v>0</v>
      </c>
      <c r="U57" s="43">
        <f t="shared" si="11"/>
        <v>486449.04184034897</v>
      </c>
      <c r="W57" s="72" t="s">
        <v>123</v>
      </c>
      <c r="X57" s="44">
        <f t="shared" si="25"/>
        <v>428716.20869219658</v>
      </c>
      <c r="Y57" s="44">
        <f t="shared" si="4"/>
        <v>2253.872692765633</v>
      </c>
      <c r="Z57" s="44">
        <f t="shared" si="26"/>
        <v>630.12730723436698</v>
      </c>
      <c r="AA57" s="44">
        <f t="shared" si="27"/>
        <v>0</v>
      </c>
      <c r="AB57" s="43">
        <f t="shared" si="12"/>
        <v>428086.08138496219</v>
      </c>
      <c r="AD57" s="72" t="s">
        <v>123</v>
      </c>
      <c r="AE57" s="44">
        <f t="shared" si="28"/>
        <v>867635.10545967426</v>
      </c>
      <c r="AF57" s="44">
        <f t="shared" si="5"/>
        <v>4664.5489519000503</v>
      </c>
      <c r="AG57" s="44">
        <f t="shared" si="29"/>
        <v>1377.4510480999497</v>
      </c>
      <c r="AH57" s="44">
        <f t="shared" si="30"/>
        <v>0</v>
      </c>
      <c r="AI57" s="43">
        <f t="shared" si="13"/>
        <v>866257.65441157436</v>
      </c>
      <c r="AK57" s="101">
        <f t="shared" si="38"/>
        <v>2031</v>
      </c>
      <c r="AL57" s="101">
        <f t="shared" si="6"/>
        <v>7</v>
      </c>
      <c r="AM57" s="118">
        <f t="shared" si="32"/>
        <v>2563.7884210582929</v>
      </c>
      <c r="AN57" s="100">
        <f t="shared" si="33"/>
        <v>2253.872692765633</v>
      </c>
      <c r="AO57" s="100">
        <f t="shared" si="34"/>
        <v>4664.5489519000503</v>
      </c>
      <c r="AP57" s="100">
        <f t="shared" si="35"/>
        <v>4817.6611138239259</v>
      </c>
      <c r="AQ57" s="1">
        <f t="shared" si="36"/>
        <v>8303</v>
      </c>
      <c r="AR57" s="100">
        <f t="shared" si="15"/>
        <v>929182.14604289201</v>
      </c>
      <c r="AS57" s="100">
        <f t="shared" si="16"/>
        <v>9482.2100657239753</v>
      </c>
      <c r="AT57" s="100">
        <f t="shared" si="37"/>
        <v>4779.8132634210251</v>
      </c>
      <c r="AU57" s="1">
        <f t="shared" si="17"/>
        <v>14262.023329145</v>
      </c>
      <c r="AV57" s="100">
        <f t="shared" si="18"/>
        <v>1795439.8004544664</v>
      </c>
    </row>
    <row r="58" spans="4:81">
      <c r="D58" s="39">
        <f t="shared" si="19"/>
        <v>50</v>
      </c>
      <c r="E58" s="40">
        <f t="shared" si="39"/>
        <v>2031</v>
      </c>
      <c r="F58" s="35">
        <f t="shared" si="45"/>
        <v>47725</v>
      </c>
      <c r="G58" s="36">
        <f t="shared" si="2"/>
        <v>8</v>
      </c>
      <c r="H58" s="41">
        <f t="shared" si="46"/>
        <v>31</v>
      </c>
      <c r="I58" s="37" t="s">
        <v>123</v>
      </c>
      <c r="J58" s="27">
        <f t="shared" si="20"/>
        <v>14647.022817580908</v>
      </c>
      <c r="K58" s="27">
        <f t="shared" si="8"/>
        <v>75.012821240832849</v>
      </c>
      <c r="L58" s="27">
        <f t="shared" si="21"/>
        <v>1562.9871787591671</v>
      </c>
      <c r="M58" s="27">
        <f t="shared" si="9"/>
        <v>0</v>
      </c>
      <c r="N58" s="27">
        <f t="shared" si="10"/>
        <v>13084.035638821741</v>
      </c>
      <c r="P58" s="72" t="s">
        <v>123</v>
      </c>
      <c r="Q58" s="44">
        <f t="shared" si="42"/>
        <v>486449.04184034897</v>
      </c>
      <c r="R58" s="44">
        <f t="shared" si="3"/>
        <v>2557.3892229793032</v>
      </c>
      <c r="S58" s="44">
        <f t="shared" si="43"/>
        <v>1223.6107770206968</v>
      </c>
      <c r="T58" s="44">
        <f t="shared" si="44"/>
        <v>0</v>
      </c>
      <c r="U58" s="43">
        <f t="shared" si="11"/>
        <v>485225.43106332829</v>
      </c>
      <c r="W58" s="72" t="s">
        <v>123</v>
      </c>
      <c r="X58" s="44">
        <f t="shared" si="25"/>
        <v>428086.08138496219</v>
      </c>
      <c r="Y58" s="44">
        <f t="shared" si="4"/>
        <v>2250.5599495057641</v>
      </c>
      <c r="Z58" s="44">
        <f t="shared" si="26"/>
        <v>633.44005049423595</v>
      </c>
      <c r="AA58" s="44">
        <f t="shared" si="27"/>
        <v>0</v>
      </c>
      <c r="AB58" s="43">
        <f t="shared" si="12"/>
        <v>427452.64133446797</v>
      </c>
      <c r="AD58" s="72" t="s">
        <v>123</v>
      </c>
      <c r="AE58" s="44">
        <f t="shared" si="28"/>
        <v>866257.65441157436</v>
      </c>
      <c r="AF58" s="44">
        <f t="shared" si="5"/>
        <v>4657.1435486351565</v>
      </c>
      <c r="AG58" s="44">
        <f t="shared" si="29"/>
        <v>1384.8564513648435</v>
      </c>
      <c r="AH58" s="44">
        <f t="shared" si="30"/>
        <v>0</v>
      </c>
      <c r="AI58" s="43">
        <f t="shared" si="13"/>
        <v>864872.79796020954</v>
      </c>
      <c r="AK58" s="101">
        <f t="shared" si="38"/>
        <v>2031</v>
      </c>
      <c r="AL58" s="101">
        <f t="shared" si="6"/>
        <v>8</v>
      </c>
      <c r="AM58" s="118">
        <f t="shared" si="32"/>
        <v>5121.1776440375961</v>
      </c>
      <c r="AN58" s="100">
        <f t="shared" si="33"/>
        <v>4504.4326422713966</v>
      </c>
      <c r="AO58" s="100">
        <f t="shared" si="34"/>
        <v>9321.6925005352059</v>
      </c>
      <c r="AP58" s="100">
        <f t="shared" si="35"/>
        <v>9625.6102863089927</v>
      </c>
      <c r="AQ58" s="1">
        <f t="shared" si="36"/>
        <v>16606</v>
      </c>
      <c r="AR58" s="100">
        <f t="shared" si="15"/>
        <v>925762.10803661798</v>
      </c>
      <c r="AS58" s="100">
        <f t="shared" si="16"/>
        <v>18947.3027868442</v>
      </c>
      <c r="AT58" s="100">
        <f t="shared" si="37"/>
        <v>9584.7077210599691</v>
      </c>
      <c r="AU58" s="1">
        <f t="shared" si="17"/>
        <v>28532.010507904168</v>
      </c>
      <c r="AV58" s="100">
        <f t="shared" si="18"/>
        <v>1790634.9059968274</v>
      </c>
    </row>
    <row r="59" spans="4:81">
      <c r="D59" s="39">
        <f t="shared" si="19"/>
        <v>51</v>
      </c>
      <c r="E59" s="40">
        <f t="shared" si="39"/>
        <v>2031</v>
      </c>
      <c r="F59" s="35">
        <f t="shared" si="45"/>
        <v>47756</v>
      </c>
      <c r="G59" s="36">
        <f t="shared" si="2"/>
        <v>9</v>
      </c>
      <c r="H59" s="41">
        <f t="shared" si="46"/>
        <v>30</v>
      </c>
      <c r="I59" s="37" t="s">
        <v>123</v>
      </c>
      <c r="J59" s="27">
        <f t="shared" si="20"/>
        <v>13084.035638821741</v>
      </c>
      <c r="K59" s="27">
        <f t="shared" si="8"/>
        <v>64.846631426379531</v>
      </c>
      <c r="L59" s="27">
        <f t="shared" si="21"/>
        <v>1573.1533685736204</v>
      </c>
      <c r="M59" s="27">
        <f t="shared" si="9"/>
        <v>0</v>
      </c>
      <c r="N59" s="27">
        <f t="shared" si="10"/>
        <v>11510.882270248119</v>
      </c>
      <c r="P59" s="72" t="s">
        <v>123</v>
      </c>
      <c r="Q59" s="44">
        <f t="shared" si="42"/>
        <v>485225.43106332829</v>
      </c>
      <c r="R59" s="44">
        <f t="shared" si="3"/>
        <v>2468.6674670810976</v>
      </c>
      <c r="S59" s="44">
        <f t="shared" si="43"/>
        <v>1312.3325329189024</v>
      </c>
      <c r="T59" s="44">
        <f t="shared" si="44"/>
        <v>0</v>
      </c>
      <c r="U59" s="43">
        <f t="shared" si="11"/>
        <v>483913.09853040939</v>
      </c>
      <c r="W59" s="72" t="s">
        <v>123</v>
      </c>
      <c r="X59" s="44">
        <f t="shared" si="25"/>
        <v>427452.64133446797</v>
      </c>
      <c r="Y59" s="44">
        <f t="shared" si="4"/>
        <v>2174.7385067345399</v>
      </c>
      <c r="Z59" s="44">
        <f t="shared" si="26"/>
        <v>709.2614932654601</v>
      </c>
      <c r="AA59" s="44">
        <f t="shared" si="27"/>
        <v>0</v>
      </c>
      <c r="AB59" s="43">
        <f t="shared" si="12"/>
        <v>426743.37984120252</v>
      </c>
      <c r="AD59" s="72" t="s">
        <v>123</v>
      </c>
      <c r="AE59" s="44">
        <f t="shared" si="28"/>
        <v>864872.79796020954</v>
      </c>
      <c r="AF59" s="44">
        <f t="shared" si="5"/>
        <v>4499.7080639080486</v>
      </c>
      <c r="AG59" s="44">
        <f t="shared" si="29"/>
        <v>1542.2919360919514</v>
      </c>
      <c r="AH59" s="44">
        <f t="shared" si="30"/>
        <v>0</v>
      </c>
      <c r="AI59" s="43">
        <f t="shared" si="13"/>
        <v>863330.50602411758</v>
      </c>
      <c r="AK59" s="101">
        <f t="shared" si="38"/>
        <v>2031</v>
      </c>
      <c r="AL59" s="101">
        <f t="shared" si="6"/>
        <v>9</v>
      </c>
      <c r="AM59" s="118">
        <f t="shared" si="32"/>
        <v>7589.8451111186932</v>
      </c>
      <c r="AN59" s="100">
        <f t="shared" si="33"/>
        <v>6679.171149005937</v>
      </c>
      <c r="AO59" s="100">
        <f t="shared" si="34"/>
        <v>13821.400564443255</v>
      </c>
      <c r="AP59" s="100">
        <f t="shared" si="35"/>
        <v>14269.01626012463</v>
      </c>
      <c r="AQ59" s="1">
        <f t="shared" si="36"/>
        <v>24909</v>
      </c>
      <c r="AR59" s="100">
        <f t="shared" si="15"/>
        <v>922167.36064186005</v>
      </c>
      <c r="AS59" s="100">
        <f t="shared" si="16"/>
        <v>28090.416824567885</v>
      </c>
      <c r="AT59" s="100">
        <f t="shared" si="37"/>
        <v>14721.747051909902</v>
      </c>
      <c r="AU59" s="1">
        <f t="shared" si="17"/>
        <v>42812.163876477789</v>
      </c>
      <c r="AV59" s="100">
        <f t="shared" si="18"/>
        <v>1785497.8666659775</v>
      </c>
    </row>
    <row r="60" spans="4:81">
      <c r="D60" s="39">
        <f t="shared" si="19"/>
        <v>52</v>
      </c>
      <c r="E60" s="40">
        <f t="shared" si="39"/>
        <v>2031</v>
      </c>
      <c r="F60" s="35">
        <f t="shared" si="45"/>
        <v>47786</v>
      </c>
      <c r="G60" s="36">
        <f t="shared" si="2"/>
        <v>10</v>
      </c>
      <c r="H60" s="41">
        <f t="shared" si="46"/>
        <v>31</v>
      </c>
      <c r="I60" s="37" t="s">
        <v>123</v>
      </c>
      <c r="J60" s="27">
        <f t="shared" si="20"/>
        <v>11510.882270248119</v>
      </c>
      <c r="K60" s="27">
        <f t="shared" si="8"/>
        <v>58.951485555547421</v>
      </c>
      <c r="L60" s="27">
        <f t="shared" si="21"/>
        <v>1579.0485144444526</v>
      </c>
      <c r="M60" s="27">
        <f t="shared" si="9"/>
        <v>0</v>
      </c>
      <c r="N60" s="27">
        <f t="shared" si="10"/>
        <v>9931.8337558036674</v>
      </c>
      <c r="P60" s="72" t="s">
        <v>123</v>
      </c>
      <c r="Q60" s="44">
        <f t="shared" si="42"/>
        <v>483913.09853040939</v>
      </c>
      <c r="R60" s="44">
        <f t="shared" si="3"/>
        <v>2544.0571089589112</v>
      </c>
      <c r="S60" s="44">
        <f t="shared" si="43"/>
        <v>1236.9428910410888</v>
      </c>
      <c r="T60" s="44">
        <f t="shared" si="44"/>
        <v>0</v>
      </c>
      <c r="U60" s="43">
        <f t="shared" si="11"/>
        <v>482676.15563936828</v>
      </c>
      <c r="W60" s="72" t="s">
        <v>123</v>
      </c>
      <c r="X60" s="44">
        <f t="shared" si="25"/>
        <v>426743.37984120252</v>
      </c>
      <c r="Y60" s="44">
        <f t="shared" si="4"/>
        <v>2243.5010180199547</v>
      </c>
      <c r="Z60" s="44">
        <f t="shared" si="26"/>
        <v>640.4989819800453</v>
      </c>
      <c r="AA60" s="44">
        <f t="shared" si="27"/>
        <v>0</v>
      </c>
      <c r="AB60" s="43">
        <f t="shared" si="12"/>
        <v>426102.8808592225</v>
      </c>
      <c r="AD60" s="72" t="s">
        <v>123</v>
      </c>
      <c r="AE60" s="44">
        <f t="shared" si="28"/>
        <v>863330.50602411758</v>
      </c>
      <c r="AF60" s="44">
        <f t="shared" si="5"/>
        <v>4641.4067177291117</v>
      </c>
      <c r="AG60" s="44">
        <f t="shared" si="29"/>
        <v>1400.5932822708883</v>
      </c>
      <c r="AH60" s="44">
        <f t="shared" si="30"/>
        <v>0</v>
      </c>
      <c r="AI60" s="43">
        <f t="shared" si="13"/>
        <v>861929.91274184664</v>
      </c>
      <c r="AK60" s="101">
        <f t="shared" si="38"/>
        <v>2031</v>
      </c>
      <c r="AL60" s="101">
        <f t="shared" si="6"/>
        <v>10</v>
      </c>
      <c r="AM60" s="118">
        <f t="shared" si="32"/>
        <v>10133.902220077605</v>
      </c>
      <c r="AN60" s="100">
        <f t="shared" si="33"/>
        <v>8922.6721670258921</v>
      </c>
      <c r="AO60" s="100">
        <f t="shared" si="34"/>
        <v>18462.807282172365</v>
      </c>
      <c r="AP60" s="100">
        <f t="shared" si="35"/>
        <v>19056.574387103497</v>
      </c>
      <c r="AQ60" s="1">
        <f t="shared" si="36"/>
        <v>33212</v>
      </c>
      <c r="AR60" s="100">
        <f t="shared" si="15"/>
        <v>918710.87025439437</v>
      </c>
      <c r="AS60" s="100">
        <f t="shared" si="16"/>
        <v>37519.381669275863</v>
      </c>
      <c r="AT60" s="100">
        <f t="shared" si="37"/>
        <v>19578.83072164638</v>
      </c>
      <c r="AU60" s="1">
        <f t="shared" si="17"/>
        <v>57098.212390922243</v>
      </c>
      <c r="AV60" s="100">
        <f t="shared" si="18"/>
        <v>1780640.782996241</v>
      </c>
    </row>
    <row r="61" spans="4:81">
      <c r="D61" s="39">
        <f t="shared" si="19"/>
        <v>53</v>
      </c>
      <c r="E61" s="40">
        <f t="shared" si="39"/>
        <v>2031</v>
      </c>
      <c r="F61" s="35">
        <f t="shared" si="45"/>
        <v>47817</v>
      </c>
      <c r="G61" s="36">
        <f t="shared" si="2"/>
        <v>11</v>
      </c>
      <c r="H61" s="41">
        <f t="shared" si="46"/>
        <v>30</v>
      </c>
      <c r="I61" s="37" t="s">
        <v>123</v>
      </c>
      <c r="J61" s="27">
        <f t="shared" si="20"/>
        <v>9931.8337558036674</v>
      </c>
      <c r="K61" s="27">
        <f t="shared" si="8"/>
        <v>49.223800723969411</v>
      </c>
      <c r="L61" s="27">
        <f t="shared" si="21"/>
        <v>1588.7761992760306</v>
      </c>
      <c r="M61" s="27">
        <f t="shared" si="9"/>
        <v>0</v>
      </c>
      <c r="N61" s="27">
        <f t="shared" si="10"/>
        <v>8343.0575565276376</v>
      </c>
      <c r="P61" s="72" t="s">
        <v>123</v>
      </c>
      <c r="Q61" s="44">
        <f t="shared" si="42"/>
        <v>482676.15563936828</v>
      </c>
      <c r="R61" s="44">
        <f t="shared" si="3"/>
        <v>2455.6975918419366</v>
      </c>
      <c r="S61" s="44">
        <f t="shared" si="43"/>
        <v>1325.3024081580634</v>
      </c>
      <c r="T61" s="44">
        <f t="shared" si="44"/>
        <v>0</v>
      </c>
      <c r="U61" s="43">
        <f t="shared" si="11"/>
        <v>481350.8532312102</v>
      </c>
      <c r="W61" s="72" t="s">
        <v>123</v>
      </c>
      <c r="X61" s="44">
        <f t="shared" si="25"/>
        <v>426102.8808592225</v>
      </c>
      <c r="Y61" s="44">
        <f t="shared" si="4"/>
        <v>2167.8713691933594</v>
      </c>
      <c r="Z61" s="44">
        <f t="shared" si="26"/>
        <v>716.12863080664056</v>
      </c>
      <c r="AA61" s="44">
        <f t="shared" si="27"/>
        <v>0</v>
      </c>
      <c r="AB61" s="43">
        <f t="shared" si="12"/>
        <v>425386.75222841586</v>
      </c>
      <c r="AD61" s="72" t="s">
        <v>123</v>
      </c>
      <c r="AE61" s="44">
        <f t="shared" si="28"/>
        <v>861929.91274184664</v>
      </c>
      <c r="AF61" s="44">
        <f t="shared" si="5"/>
        <v>4484.3969980733336</v>
      </c>
      <c r="AG61" s="44">
        <f t="shared" si="29"/>
        <v>1557.6030019266664</v>
      </c>
      <c r="AH61" s="44">
        <f t="shared" si="30"/>
        <v>0</v>
      </c>
      <c r="AI61" s="43">
        <f t="shared" si="13"/>
        <v>860372.30973991996</v>
      </c>
      <c r="AK61" s="101">
        <f t="shared" si="38"/>
        <v>2031</v>
      </c>
      <c r="AL61" s="101">
        <f t="shared" si="6"/>
        <v>11</v>
      </c>
      <c r="AM61" s="118">
        <f t="shared" si="32"/>
        <v>12589.599811919543</v>
      </c>
      <c r="AN61" s="100">
        <f t="shared" si="33"/>
        <v>11090.543536219251</v>
      </c>
      <c r="AO61" s="100">
        <f t="shared" si="34"/>
        <v>22947.2042802457</v>
      </c>
      <c r="AP61" s="100">
        <f t="shared" si="35"/>
        <v>23680.143348138794</v>
      </c>
      <c r="AQ61" s="1">
        <f t="shared" si="36"/>
        <v>41515</v>
      </c>
      <c r="AR61" s="100">
        <f t="shared" si="15"/>
        <v>915080.66301615373</v>
      </c>
      <c r="AS61" s="100">
        <f t="shared" si="16"/>
        <v>46627.347628384494</v>
      </c>
      <c r="AT61" s="100">
        <f t="shared" si="37"/>
        <v>24766.64096181378</v>
      </c>
      <c r="AU61" s="1">
        <f t="shared" si="17"/>
        <v>71393.988590198278</v>
      </c>
      <c r="AV61" s="100">
        <f t="shared" si="18"/>
        <v>1775452.9727560738</v>
      </c>
    </row>
    <row r="62" spans="4:81">
      <c r="D62" s="39">
        <f t="shared" si="19"/>
        <v>54</v>
      </c>
      <c r="E62" s="40">
        <f t="shared" si="39"/>
        <v>2031</v>
      </c>
      <c r="F62" s="35">
        <f t="shared" si="45"/>
        <v>47847</v>
      </c>
      <c r="G62" s="36">
        <f t="shared" si="2"/>
        <v>12</v>
      </c>
      <c r="H62" s="41">
        <f t="shared" si="46"/>
        <v>31</v>
      </c>
      <c r="I62" s="37" t="s">
        <v>123</v>
      </c>
      <c r="J62" s="27">
        <f t="shared" si="20"/>
        <v>8343.0575565276376</v>
      </c>
      <c r="K62" s="27">
        <f t="shared" si="8"/>
        <v>42.727883535389346</v>
      </c>
      <c r="L62" s="27">
        <f t="shared" si="21"/>
        <v>1595.2721164646107</v>
      </c>
      <c r="M62" s="27">
        <f t="shared" si="9"/>
        <v>0</v>
      </c>
      <c r="N62" s="27">
        <f t="shared" si="10"/>
        <v>6747.7854400630276</v>
      </c>
      <c r="P62" s="72" t="s">
        <v>123</v>
      </c>
      <c r="Q62" s="44">
        <f t="shared" si="42"/>
        <v>481350.8532312102</v>
      </c>
      <c r="R62" s="44">
        <f t="shared" si="3"/>
        <v>2530.5867185352581</v>
      </c>
      <c r="S62" s="44">
        <f t="shared" si="43"/>
        <v>1250.4132814647419</v>
      </c>
      <c r="T62" s="44">
        <f t="shared" si="44"/>
        <v>0</v>
      </c>
      <c r="U62" s="43">
        <f t="shared" si="11"/>
        <v>480100.43994974549</v>
      </c>
      <c r="W62" s="72" t="s">
        <v>123</v>
      </c>
      <c r="X62" s="44">
        <f t="shared" si="25"/>
        <v>425386.75222841586</v>
      </c>
      <c r="Y62" s="44">
        <f t="shared" si="4"/>
        <v>2236.3688735646774</v>
      </c>
      <c r="Z62" s="44">
        <f t="shared" si="26"/>
        <v>647.63112643532259</v>
      </c>
      <c r="AA62" s="44">
        <f t="shared" si="27"/>
        <v>0</v>
      </c>
      <c r="AB62" s="43">
        <f t="shared" si="12"/>
        <v>424739.12110198056</v>
      </c>
      <c r="AD62" s="72" t="s">
        <v>123</v>
      </c>
      <c r="AE62" s="44">
        <f t="shared" si="28"/>
        <v>860372.30973991996</v>
      </c>
      <c r="AF62" s="44">
        <f t="shared" si="5"/>
        <v>4625.5029682264239</v>
      </c>
      <c r="AG62" s="44">
        <f t="shared" si="29"/>
        <v>1416.4970317735761</v>
      </c>
      <c r="AH62" s="44">
        <f t="shared" si="30"/>
        <v>0</v>
      </c>
      <c r="AI62" s="43">
        <f t="shared" si="13"/>
        <v>858955.8127081464</v>
      </c>
      <c r="AK62" s="101">
        <f t="shared" si="38"/>
        <v>2031</v>
      </c>
      <c r="AL62" s="101">
        <f t="shared" si="6"/>
        <v>12</v>
      </c>
      <c r="AM62" s="118">
        <f t="shared" si="32"/>
        <v>15120.186530454801</v>
      </c>
      <c r="AN62" s="100">
        <f t="shared" si="33"/>
        <v>13326.912409783929</v>
      </c>
      <c r="AO62" s="100">
        <f t="shared" si="34"/>
        <v>27572.707248472125</v>
      </c>
      <c r="AP62" s="100">
        <f t="shared" si="35"/>
        <v>28447.098940238728</v>
      </c>
      <c r="AQ62" s="1">
        <f t="shared" si="36"/>
        <v>49818</v>
      </c>
      <c r="AR62" s="100">
        <f t="shared" si="15"/>
        <v>911587.3464917891</v>
      </c>
      <c r="AS62" s="100">
        <f t="shared" si="16"/>
        <v>56019.806188710849</v>
      </c>
      <c r="AT62" s="100">
        <f t="shared" si="37"/>
        <v>29676.454517952032</v>
      </c>
      <c r="AU62" s="1">
        <f t="shared" si="17"/>
        <v>85696.260706662884</v>
      </c>
      <c r="AV62" s="100">
        <f t="shared" si="18"/>
        <v>1770543.1591999354</v>
      </c>
    </row>
    <row r="63" spans="4:81">
      <c r="D63" s="39">
        <f t="shared" si="19"/>
        <v>55</v>
      </c>
      <c r="E63" s="40">
        <f t="shared" si="39"/>
        <v>2031</v>
      </c>
      <c r="F63" s="35">
        <f t="shared" si="45"/>
        <v>47878</v>
      </c>
      <c r="G63" s="36">
        <f t="shared" si="2"/>
        <v>1</v>
      </c>
      <c r="H63" s="41">
        <f t="shared" si="46"/>
        <v>31</v>
      </c>
      <c r="I63" s="37" t="s">
        <v>123</v>
      </c>
      <c r="J63" s="27">
        <f t="shared" si="20"/>
        <v>6747.7854400630276</v>
      </c>
      <c r="K63" s="27">
        <f t="shared" si="8"/>
        <v>34.557904994821413</v>
      </c>
      <c r="L63" s="27">
        <f t="shared" si="21"/>
        <v>1603.4420950051785</v>
      </c>
      <c r="M63" s="27">
        <f t="shared" si="9"/>
        <v>0</v>
      </c>
      <c r="N63" s="27">
        <f t="shared" si="10"/>
        <v>5144.3433450578486</v>
      </c>
      <c r="P63" s="72" t="s">
        <v>123</v>
      </c>
      <c r="Q63" s="44">
        <f t="shared" si="42"/>
        <v>480100.43994974549</v>
      </c>
      <c r="R63" s="44">
        <f t="shared" si="3"/>
        <v>2524.012970464566</v>
      </c>
      <c r="S63" s="44">
        <f t="shared" si="43"/>
        <v>1256.987029535434</v>
      </c>
      <c r="T63" s="44">
        <f t="shared" si="44"/>
        <v>0</v>
      </c>
      <c r="U63" s="43">
        <f t="shared" si="11"/>
        <v>478843.45292021008</v>
      </c>
      <c r="W63" s="72" t="s">
        <v>123</v>
      </c>
      <c r="X63" s="44">
        <f t="shared" si="25"/>
        <v>424739.12110198056</v>
      </c>
      <c r="Y63" s="44">
        <f t="shared" si="4"/>
        <v>2232.9641081714808</v>
      </c>
      <c r="Z63" s="44">
        <f t="shared" si="26"/>
        <v>651.0358918285192</v>
      </c>
      <c r="AA63" s="44">
        <f t="shared" si="27"/>
        <v>0</v>
      </c>
      <c r="AB63" s="43">
        <f t="shared" si="12"/>
        <v>424088.08521015203</v>
      </c>
      <c r="AD63" s="72" t="s">
        <v>123</v>
      </c>
      <c r="AE63" s="44">
        <f t="shared" si="28"/>
        <v>858955.8127081464</v>
      </c>
      <c r="AF63" s="44">
        <f t="shared" si="5"/>
        <v>4617.8876473347827</v>
      </c>
      <c r="AG63" s="44">
        <f t="shared" si="29"/>
        <v>1424.1123526652173</v>
      </c>
      <c r="AH63" s="44">
        <f t="shared" si="30"/>
        <v>0</v>
      </c>
      <c r="AI63" s="43">
        <f t="shared" si="13"/>
        <v>857531.70035548124</v>
      </c>
      <c r="AK63" s="101">
        <f t="shared" si="38"/>
        <v>2031</v>
      </c>
      <c r="AL63" s="101">
        <f t="shared" si="6"/>
        <v>1</v>
      </c>
      <c r="AM63" s="118">
        <f t="shared" si="32"/>
        <v>17644.199500919367</v>
      </c>
      <c r="AN63" s="100">
        <f t="shared" si="33"/>
        <v>15559.87651795541</v>
      </c>
      <c r="AO63" s="100">
        <f t="shared" si="34"/>
        <v>32190.594895806906</v>
      </c>
      <c r="AP63" s="100">
        <f t="shared" si="35"/>
        <v>33204.076018874781</v>
      </c>
      <c r="AQ63" s="1">
        <f t="shared" si="36"/>
        <v>58121</v>
      </c>
      <c r="AR63" s="100">
        <f t="shared" si="15"/>
        <v>908075.88147541997</v>
      </c>
      <c r="AS63" s="100">
        <f t="shared" si="16"/>
        <v>65394.670914681687</v>
      </c>
      <c r="AT63" s="100">
        <f t="shared" si="37"/>
        <v>34612.031886986377</v>
      </c>
      <c r="AU63" s="1">
        <f t="shared" si="17"/>
        <v>100006.70280166806</v>
      </c>
      <c r="AV63" s="100">
        <f t="shared" si="18"/>
        <v>1765607.5818309011</v>
      </c>
    </row>
    <row r="64" spans="4:81">
      <c r="D64" s="39">
        <f t="shared" si="19"/>
        <v>56</v>
      </c>
      <c r="E64" s="40">
        <f t="shared" si="39"/>
        <v>2031</v>
      </c>
      <c r="F64" s="35">
        <f t="shared" si="45"/>
        <v>47907</v>
      </c>
      <c r="G64" s="36">
        <f t="shared" si="2"/>
        <v>2</v>
      </c>
      <c r="H64" s="41">
        <f t="shared" si="46"/>
        <v>28</v>
      </c>
      <c r="I64" s="37" t="s">
        <v>123</v>
      </c>
      <c r="J64" s="27">
        <f t="shared" si="20"/>
        <v>5144.3433450578486</v>
      </c>
      <c r="K64" s="27">
        <f t="shared" si="8"/>
        <v>23.796463846015538</v>
      </c>
      <c r="L64" s="27">
        <f t="shared" si="21"/>
        <v>1614.2035361539845</v>
      </c>
      <c r="M64" s="27">
        <f t="shared" si="9"/>
        <v>0</v>
      </c>
      <c r="N64" s="27">
        <f t="shared" si="10"/>
        <v>3530.1398089038639</v>
      </c>
      <c r="P64" s="72" t="s">
        <v>123</v>
      </c>
      <c r="Q64" s="44">
        <f t="shared" si="42"/>
        <v>478843.45292021008</v>
      </c>
      <c r="R64" s="44">
        <f t="shared" si="3"/>
        <v>2273.7848564419396</v>
      </c>
      <c r="S64" s="44">
        <f t="shared" si="43"/>
        <v>1507.2151435580604</v>
      </c>
      <c r="T64" s="44">
        <f t="shared" si="44"/>
        <v>0</v>
      </c>
      <c r="U64" s="43">
        <f t="shared" si="11"/>
        <v>477336.23777665204</v>
      </c>
      <c r="W64" s="72" t="s">
        <v>123</v>
      </c>
      <c r="X64" s="44">
        <f t="shared" si="25"/>
        <v>424088.08521015203</v>
      </c>
      <c r="Y64" s="44">
        <f t="shared" si="4"/>
        <v>2013.7793679074944</v>
      </c>
      <c r="Z64" s="44">
        <f t="shared" si="26"/>
        <v>870.22063209250564</v>
      </c>
      <c r="AA64" s="44">
        <f t="shared" si="27"/>
        <v>0</v>
      </c>
      <c r="AB64" s="43">
        <f t="shared" si="12"/>
        <v>423217.86457805953</v>
      </c>
      <c r="AD64" s="72" t="s">
        <v>123</v>
      </c>
      <c r="AE64" s="44">
        <f t="shared" si="28"/>
        <v>857531.70035548124</v>
      </c>
      <c r="AF64" s="44">
        <f t="shared" si="5"/>
        <v>4164.0799608494654</v>
      </c>
      <c r="AG64" s="44">
        <f t="shared" si="29"/>
        <v>1877.9200391505346</v>
      </c>
      <c r="AH64" s="44">
        <f t="shared" si="30"/>
        <v>0</v>
      </c>
      <c r="AI64" s="43">
        <f t="shared" si="13"/>
        <v>855653.78031633073</v>
      </c>
      <c r="AK64" s="101">
        <f t="shared" si="38"/>
        <v>2031</v>
      </c>
      <c r="AL64" s="101">
        <f t="shared" si="6"/>
        <v>2</v>
      </c>
      <c r="AM64" s="118">
        <f t="shared" si="32"/>
        <v>19917.984357361307</v>
      </c>
      <c r="AN64" s="100">
        <f t="shared" si="33"/>
        <v>17573.655885862903</v>
      </c>
      <c r="AO64" s="100">
        <f t="shared" si="34"/>
        <v>36354.674856656369</v>
      </c>
      <c r="AP64" s="100">
        <f t="shared" si="35"/>
        <v>37491.64024322421</v>
      </c>
      <c r="AQ64" s="1">
        <f t="shared" si="36"/>
        <v>66424</v>
      </c>
      <c r="AR64" s="100">
        <f t="shared" si="15"/>
        <v>904084.24216361542</v>
      </c>
      <c r="AS64" s="100">
        <f t="shared" si="16"/>
        <v>73846.31509988058</v>
      </c>
      <c r="AT64" s="100">
        <f t="shared" si="37"/>
        <v>40481.591237941459</v>
      </c>
      <c r="AU64" s="1">
        <f t="shared" si="17"/>
        <v>114327.90633782203</v>
      </c>
      <c r="AV64" s="100">
        <f t="shared" si="18"/>
        <v>1759738.0224799463</v>
      </c>
    </row>
    <row r="65" spans="4:48">
      <c r="D65" s="39">
        <f t="shared" si="19"/>
        <v>57</v>
      </c>
      <c r="E65" s="40">
        <f t="shared" si="39"/>
        <v>2031</v>
      </c>
      <c r="F65" s="35">
        <f t="shared" si="45"/>
        <v>47937</v>
      </c>
      <c r="G65" s="36">
        <f t="shared" si="2"/>
        <v>3</v>
      </c>
      <c r="H65" s="41">
        <f t="shared" si="46"/>
        <v>31</v>
      </c>
      <c r="I65" s="37" t="s">
        <v>123</v>
      </c>
      <c r="J65" s="27">
        <f t="shared" si="20"/>
        <v>3530.1398089038639</v>
      </c>
      <c r="K65" s="27">
        <f t="shared" si="8"/>
        <v>18.079151629545187</v>
      </c>
      <c r="L65" s="27">
        <f t="shared" si="21"/>
        <v>1619.9208483704549</v>
      </c>
      <c r="M65" s="27">
        <f t="shared" si="9"/>
        <v>0</v>
      </c>
      <c r="N65" s="27">
        <f t="shared" si="10"/>
        <v>1910.2189605334092</v>
      </c>
      <c r="P65" s="72" t="s">
        <v>123</v>
      </c>
      <c r="Q65" s="44">
        <f t="shared" si="42"/>
        <v>477336.23777665204</v>
      </c>
      <c r="R65" s="44">
        <f t="shared" si="3"/>
        <v>2509.480840190733</v>
      </c>
      <c r="S65" s="44">
        <f t="shared" si="43"/>
        <v>1271.519159809267</v>
      </c>
      <c r="T65" s="44">
        <f t="shared" si="44"/>
        <v>0</v>
      </c>
      <c r="U65" s="43">
        <f t="shared" si="11"/>
        <v>476064.71861684276</v>
      </c>
      <c r="W65" s="72" t="s">
        <v>123</v>
      </c>
      <c r="X65" s="44">
        <f t="shared" si="25"/>
        <v>423217.86457805953</v>
      </c>
      <c r="Y65" s="44">
        <f t="shared" si="4"/>
        <v>2224.9664666817489</v>
      </c>
      <c r="Z65" s="44">
        <f t="shared" si="26"/>
        <v>659.0335333182511</v>
      </c>
      <c r="AA65" s="44">
        <f t="shared" si="27"/>
        <v>0</v>
      </c>
      <c r="AB65" s="43">
        <f t="shared" si="12"/>
        <v>422558.83104474127</v>
      </c>
      <c r="AD65" s="72" t="s">
        <v>123</v>
      </c>
      <c r="AE65" s="44">
        <f t="shared" si="28"/>
        <v>855653.78031633073</v>
      </c>
      <c r="AF65" s="44">
        <f t="shared" si="5"/>
        <v>4600.135378396536</v>
      </c>
      <c r="AG65" s="44">
        <f t="shared" si="29"/>
        <v>1441.864621603464</v>
      </c>
      <c r="AH65" s="44">
        <f t="shared" si="30"/>
        <v>0</v>
      </c>
      <c r="AI65" s="43">
        <f t="shared" si="13"/>
        <v>854211.91569472721</v>
      </c>
      <c r="AK65" s="101">
        <f t="shared" si="38"/>
        <v>2031</v>
      </c>
      <c r="AL65" s="101">
        <f t="shared" si="6"/>
        <v>3</v>
      </c>
      <c r="AM65" s="118">
        <f t="shared" si="32"/>
        <v>22427.465197552039</v>
      </c>
      <c r="AN65" s="100">
        <f t="shared" si="33"/>
        <v>19798.622352544651</v>
      </c>
      <c r="AO65" s="100">
        <f t="shared" si="34"/>
        <v>40954.810235052908</v>
      </c>
      <c r="AP65" s="100">
        <f t="shared" si="35"/>
        <v>42226.087550096694</v>
      </c>
      <c r="AQ65" s="1">
        <f t="shared" si="36"/>
        <v>74727</v>
      </c>
      <c r="AR65" s="100">
        <f t="shared" si="15"/>
        <v>900533.76862211735</v>
      </c>
      <c r="AS65" s="100">
        <f t="shared" si="16"/>
        <v>83180.897785149602</v>
      </c>
      <c r="AT65" s="100">
        <f t="shared" si="37"/>
        <v>45473.929401042893</v>
      </c>
      <c r="AU65" s="1">
        <f t="shared" si="17"/>
        <v>128654.8271861925</v>
      </c>
      <c r="AV65" s="100">
        <f t="shared" si="18"/>
        <v>1754745.6843168447</v>
      </c>
    </row>
    <row r="66" spans="4:48">
      <c r="D66" s="39">
        <f t="shared" si="19"/>
        <v>58</v>
      </c>
      <c r="E66" s="40">
        <f t="shared" si="39"/>
        <v>2031</v>
      </c>
      <c r="F66" s="35">
        <f t="shared" si="45"/>
        <v>47968</v>
      </c>
      <c r="G66" s="36">
        <f t="shared" si="2"/>
        <v>4</v>
      </c>
      <c r="H66" s="41">
        <f t="shared" si="46"/>
        <v>30</v>
      </c>
      <c r="I66" s="37" t="s">
        <v>123</v>
      </c>
      <c r="J66" s="27">
        <f t="shared" si="20"/>
        <v>1910.2189605334092</v>
      </c>
      <c r="K66" s="27">
        <f t="shared" si="8"/>
        <v>9.4673591769998282</v>
      </c>
      <c r="L66" s="27">
        <f t="shared" si="21"/>
        <v>1628.5326408230001</v>
      </c>
      <c r="M66" s="27">
        <f t="shared" si="9"/>
        <v>0</v>
      </c>
      <c r="N66" s="27">
        <f t="shared" si="10"/>
        <v>281.68631971040918</v>
      </c>
      <c r="P66" s="72" t="s">
        <v>123</v>
      </c>
      <c r="Q66" s="44">
        <f t="shared" si="42"/>
        <v>476064.71861684276</v>
      </c>
      <c r="R66" s="44">
        <f t="shared" si="3"/>
        <v>2422.0607738944573</v>
      </c>
      <c r="S66" s="44">
        <f t="shared" si="43"/>
        <v>1358.9392261055427</v>
      </c>
      <c r="T66" s="44">
        <f t="shared" si="44"/>
        <v>0</v>
      </c>
      <c r="U66" s="43">
        <f t="shared" si="11"/>
        <v>474705.77939073724</v>
      </c>
      <c r="W66" s="72" t="s">
        <v>123</v>
      </c>
      <c r="X66" s="44">
        <f t="shared" si="25"/>
        <v>422558.83104474127</v>
      </c>
      <c r="Y66" s="44">
        <f t="shared" si="4"/>
        <v>2149.8404089043411</v>
      </c>
      <c r="Z66" s="44">
        <f t="shared" si="26"/>
        <v>734.15959109565893</v>
      </c>
      <c r="AA66" s="44">
        <f t="shared" si="27"/>
        <v>0</v>
      </c>
      <c r="AB66" s="43">
        <f t="shared" si="12"/>
        <v>421824.67145364563</v>
      </c>
      <c r="AD66" s="72" t="s">
        <v>123</v>
      </c>
      <c r="AE66" s="44">
        <f t="shared" si="28"/>
        <v>854211.91569472721</v>
      </c>
      <c r="AF66" s="44">
        <f t="shared" si="5"/>
        <v>4444.2422682309225</v>
      </c>
      <c r="AG66" s="44">
        <f t="shared" si="29"/>
        <v>1597.7577317690775</v>
      </c>
      <c r="AH66" s="44">
        <f t="shared" si="30"/>
        <v>0</v>
      </c>
      <c r="AI66" s="43">
        <f t="shared" si="13"/>
        <v>852614.1579629581</v>
      </c>
      <c r="AK66" s="101">
        <f t="shared" si="38"/>
        <v>2031</v>
      </c>
      <c r="AL66" s="101">
        <f t="shared" si="6"/>
        <v>4</v>
      </c>
      <c r="AM66" s="118">
        <f t="shared" si="32"/>
        <v>24849.525971446496</v>
      </c>
      <c r="AN66" s="100">
        <f t="shared" si="33"/>
        <v>21948.462761448991</v>
      </c>
      <c r="AO66" s="100">
        <f t="shared" si="34"/>
        <v>45399.052503283834</v>
      </c>
      <c r="AP66" s="100">
        <f t="shared" si="35"/>
        <v>46797.988732895486</v>
      </c>
      <c r="AQ66" s="1">
        <f t="shared" si="36"/>
        <v>83030</v>
      </c>
      <c r="AR66" s="100">
        <f t="shared" si="15"/>
        <v>896812.13716409332</v>
      </c>
      <c r="AS66" s="100">
        <f t="shared" si="16"/>
        <v>92197.041236179328</v>
      </c>
      <c r="AT66" s="100">
        <f t="shared" si="37"/>
        <v>50793.318590836177</v>
      </c>
      <c r="AU66" s="1">
        <f t="shared" si="17"/>
        <v>142990.35982701549</v>
      </c>
      <c r="AV66" s="100">
        <f t="shared" si="18"/>
        <v>1749426.2951270514</v>
      </c>
    </row>
    <row r="67" spans="4:48">
      <c r="D67" s="39">
        <f t="shared" si="19"/>
        <v>59</v>
      </c>
      <c r="E67" s="40">
        <f t="shared" si="39"/>
        <v>2031</v>
      </c>
      <c r="F67" s="35">
        <f t="shared" si="45"/>
        <v>47998</v>
      </c>
      <c r="G67" s="36">
        <f t="shared" si="2"/>
        <v>5</v>
      </c>
      <c r="H67" s="41">
        <f t="shared" si="46"/>
        <v>31</v>
      </c>
      <c r="I67" s="37" t="s">
        <v>123</v>
      </c>
      <c r="J67" s="27">
        <f t="shared" si="20"/>
        <v>281.68631971040918</v>
      </c>
      <c r="K67" s="27">
        <f t="shared" si="8"/>
        <v>1.4426198285881313</v>
      </c>
      <c r="L67" s="27">
        <f t="shared" si="21"/>
        <v>1636.557380171412</v>
      </c>
      <c r="M67" s="27">
        <f t="shared" si="9"/>
        <v>0</v>
      </c>
      <c r="N67" s="27">
        <f t="shared" si="10"/>
        <v>-1354.8710604610028</v>
      </c>
      <c r="P67" s="72" t="s">
        <v>123</v>
      </c>
      <c r="Q67" s="44">
        <f t="shared" si="42"/>
        <v>474705.77939073724</v>
      </c>
      <c r="R67" s="44">
        <f t="shared" si="3"/>
        <v>2495.6518358161252</v>
      </c>
      <c r="S67" s="44">
        <f t="shared" si="43"/>
        <v>1285.3481641838748</v>
      </c>
      <c r="T67" s="44">
        <f t="shared" si="44"/>
        <v>0</v>
      </c>
      <c r="U67" s="43">
        <f t="shared" si="11"/>
        <v>473420.43122655334</v>
      </c>
      <c r="W67" s="72" t="s">
        <v>123</v>
      </c>
      <c r="X67" s="44">
        <f t="shared" si="25"/>
        <v>421824.67145364563</v>
      </c>
      <c r="Y67" s="44">
        <f t="shared" si="4"/>
        <v>2217.642087814796</v>
      </c>
      <c r="Z67" s="44">
        <f t="shared" si="26"/>
        <v>666.35791218520399</v>
      </c>
      <c r="AA67" s="44">
        <f t="shared" si="27"/>
        <v>0</v>
      </c>
      <c r="AB67" s="43">
        <f t="shared" si="12"/>
        <v>421158.31354146043</v>
      </c>
      <c r="AD67" s="72" t="s">
        <v>123</v>
      </c>
      <c r="AE67" s="44">
        <f t="shared" si="28"/>
        <v>852614.1579629581</v>
      </c>
      <c r="AF67" s="44">
        <f t="shared" si="5"/>
        <v>4583.7938689608563</v>
      </c>
      <c r="AG67" s="44">
        <f t="shared" si="29"/>
        <v>1458.2061310391437</v>
      </c>
      <c r="AH67" s="44">
        <f t="shared" si="30"/>
        <v>0</v>
      </c>
      <c r="AI67" s="43">
        <f t="shared" si="13"/>
        <v>851155.95183191891</v>
      </c>
      <c r="AK67" s="101">
        <f t="shared" si="38"/>
        <v>2031</v>
      </c>
      <c r="AL67" s="101">
        <f t="shared" si="6"/>
        <v>5</v>
      </c>
      <c r="AM67" s="118">
        <f t="shared" si="32"/>
        <v>27345.177807262622</v>
      </c>
      <c r="AN67" s="100">
        <f t="shared" si="33"/>
        <v>24166.104849263786</v>
      </c>
      <c r="AO67" s="100">
        <f t="shared" si="34"/>
        <v>49982.84637224469</v>
      </c>
      <c r="AP67" s="100">
        <f t="shared" si="35"/>
        <v>51511.282656526411</v>
      </c>
      <c r="AQ67" s="1">
        <f t="shared" si="36"/>
        <v>91333</v>
      </c>
      <c r="AR67" s="100">
        <f t="shared" si="15"/>
        <v>893223.87370755279</v>
      </c>
      <c r="AS67" s="100">
        <f t="shared" si="16"/>
        <v>101494.1290287711</v>
      </c>
      <c r="AT67" s="100">
        <f t="shared" si="37"/>
        <v>55839.788178415809</v>
      </c>
      <c r="AU67" s="1">
        <f t="shared" si="17"/>
        <v>157333.91720718693</v>
      </c>
      <c r="AV67" s="100">
        <f t="shared" si="18"/>
        <v>1744379.8255394716</v>
      </c>
    </row>
    <row r="68" spans="4:48">
      <c r="D68" s="39">
        <f t="shared" si="19"/>
        <v>60</v>
      </c>
      <c r="E68" s="40">
        <f t="shared" si="39"/>
        <v>2031</v>
      </c>
      <c r="F68" s="35">
        <f t="shared" si="45"/>
        <v>48029</v>
      </c>
      <c r="G68" s="36">
        <f t="shared" si="2"/>
        <v>6</v>
      </c>
      <c r="H68" s="41">
        <f t="shared" si="46"/>
        <v>30</v>
      </c>
      <c r="I68" s="37" t="s">
        <v>123</v>
      </c>
      <c r="J68" s="27">
        <f t="shared" si="20"/>
        <v>0</v>
      </c>
      <c r="K68" s="27">
        <f t="shared" si="8"/>
        <v>0</v>
      </c>
      <c r="L68" s="27">
        <f t="shared" si="21"/>
        <v>0</v>
      </c>
      <c r="M68" s="27">
        <f t="shared" si="9"/>
        <v>0</v>
      </c>
      <c r="N68" s="27">
        <f t="shared" si="10"/>
        <v>0</v>
      </c>
      <c r="P68" s="72" t="s">
        <v>123</v>
      </c>
      <c r="Q68" s="44">
        <f t="shared" si="42"/>
        <v>473420.43122655334</v>
      </c>
      <c r="R68" s="44">
        <f t="shared" si="3"/>
        <v>2408.6075090074232</v>
      </c>
      <c r="S68" s="44">
        <f t="shared" si="43"/>
        <v>1372.3924909925768</v>
      </c>
      <c r="T68" s="44">
        <f t="shared" si="44"/>
        <v>0</v>
      </c>
      <c r="U68" s="43">
        <f t="shared" si="11"/>
        <v>472048.03873556078</v>
      </c>
      <c r="W68" s="72" t="s">
        <v>123</v>
      </c>
      <c r="X68" s="44">
        <f t="shared" si="25"/>
        <v>421158.31354146043</v>
      </c>
      <c r="Y68" s="44">
        <f t="shared" si="4"/>
        <v>2142.7150362917591</v>
      </c>
      <c r="Z68" s="44">
        <f t="shared" si="26"/>
        <v>741.28496370824087</v>
      </c>
      <c r="AA68" s="44">
        <f t="shared" si="27"/>
        <v>0</v>
      </c>
      <c r="AB68" s="43">
        <f t="shared" si="12"/>
        <v>420417.02857775218</v>
      </c>
      <c r="AD68" s="72" t="s">
        <v>123</v>
      </c>
      <c r="AE68" s="44">
        <f t="shared" si="28"/>
        <v>851155.95183191891</v>
      </c>
      <c r="AF68" s="44">
        <f t="shared" si="5"/>
        <v>4428.3428836405865</v>
      </c>
      <c r="AG68" s="44">
        <f t="shared" si="29"/>
        <v>1613.6571163594135</v>
      </c>
      <c r="AH68" s="44">
        <f t="shared" si="30"/>
        <v>0</v>
      </c>
      <c r="AI68" s="43">
        <f t="shared" si="13"/>
        <v>849542.29471555946</v>
      </c>
      <c r="AK68" s="101">
        <f t="shared" si="38"/>
        <v>2031</v>
      </c>
      <c r="AL68" s="101">
        <f t="shared" si="6"/>
        <v>6</v>
      </c>
      <c r="AM68" s="118">
        <f t="shared" si="32"/>
        <v>29753.785316270045</v>
      </c>
      <c r="AN68" s="100">
        <f t="shared" si="33"/>
        <v>26308.819885555546</v>
      </c>
      <c r="AO68" s="100">
        <f t="shared" si="34"/>
        <v>54411.189255885278</v>
      </c>
      <c r="AP68" s="100">
        <f t="shared" si="35"/>
        <v>56062.605201825587</v>
      </c>
      <c r="AQ68" s="1">
        <f t="shared" si="36"/>
        <v>97998</v>
      </c>
      <c r="AR68" s="100">
        <f t="shared" si="15"/>
        <v>892465.06731331302</v>
      </c>
      <c r="AS68" s="100">
        <f t="shared" si="16"/>
        <v>110473.79445771087</v>
      </c>
      <c r="AT68" s="100">
        <f t="shared" si="37"/>
        <v>59567.122749476039</v>
      </c>
      <c r="AU68" s="1">
        <f t="shared" si="17"/>
        <v>170040.91720718693</v>
      </c>
      <c r="AV68" s="100">
        <f t="shared" si="18"/>
        <v>1742007.3620288726</v>
      </c>
    </row>
    <row r="69" spans="4:48">
      <c r="D69" s="39">
        <f t="shared" si="19"/>
        <v>61</v>
      </c>
      <c r="E69" s="40">
        <f t="shared" si="39"/>
        <v>2032</v>
      </c>
      <c r="F69" s="35">
        <f t="shared" si="45"/>
        <v>48059</v>
      </c>
      <c r="G69" s="36">
        <f t="shared" si="2"/>
        <v>7</v>
      </c>
      <c r="H69" s="41">
        <f t="shared" si="46"/>
        <v>31</v>
      </c>
      <c r="I69" s="37" t="s">
        <v>123</v>
      </c>
      <c r="J69" s="27">
        <f t="shared" si="20"/>
        <v>0</v>
      </c>
      <c r="K69" s="27">
        <f t="shared" si="8"/>
        <v>0</v>
      </c>
      <c r="L69" s="27">
        <f t="shared" si="21"/>
        <v>0</v>
      </c>
      <c r="M69" s="27">
        <f t="shared" si="9"/>
        <v>0</v>
      </c>
      <c r="N69" s="27">
        <f t="shared" si="10"/>
        <v>0</v>
      </c>
      <c r="P69" s="72" t="s">
        <v>123</v>
      </c>
      <c r="Q69" s="44">
        <f t="shared" si="42"/>
        <v>472048.03873556078</v>
      </c>
      <c r="R69" s="44">
        <f t="shared" si="3"/>
        <v>2481.6794014511443</v>
      </c>
      <c r="S69" s="44">
        <f t="shared" si="43"/>
        <v>1299.3205985488557</v>
      </c>
      <c r="T69" s="44">
        <f t="shared" si="44"/>
        <v>0</v>
      </c>
      <c r="U69" s="43">
        <f t="shared" si="11"/>
        <v>470748.71813701192</v>
      </c>
      <c r="W69" s="72" t="s">
        <v>123</v>
      </c>
      <c r="X69" s="44">
        <f t="shared" si="25"/>
        <v>420417.02857775218</v>
      </c>
      <c r="Y69" s="44">
        <f t="shared" si="4"/>
        <v>2210.241742843421</v>
      </c>
      <c r="Z69" s="44">
        <f t="shared" si="26"/>
        <v>673.75825715657902</v>
      </c>
      <c r="AA69" s="44">
        <f t="shared" si="27"/>
        <v>0</v>
      </c>
      <c r="AB69" s="43">
        <f t="shared" si="12"/>
        <v>419743.27032059559</v>
      </c>
      <c r="AD69" s="72" t="s">
        <v>123</v>
      </c>
      <c r="AE69" s="44">
        <f t="shared" si="28"/>
        <v>849542.29471555946</v>
      </c>
      <c r="AF69" s="44">
        <f t="shared" si="5"/>
        <v>4567.27902717902</v>
      </c>
      <c r="AG69" s="44">
        <f t="shared" si="29"/>
        <v>1474.72097282098</v>
      </c>
      <c r="AH69" s="44">
        <f t="shared" si="30"/>
        <v>0</v>
      </c>
      <c r="AI69" s="43">
        <f t="shared" si="13"/>
        <v>848067.57374273846</v>
      </c>
      <c r="AK69" s="101">
        <f t="shared" si="38"/>
        <v>2032</v>
      </c>
      <c r="AL69" s="101">
        <f t="shared" si="6"/>
        <v>7</v>
      </c>
      <c r="AM69" s="118">
        <f t="shared" si="32"/>
        <v>2481.6794014511443</v>
      </c>
      <c r="AN69" s="100">
        <f t="shared" si="33"/>
        <v>2210.241742843421</v>
      </c>
      <c r="AO69" s="100">
        <f t="shared" si="34"/>
        <v>4567.27902717902</v>
      </c>
      <c r="AP69" s="100">
        <f t="shared" si="35"/>
        <v>4691.9211442945652</v>
      </c>
      <c r="AQ69" s="1">
        <f t="shared" si="36"/>
        <v>6665</v>
      </c>
      <c r="AR69" s="100">
        <f t="shared" si="15"/>
        <v>890491.98845760757</v>
      </c>
      <c r="AS69" s="100">
        <f t="shared" si="16"/>
        <v>9259.2001714735852</v>
      </c>
      <c r="AT69" s="100">
        <f t="shared" si="37"/>
        <v>3447.7998285264148</v>
      </c>
      <c r="AU69" s="1">
        <f t="shared" si="17"/>
        <v>12707</v>
      </c>
      <c r="AV69" s="100">
        <f t="shared" si="18"/>
        <v>1738559.562200346</v>
      </c>
    </row>
    <row r="70" spans="4:48">
      <c r="D70" s="39">
        <f t="shared" si="19"/>
        <v>62</v>
      </c>
      <c r="E70" s="40">
        <f t="shared" si="39"/>
        <v>2032</v>
      </c>
      <c r="F70" s="35">
        <f t="shared" si="45"/>
        <v>48090</v>
      </c>
      <c r="G70" s="36">
        <f t="shared" si="2"/>
        <v>8</v>
      </c>
      <c r="H70" s="41">
        <f t="shared" si="46"/>
        <v>31</v>
      </c>
      <c r="I70" s="37" t="s">
        <v>123</v>
      </c>
      <c r="J70" s="27">
        <f t="shared" si="20"/>
        <v>0</v>
      </c>
      <c r="K70" s="27">
        <f t="shared" si="8"/>
        <v>0</v>
      </c>
      <c r="L70" s="27">
        <f t="shared" si="21"/>
        <v>0</v>
      </c>
      <c r="M70" s="27">
        <f t="shared" si="9"/>
        <v>0</v>
      </c>
      <c r="N70" s="27">
        <f t="shared" si="10"/>
        <v>0</v>
      </c>
      <c r="P70" s="72" t="s">
        <v>123</v>
      </c>
      <c r="Q70" s="44">
        <f t="shared" si="42"/>
        <v>470748.71813701192</v>
      </c>
      <c r="R70" s="44">
        <f t="shared" si="3"/>
        <v>2474.8485348852387</v>
      </c>
      <c r="S70" s="44">
        <f t="shared" si="43"/>
        <v>1306.1514651147613</v>
      </c>
      <c r="T70" s="44">
        <f t="shared" si="44"/>
        <v>0</v>
      </c>
      <c r="U70" s="43">
        <f t="shared" si="11"/>
        <v>469442.56667189713</v>
      </c>
      <c r="W70" s="72" t="s">
        <v>123</v>
      </c>
      <c r="X70" s="44">
        <f t="shared" si="25"/>
        <v>419743.27032059559</v>
      </c>
      <c r="Y70" s="44">
        <f t="shared" si="4"/>
        <v>2206.6996203238109</v>
      </c>
      <c r="Z70" s="44">
        <f t="shared" si="26"/>
        <v>677.3003796761891</v>
      </c>
      <c r="AA70" s="44">
        <f t="shared" si="27"/>
        <v>0</v>
      </c>
      <c r="AB70" s="43">
        <f t="shared" si="12"/>
        <v>419065.96994091943</v>
      </c>
      <c r="AD70" s="72" t="s">
        <v>123</v>
      </c>
      <c r="AE70" s="44">
        <f t="shared" si="28"/>
        <v>848067.57374273846</v>
      </c>
      <c r="AF70" s="44">
        <f t="shared" si="5"/>
        <v>4559.3506848092484</v>
      </c>
      <c r="AG70" s="44">
        <f t="shared" si="29"/>
        <v>1482.6493151907516</v>
      </c>
      <c r="AH70" s="44">
        <f t="shared" si="30"/>
        <v>0</v>
      </c>
      <c r="AI70" s="43">
        <f t="shared" si="13"/>
        <v>846584.92442754772</v>
      </c>
      <c r="AK70" s="101">
        <f t="shared" si="38"/>
        <v>2032</v>
      </c>
      <c r="AL70" s="101">
        <f t="shared" si="6"/>
        <v>8</v>
      </c>
      <c r="AM70" s="118">
        <f t="shared" si="32"/>
        <v>4956.5279363363825</v>
      </c>
      <c r="AN70" s="100">
        <f t="shared" si="33"/>
        <v>4416.9413631672323</v>
      </c>
      <c r="AO70" s="100">
        <f t="shared" si="34"/>
        <v>9126.6297119882693</v>
      </c>
      <c r="AP70" s="100">
        <f t="shared" si="35"/>
        <v>9373.4692995036148</v>
      </c>
      <c r="AQ70" s="1">
        <f t="shared" si="36"/>
        <v>13330</v>
      </c>
      <c r="AR70" s="100">
        <f t="shared" si="15"/>
        <v>888508.53661281662</v>
      </c>
      <c r="AS70" s="100">
        <f t="shared" si="16"/>
        <v>18500.099011491882</v>
      </c>
      <c r="AT70" s="100">
        <f t="shared" si="37"/>
        <v>6913.9009885081168</v>
      </c>
      <c r="AU70" s="1">
        <f t="shared" si="17"/>
        <v>25414</v>
      </c>
      <c r="AV70" s="100">
        <f t="shared" si="18"/>
        <v>1735093.4610403643</v>
      </c>
    </row>
    <row r="71" spans="4:48">
      <c r="D71" s="39">
        <f t="shared" si="19"/>
        <v>63</v>
      </c>
      <c r="E71" s="40">
        <f t="shared" si="39"/>
        <v>2032</v>
      </c>
      <c r="F71" s="35">
        <f t="shared" si="45"/>
        <v>48121</v>
      </c>
      <c r="G71" s="36">
        <f t="shared" si="2"/>
        <v>9</v>
      </c>
      <c r="H71" s="41">
        <f t="shared" si="46"/>
        <v>30</v>
      </c>
      <c r="I71" s="37" t="s">
        <v>123</v>
      </c>
      <c r="J71" s="27">
        <f t="shared" si="20"/>
        <v>0</v>
      </c>
      <c r="K71" s="27">
        <f t="shared" si="8"/>
        <v>0</v>
      </c>
      <c r="L71" s="27">
        <f t="shared" si="21"/>
        <v>0</v>
      </c>
      <c r="M71" s="27">
        <f t="shared" si="9"/>
        <v>0</v>
      </c>
      <c r="N71" s="27">
        <f t="shared" si="10"/>
        <v>0</v>
      </c>
      <c r="P71" s="72" t="s">
        <v>123</v>
      </c>
      <c r="Q71" s="44">
        <f t="shared" si="42"/>
        <v>469442.56667189713</v>
      </c>
      <c r="R71" s="44">
        <f t="shared" si="3"/>
        <v>2388.3694419444187</v>
      </c>
      <c r="S71" s="44">
        <f t="shared" si="43"/>
        <v>1392.6305580555813</v>
      </c>
      <c r="T71" s="44">
        <f t="shared" si="44"/>
        <v>0</v>
      </c>
      <c r="U71" s="43">
        <f t="shared" si="11"/>
        <v>468049.93611384154</v>
      </c>
      <c r="W71" s="72" t="s">
        <v>123</v>
      </c>
      <c r="X71" s="44">
        <f t="shared" si="25"/>
        <v>419065.96994091943</v>
      </c>
      <c r="Y71" s="44">
        <f t="shared" si="4"/>
        <v>2132.0698799459924</v>
      </c>
      <c r="Z71" s="44">
        <f t="shared" si="26"/>
        <v>751.9301200540076</v>
      </c>
      <c r="AA71" s="44">
        <f t="shared" si="27"/>
        <v>0</v>
      </c>
      <c r="AB71" s="43">
        <f t="shared" si="12"/>
        <v>418314.03982086544</v>
      </c>
      <c r="AD71" s="72" t="s">
        <v>123</v>
      </c>
      <c r="AE71" s="44">
        <f t="shared" si="28"/>
        <v>846584.92442754772</v>
      </c>
      <c r="AF71" s="44">
        <f t="shared" si="5"/>
        <v>4404.5610177751041</v>
      </c>
      <c r="AG71" s="44">
        <f t="shared" si="29"/>
        <v>1637.4389822248959</v>
      </c>
      <c r="AH71" s="44">
        <f t="shared" si="30"/>
        <v>0</v>
      </c>
      <c r="AI71" s="43">
        <f t="shared" si="13"/>
        <v>844947.48544532282</v>
      </c>
      <c r="AK71" s="101">
        <f t="shared" si="38"/>
        <v>2032</v>
      </c>
      <c r="AL71" s="101">
        <f t="shared" si="6"/>
        <v>9</v>
      </c>
      <c r="AM71" s="118">
        <f t="shared" si="32"/>
        <v>7344.8973782808007</v>
      </c>
      <c r="AN71" s="100">
        <f t="shared" si="33"/>
        <v>6549.0112431132247</v>
      </c>
      <c r="AO71" s="100">
        <f t="shared" si="34"/>
        <v>13531.190729763373</v>
      </c>
      <c r="AP71" s="100">
        <f t="shared" si="35"/>
        <v>13893.908621394025</v>
      </c>
      <c r="AQ71" s="1">
        <f t="shared" si="36"/>
        <v>19995</v>
      </c>
      <c r="AR71" s="100">
        <f t="shared" si="15"/>
        <v>886363.97593470698</v>
      </c>
      <c r="AS71" s="100">
        <f t="shared" si="16"/>
        <v>27425.099351157398</v>
      </c>
      <c r="AT71" s="100">
        <f t="shared" si="37"/>
        <v>10695.900648842602</v>
      </c>
      <c r="AU71" s="1">
        <f t="shared" si="17"/>
        <v>38121</v>
      </c>
      <c r="AV71" s="100">
        <f t="shared" si="18"/>
        <v>1731311.4613800298</v>
      </c>
    </row>
    <row r="72" spans="4:48">
      <c r="D72" s="39">
        <f t="shared" si="19"/>
        <v>64</v>
      </c>
      <c r="E72" s="40">
        <f t="shared" si="39"/>
        <v>2032</v>
      </c>
      <c r="F72" s="35">
        <f t="shared" si="45"/>
        <v>48151</v>
      </c>
      <c r="G72" s="36">
        <f t="shared" si="2"/>
        <v>10</v>
      </c>
      <c r="H72" s="41">
        <f t="shared" si="46"/>
        <v>31</v>
      </c>
      <c r="I72" s="37" t="s">
        <v>123</v>
      </c>
      <c r="J72" s="27">
        <f t="shared" si="20"/>
        <v>0</v>
      </c>
      <c r="K72" s="27">
        <f t="shared" si="8"/>
        <v>0</v>
      </c>
      <c r="L72" s="27">
        <f t="shared" si="21"/>
        <v>0</v>
      </c>
      <c r="M72" s="27">
        <f t="shared" si="9"/>
        <v>0</v>
      </c>
      <c r="N72" s="27">
        <f t="shared" si="10"/>
        <v>0</v>
      </c>
      <c r="P72" s="72" t="s">
        <v>123</v>
      </c>
      <c r="Q72" s="44">
        <f t="shared" si="42"/>
        <v>468049.93611384154</v>
      </c>
      <c r="R72" s="44">
        <f t="shared" si="3"/>
        <v>2460.6603353667138</v>
      </c>
      <c r="S72" s="44">
        <f t="shared" si="43"/>
        <v>1320.3396646332862</v>
      </c>
      <c r="T72" s="44">
        <f t="shared" si="44"/>
        <v>0</v>
      </c>
      <c r="U72" s="43">
        <f t="shared" si="11"/>
        <v>466729.59644920827</v>
      </c>
      <c r="W72" s="72" t="s">
        <v>123</v>
      </c>
      <c r="X72" s="44">
        <f t="shared" si="25"/>
        <v>418314.03982086544</v>
      </c>
      <c r="Y72" s="44">
        <f t="shared" si="4"/>
        <v>2199.1857835952287</v>
      </c>
      <c r="Z72" s="44">
        <f t="shared" si="26"/>
        <v>684.81421640477129</v>
      </c>
      <c r="AA72" s="44">
        <f t="shared" si="27"/>
        <v>0</v>
      </c>
      <c r="AB72" s="43">
        <f t="shared" si="12"/>
        <v>417629.22560446069</v>
      </c>
      <c r="AD72" s="72" t="s">
        <v>123</v>
      </c>
      <c r="AE72" s="44">
        <f t="shared" si="28"/>
        <v>844947.48544532282</v>
      </c>
      <c r="AF72" s="44">
        <f t="shared" si="5"/>
        <v>4542.5765772311142</v>
      </c>
      <c r="AG72" s="44">
        <f t="shared" si="29"/>
        <v>1499.4234227688858</v>
      </c>
      <c r="AH72" s="44">
        <f t="shared" si="30"/>
        <v>0</v>
      </c>
      <c r="AI72" s="43">
        <f t="shared" si="13"/>
        <v>843448.06202255399</v>
      </c>
      <c r="AK72" s="101">
        <f t="shared" si="38"/>
        <v>2032</v>
      </c>
      <c r="AL72" s="101">
        <f t="shared" si="6"/>
        <v>10</v>
      </c>
      <c r="AM72" s="118">
        <f t="shared" si="32"/>
        <v>9805.5577136475149</v>
      </c>
      <c r="AN72" s="100">
        <f t="shared" si="33"/>
        <v>8748.1970267084544</v>
      </c>
      <c r="AO72" s="100">
        <f t="shared" si="34"/>
        <v>18073.767306994487</v>
      </c>
      <c r="AP72" s="100">
        <f t="shared" si="35"/>
        <v>18553.754740355969</v>
      </c>
      <c r="AQ72" s="1">
        <f t="shared" si="36"/>
        <v>26660</v>
      </c>
      <c r="AR72" s="100">
        <f t="shared" si="15"/>
        <v>884358.82205366902</v>
      </c>
      <c r="AS72" s="100">
        <f t="shared" si="16"/>
        <v>36627.52204735046</v>
      </c>
      <c r="AT72" s="100">
        <f t="shared" si="37"/>
        <v>14200.477952649544</v>
      </c>
      <c r="AU72" s="1">
        <f t="shared" si="17"/>
        <v>50828</v>
      </c>
      <c r="AV72" s="100">
        <f t="shared" si="18"/>
        <v>1727806.884076223</v>
      </c>
    </row>
    <row r="73" spans="4:48">
      <c r="D73" s="39">
        <f t="shared" si="19"/>
        <v>65</v>
      </c>
      <c r="E73" s="40">
        <f t="shared" si="39"/>
        <v>2032</v>
      </c>
      <c r="F73" s="35">
        <f t="shared" si="45"/>
        <v>48182</v>
      </c>
      <c r="G73" s="36">
        <f t="shared" ref="G73:G136" si="47">MONTH(F73)</f>
        <v>11</v>
      </c>
      <c r="H73" s="41">
        <f t="shared" si="46"/>
        <v>30</v>
      </c>
      <c r="I73" s="37" t="s">
        <v>123</v>
      </c>
      <c r="J73" s="27">
        <f t="shared" si="20"/>
        <v>0</v>
      </c>
      <c r="K73" s="27">
        <f t="shared" si="8"/>
        <v>0</v>
      </c>
      <c r="L73" s="27">
        <f t="shared" si="21"/>
        <v>0</v>
      </c>
      <c r="M73" s="27">
        <f t="shared" si="9"/>
        <v>0</v>
      </c>
      <c r="N73" s="27">
        <f t="shared" si="10"/>
        <v>0</v>
      </c>
      <c r="P73" s="72" t="s">
        <v>123</v>
      </c>
      <c r="Q73" s="44">
        <f t="shared" si="42"/>
        <v>466729.59644920827</v>
      </c>
      <c r="R73" s="44">
        <f t="shared" ref="R73:R136" si="48">(IF(P73="PI",Q73,IF(ISNUMBER(U72),U72,Q73))*$R$3/365*$H73*IF(Q73&gt;0,1,0))</f>
        <v>2374.5667413867941</v>
      </c>
      <c r="S73" s="44">
        <f t="shared" si="43"/>
        <v>1406.4332586132059</v>
      </c>
      <c r="T73" s="44">
        <f t="shared" si="44"/>
        <v>0</v>
      </c>
      <c r="U73" s="43">
        <f t="shared" si="11"/>
        <v>465323.16319059505</v>
      </c>
      <c r="W73" s="72" t="s">
        <v>123</v>
      </c>
      <c r="X73" s="44">
        <f t="shared" si="25"/>
        <v>417629.22560446069</v>
      </c>
      <c r="Y73" s="44">
        <f t="shared" ref="Y73:Y136" si="49">(IF(W73="PI",X73,IF(ISNUMBER(AB72),AB72,X73))*$Y$3/365*$H73*IF(X73&gt;0,1,0))</f>
        <v>2124.7601971163931</v>
      </c>
      <c r="Z73" s="44">
        <f t="shared" si="26"/>
        <v>759.2398028836069</v>
      </c>
      <c r="AA73" s="44">
        <f t="shared" si="27"/>
        <v>0</v>
      </c>
      <c r="AB73" s="43">
        <f t="shared" si="12"/>
        <v>416869.9858015771</v>
      </c>
      <c r="AD73" s="72" t="s">
        <v>123</v>
      </c>
      <c r="AE73" s="44">
        <f t="shared" si="28"/>
        <v>843448.06202255399</v>
      </c>
      <c r="AF73" s="44">
        <f t="shared" ref="AF73:AF136" si="50">(IF(AD73="PI",AE73,IF(ISNUMBER(AI72),AI72,AE73))*$AF$3/365*$H73*IF(AE73&gt;0,1,0))</f>
        <v>4388.240739125561</v>
      </c>
      <c r="AG73" s="44">
        <f t="shared" si="29"/>
        <v>1653.759260874439</v>
      </c>
      <c r="AH73" s="44">
        <f t="shared" si="30"/>
        <v>0</v>
      </c>
      <c r="AI73" s="43">
        <f t="shared" si="13"/>
        <v>841794.30276167952</v>
      </c>
      <c r="AK73" s="101">
        <f t="shared" si="38"/>
        <v>2032</v>
      </c>
      <c r="AL73" s="101">
        <f t="shared" ref="AL73:AL136" si="51">G73</f>
        <v>11</v>
      </c>
      <c r="AM73" s="118">
        <f t="shared" si="32"/>
        <v>12180.124455034309</v>
      </c>
      <c r="AN73" s="100">
        <f t="shared" si="33"/>
        <v>10872.957223824847</v>
      </c>
      <c r="AO73" s="100">
        <f t="shared" si="34"/>
        <v>22462.008046120049</v>
      </c>
      <c r="AP73" s="100">
        <f t="shared" si="35"/>
        <v>23053.081678859155</v>
      </c>
      <c r="AQ73" s="1">
        <f t="shared" si="36"/>
        <v>33325</v>
      </c>
      <c r="AR73" s="100">
        <f t="shared" si="15"/>
        <v>882193.14899217221</v>
      </c>
      <c r="AS73" s="100">
        <f t="shared" si="16"/>
        <v>45515.089724979203</v>
      </c>
      <c r="AT73" s="100">
        <f t="shared" si="37"/>
        <v>18019.910275020797</v>
      </c>
      <c r="AU73" s="1">
        <f t="shared" si="17"/>
        <v>63535</v>
      </c>
      <c r="AV73" s="100">
        <f t="shared" si="18"/>
        <v>1723987.4517538517</v>
      </c>
    </row>
    <row r="74" spans="4:48">
      <c r="D74" s="39">
        <f t="shared" si="19"/>
        <v>66</v>
      </c>
      <c r="E74" s="40">
        <f t="shared" si="39"/>
        <v>2032</v>
      </c>
      <c r="F74" s="35">
        <f t="shared" si="45"/>
        <v>48212</v>
      </c>
      <c r="G74" s="36">
        <f t="shared" si="47"/>
        <v>12</v>
      </c>
      <c r="H74" s="41">
        <f t="shared" si="46"/>
        <v>31</v>
      </c>
      <c r="I74" s="37" t="s">
        <v>123</v>
      </c>
      <c r="J74" s="27">
        <f t="shared" si="20"/>
        <v>0</v>
      </c>
      <c r="K74" s="27">
        <f t="shared" ref="K74:K137" si="52">(IF(I74="PI",J74,IF(ISNUMBER(N73),N73,J74))*$K$3/365*$H74*IF(J74&gt;0,1,0))</f>
        <v>0</v>
      </c>
      <c r="L74" s="27">
        <f t="shared" si="21"/>
        <v>0</v>
      </c>
      <c r="M74" s="27">
        <f t="shared" ref="M74:M137" si="53">IF(I74="IO",$K$6-K74+IF(ISNUMBER(M73),M73,0),IF(ISNUMBER(M73),M73,0))</f>
        <v>0</v>
      </c>
      <c r="N74" s="27">
        <f t="shared" ref="N74:N137" si="54">(J74+K74-$K$6-IF(I74="PI",0,M74))*IF(J74&gt;0,1,0)</f>
        <v>0</v>
      </c>
      <c r="P74" s="72" t="s">
        <v>123</v>
      </c>
      <c r="Q74" s="44">
        <f t="shared" si="42"/>
        <v>465323.16319059505</v>
      </c>
      <c r="R74" s="44">
        <f t="shared" si="48"/>
        <v>2446.3249804011857</v>
      </c>
      <c r="S74" s="44">
        <f t="shared" si="43"/>
        <v>1334.6750195988143</v>
      </c>
      <c r="T74" s="44">
        <f t="shared" si="44"/>
        <v>0</v>
      </c>
      <c r="U74" s="43">
        <f t="shared" ref="U74:U137" si="55">(Q74+R74-$R$6-IF(P74="PI",0,T74))*IF(Q74&gt;0,1,0)</f>
        <v>463988.48817099625</v>
      </c>
      <c r="W74" s="72" t="s">
        <v>123</v>
      </c>
      <c r="X74" s="44">
        <f t="shared" si="25"/>
        <v>416869.9858015771</v>
      </c>
      <c r="Y74" s="44">
        <f t="shared" si="49"/>
        <v>2191.5940157661539</v>
      </c>
      <c r="Z74" s="44">
        <f t="shared" si="26"/>
        <v>692.40598423384608</v>
      </c>
      <c r="AA74" s="44">
        <f t="shared" si="27"/>
        <v>0</v>
      </c>
      <c r="AB74" s="43">
        <f t="shared" ref="AB74:AB137" si="56">(X74+Y74-$Y$6-IF(W74="PI",0,AA74))*IF(X74&gt;0,1,0)</f>
        <v>416177.57981734327</v>
      </c>
      <c r="AD74" s="72" t="s">
        <v>123</v>
      </c>
      <c r="AE74" s="44">
        <f t="shared" si="28"/>
        <v>841794.30276167952</v>
      </c>
      <c r="AF74" s="44">
        <f t="shared" si="50"/>
        <v>4525.624548792448</v>
      </c>
      <c r="AG74" s="44">
        <f t="shared" si="29"/>
        <v>1516.375451207552</v>
      </c>
      <c r="AH74" s="44">
        <f t="shared" si="30"/>
        <v>0</v>
      </c>
      <c r="AI74" s="43">
        <f t="shared" ref="AI74:AI137" si="57">(AE74+AF74-$AF$6-IF(AD74="PI",0,AH74))*IF(AE74&gt;0,1,0)</f>
        <v>840277.92731047201</v>
      </c>
      <c r="AK74" s="101">
        <f t="shared" si="38"/>
        <v>2032</v>
      </c>
      <c r="AL74" s="101">
        <f t="shared" si="51"/>
        <v>12</v>
      </c>
      <c r="AM74" s="118">
        <f t="shared" si="32"/>
        <v>14626.449435435494</v>
      </c>
      <c r="AN74" s="100">
        <f t="shared" si="33"/>
        <v>13064.551239591001</v>
      </c>
      <c r="AO74" s="100">
        <f t="shared" si="34"/>
        <v>26987.632594912495</v>
      </c>
      <c r="AP74" s="100">
        <f t="shared" si="35"/>
        <v>27691.000675026495</v>
      </c>
      <c r="AQ74" s="1">
        <f t="shared" si="36"/>
        <v>39990</v>
      </c>
      <c r="AR74" s="100">
        <f t="shared" ref="AR74:AR137" si="58">N74+U74+AB74</f>
        <v>880166.06798833958</v>
      </c>
      <c r="AS74" s="100">
        <f t="shared" ref="AS74:AS137" si="59">AP74+AO74</f>
        <v>54678.63326993899</v>
      </c>
      <c r="AT74" s="100">
        <f t="shared" si="37"/>
        <v>21563.36673006101</v>
      </c>
      <c r="AU74" s="1">
        <f t="shared" ref="AU74:AU137" si="60">AS74+AT74</f>
        <v>76242</v>
      </c>
      <c r="AV74" s="100">
        <f t="shared" ref="AV74:AV137" si="61">N74+U74+AB74+AI74</f>
        <v>1720443.9952988117</v>
      </c>
    </row>
    <row r="75" spans="4:48">
      <c r="D75" s="39">
        <f t="shared" ref="D75:D138" si="62">D74+1</f>
        <v>67</v>
      </c>
      <c r="E75" s="40">
        <f t="shared" si="39"/>
        <v>2032</v>
      </c>
      <c r="F75" s="35">
        <f t="shared" si="45"/>
        <v>48243</v>
      </c>
      <c r="G75" s="36">
        <f t="shared" si="47"/>
        <v>1</v>
      </c>
      <c r="H75" s="41">
        <f t="shared" si="46"/>
        <v>31</v>
      </c>
      <c r="I75" s="37" t="s">
        <v>123</v>
      </c>
      <c r="J75" s="27">
        <f t="shared" ref="J75:J138" si="63">IF(I75="PI",IF(N74&lt;=0,0,N74),(IF(I75="IO",J74,"")))*IF(N74&lt;=0,0,1)</f>
        <v>0</v>
      </c>
      <c r="K75" s="27">
        <f t="shared" si="52"/>
        <v>0</v>
      </c>
      <c r="L75" s="27">
        <f t="shared" ref="L75:L138" si="64">IF(I75="IO",0,$K$6-K75)*IF(J75&gt;0,1,0)</f>
        <v>0</v>
      </c>
      <c r="M75" s="27">
        <f t="shared" si="53"/>
        <v>0</v>
      </c>
      <c r="N75" s="27">
        <f t="shared" si="54"/>
        <v>0</v>
      </c>
      <c r="P75" s="72" t="s">
        <v>123</v>
      </c>
      <c r="Q75" s="44">
        <f t="shared" si="42"/>
        <v>463988.48817099625</v>
      </c>
      <c r="R75" s="44">
        <f t="shared" si="48"/>
        <v>2439.3082464419854</v>
      </c>
      <c r="S75" s="44">
        <f t="shared" si="43"/>
        <v>1341.6917535580146</v>
      </c>
      <c r="T75" s="44">
        <f t="shared" si="44"/>
        <v>0</v>
      </c>
      <c r="U75" s="43">
        <f t="shared" si="55"/>
        <v>462646.79641743825</v>
      </c>
      <c r="W75" s="72" t="s">
        <v>123</v>
      </c>
      <c r="X75" s="44">
        <f t="shared" ref="X75:X138" si="65">IF(W75="PI",IF(AB74&lt;=0,0,AB74),(IF(W75="IO",X74,"")))*IF(AB74&lt;=0,0,1)</f>
        <v>416177.57981734327</v>
      </c>
      <c r="Y75" s="44">
        <f t="shared" si="49"/>
        <v>2187.9538572917809</v>
      </c>
      <c r="Z75" s="44">
        <f t="shared" ref="Z75:Z138" si="66">IF(W75="IO",0,$Y$6-Y75)*IF(X75&gt;0,1,0)</f>
        <v>696.04614270821912</v>
      </c>
      <c r="AA75" s="44">
        <f t="shared" ref="AA75:AA138" si="67">IF(W75="IO",$Y$6-Y75+IF(ISNUMBER(AA74),AA74,0),IF(ISNUMBER(AA74),AA74,0))</f>
        <v>0</v>
      </c>
      <c r="AB75" s="43">
        <f t="shared" si="56"/>
        <v>415481.53367463505</v>
      </c>
      <c r="AD75" s="72" t="s">
        <v>123</v>
      </c>
      <c r="AE75" s="44">
        <f t="shared" ref="AE75:AE138" si="68">IF(AD75="PI",IF(AI74&lt;=0,0,AI74),(IF(AD75="IO",AE74,"")))*IF(AI74&lt;=0,0,1)</f>
        <v>840277.92731047201</v>
      </c>
      <c r="AF75" s="44">
        <f t="shared" si="50"/>
        <v>4517.4722650995582</v>
      </c>
      <c r="AG75" s="44">
        <f t="shared" ref="AG75:AG138" si="69">IF(AD75="IO",0,$AF$6-AF75)*IF(AE75&gt;0,1,0)</f>
        <v>1524.5277349004418</v>
      </c>
      <c r="AH75" s="44">
        <f t="shared" ref="AH75:AH138" si="70">IF(AD75="IO",$AF$6-AF75+IF(ISNUMBER(AH74),AH74,0),IF(ISNUMBER(AH74),AH74,0))</f>
        <v>0</v>
      </c>
      <c r="AI75" s="43">
        <f t="shared" si="57"/>
        <v>838753.39957557153</v>
      </c>
      <c r="AK75" s="101">
        <f t="shared" si="38"/>
        <v>2032</v>
      </c>
      <c r="AL75" s="101">
        <f t="shared" si="51"/>
        <v>1</v>
      </c>
      <c r="AM75" s="118">
        <f t="shared" ref="AM75:AM138" si="71">IF($AK75=$AK74,R75+AM74,R75)</f>
        <v>17065.75768187748</v>
      </c>
      <c r="AN75" s="100">
        <f t="shared" ref="AN75:AN138" si="72">IF($AK75=$AK74,Y75+AN74,Y75)</f>
        <v>15252.505096882782</v>
      </c>
      <c r="AO75" s="100">
        <f t="shared" ref="AO75:AO138" si="73">IF($AK75=$AK74,AF75+AO74,AF75)</f>
        <v>31505.104860012052</v>
      </c>
      <c r="AP75" s="100">
        <f t="shared" ref="AP75:AP138" si="74">AM75+AN75</f>
        <v>32318.262778760261</v>
      </c>
      <c r="AQ75" s="1">
        <f t="shared" ref="AQ75:AQ138" si="75">IF(AK75=AK74,AQ74,0)+
IF(J75&gt;0,$K$6,0)+
IF(Q75&gt;0,$R$6,0)+
IF(X75&gt;0,$Y$6,0)</f>
        <v>46655</v>
      </c>
      <c r="AR75" s="100">
        <f t="shared" si="58"/>
        <v>878128.3300920733</v>
      </c>
      <c r="AS75" s="100">
        <f t="shared" si="59"/>
        <v>63823.36763877231</v>
      </c>
      <c r="AT75" s="100">
        <f t="shared" ref="AT75:AT138" si="76">IF(AK75=AK74,AT74,0)+
IF(J75&gt;0,L75,0)+
IF(Q75&gt;0,S75,0)+
IF(X75&gt;0,Z75,0)+
IF(AE75&gt;0,AG75,0)</f>
        <v>25125.632361227686</v>
      </c>
      <c r="AU75" s="1">
        <f t="shared" si="60"/>
        <v>88949</v>
      </c>
      <c r="AV75" s="100">
        <f t="shared" si="61"/>
        <v>1716881.7296676449</v>
      </c>
    </row>
    <row r="76" spans="4:48">
      <c r="D76" s="39">
        <f t="shared" si="62"/>
        <v>68</v>
      </c>
      <c r="E76" s="40">
        <f t="shared" si="39"/>
        <v>2032</v>
      </c>
      <c r="F76" s="35">
        <f t="shared" si="45"/>
        <v>48273</v>
      </c>
      <c r="G76" s="36">
        <f t="shared" si="47"/>
        <v>2</v>
      </c>
      <c r="H76" s="41">
        <f t="shared" si="46"/>
        <v>29</v>
      </c>
      <c r="I76" s="37" t="s">
        <v>123</v>
      </c>
      <c r="J76" s="27">
        <f t="shared" si="63"/>
        <v>0</v>
      </c>
      <c r="K76" s="27">
        <f t="shared" si="52"/>
        <v>0</v>
      </c>
      <c r="L76" s="27">
        <f t="shared" si="64"/>
        <v>0</v>
      </c>
      <c r="M76" s="27">
        <f t="shared" si="53"/>
        <v>0</v>
      </c>
      <c r="N76" s="27">
        <f t="shared" si="54"/>
        <v>0</v>
      </c>
      <c r="P76" s="72" t="s">
        <v>123</v>
      </c>
      <c r="Q76" s="44">
        <f t="shared" si="42"/>
        <v>462646.79641743825</v>
      </c>
      <c r="R76" s="44">
        <f t="shared" si="48"/>
        <v>2275.3349705450501</v>
      </c>
      <c r="S76" s="44">
        <f t="shared" si="43"/>
        <v>1505.6650294549499</v>
      </c>
      <c r="T76" s="44">
        <f t="shared" si="44"/>
        <v>0</v>
      </c>
      <c r="U76" s="43">
        <f t="shared" si="55"/>
        <v>461141.13138798327</v>
      </c>
      <c r="W76" s="72" t="s">
        <v>123</v>
      </c>
      <c r="X76" s="44">
        <f t="shared" si="65"/>
        <v>415481.53367463505</v>
      </c>
      <c r="Y76" s="44">
        <f t="shared" si="49"/>
        <v>2043.3723317790066</v>
      </c>
      <c r="Z76" s="44">
        <f t="shared" si="66"/>
        <v>840.62766822099343</v>
      </c>
      <c r="AA76" s="44">
        <f t="shared" si="67"/>
        <v>0</v>
      </c>
      <c r="AB76" s="43">
        <f t="shared" si="56"/>
        <v>414640.90600641404</v>
      </c>
      <c r="AD76" s="72" t="s">
        <v>123</v>
      </c>
      <c r="AE76" s="44">
        <f t="shared" si="68"/>
        <v>838753.39957557153</v>
      </c>
      <c r="AF76" s="44">
        <f t="shared" si="50"/>
        <v>4218.3551112352779</v>
      </c>
      <c r="AG76" s="44">
        <f t="shared" si="69"/>
        <v>1823.6448887647221</v>
      </c>
      <c r="AH76" s="44">
        <f t="shared" si="70"/>
        <v>0</v>
      </c>
      <c r="AI76" s="43">
        <f t="shared" si="57"/>
        <v>836929.75468680682</v>
      </c>
      <c r="AK76" s="101">
        <f t="shared" si="38"/>
        <v>2032</v>
      </c>
      <c r="AL76" s="101">
        <f t="shared" si="51"/>
        <v>2</v>
      </c>
      <c r="AM76" s="118">
        <f t="shared" si="71"/>
        <v>19341.092652422529</v>
      </c>
      <c r="AN76" s="100">
        <f t="shared" si="72"/>
        <v>17295.877428661788</v>
      </c>
      <c r="AO76" s="100">
        <f t="shared" si="73"/>
        <v>35723.459971247328</v>
      </c>
      <c r="AP76" s="100">
        <f t="shared" si="74"/>
        <v>36636.970081084321</v>
      </c>
      <c r="AQ76" s="1">
        <f t="shared" si="75"/>
        <v>53320</v>
      </c>
      <c r="AR76" s="100">
        <f t="shared" si="58"/>
        <v>875782.03739439731</v>
      </c>
      <c r="AS76" s="100">
        <f t="shared" si="59"/>
        <v>72360.430052331649</v>
      </c>
      <c r="AT76" s="100">
        <f t="shared" si="76"/>
        <v>29295.569947668351</v>
      </c>
      <c r="AU76" s="1">
        <f t="shared" si="60"/>
        <v>101656</v>
      </c>
      <c r="AV76" s="100">
        <f t="shared" si="61"/>
        <v>1712711.7920812042</v>
      </c>
    </row>
    <row r="77" spans="4:48">
      <c r="D77" s="39">
        <f t="shared" si="62"/>
        <v>69</v>
      </c>
      <c r="E77" s="40">
        <f t="shared" si="39"/>
        <v>2032</v>
      </c>
      <c r="F77" s="35">
        <f t="shared" si="45"/>
        <v>48303</v>
      </c>
      <c r="G77" s="36">
        <f t="shared" si="47"/>
        <v>3</v>
      </c>
      <c r="H77" s="41">
        <f t="shared" si="46"/>
        <v>31</v>
      </c>
      <c r="I77" s="37" t="s">
        <v>123</v>
      </c>
      <c r="J77" s="27">
        <f t="shared" si="63"/>
        <v>0</v>
      </c>
      <c r="K77" s="27">
        <f t="shared" si="52"/>
        <v>0</v>
      </c>
      <c r="L77" s="27">
        <f t="shared" si="64"/>
        <v>0</v>
      </c>
      <c r="M77" s="27">
        <f t="shared" si="53"/>
        <v>0</v>
      </c>
      <c r="N77" s="27">
        <f t="shared" si="54"/>
        <v>0</v>
      </c>
      <c r="P77" s="72" t="s">
        <v>123</v>
      </c>
      <c r="Q77" s="44">
        <f t="shared" si="42"/>
        <v>461141.13138798327</v>
      </c>
      <c r="R77" s="44">
        <f t="shared" si="48"/>
        <v>2424.3389507408247</v>
      </c>
      <c r="S77" s="44">
        <f t="shared" si="43"/>
        <v>1356.6610492591753</v>
      </c>
      <c r="T77" s="44">
        <f t="shared" si="44"/>
        <v>0</v>
      </c>
      <c r="U77" s="43">
        <f t="shared" si="55"/>
        <v>459784.47033872409</v>
      </c>
      <c r="W77" s="72" t="s">
        <v>123</v>
      </c>
      <c r="X77" s="44">
        <f t="shared" si="65"/>
        <v>414640.90600641404</v>
      </c>
      <c r="Y77" s="44">
        <f t="shared" si="49"/>
        <v>2179.8751631115283</v>
      </c>
      <c r="Z77" s="44">
        <f t="shared" si="66"/>
        <v>704.12483688847169</v>
      </c>
      <c r="AA77" s="44">
        <f t="shared" si="67"/>
        <v>0</v>
      </c>
      <c r="AB77" s="43">
        <f t="shared" si="56"/>
        <v>413936.78116952558</v>
      </c>
      <c r="AD77" s="72" t="s">
        <v>123</v>
      </c>
      <c r="AE77" s="44">
        <f t="shared" si="68"/>
        <v>836929.75468680682</v>
      </c>
      <c r="AF77" s="44">
        <f t="shared" si="50"/>
        <v>4499.4719386901934</v>
      </c>
      <c r="AG77" s="44">
        <f t="shared" si="69"/>
        <v>1542.5280613098066</v>
      </c>
      <c r="AH77" s="44">
        <f t="shared" si="70"/>
        <v>0</v>
      </c>
      <c r="AI77" s="43">
        <f t="shared" si="57"/>
        <v>835387.22662549699</v>
      </c>
      <c r="AK77" s="101">
        <f t="shared" si="38"/>
        <v>2032</v>
      </c>
      <c r="AL77" s="101">
        <f t="shared" si="51"/>
        <v>3</v>
      </c>
      <c r="AM77" s="118">
        <f t="shared" si="71"/>
        <v>21765.431603163353</v>
      </c>
      <c r="AN77" s="100">
        <f t="shared" si="72"/>
        <v>19475.752591773315</v>
      </c>
      <c r="AO77" s="100">
        <f t="shared" si="73"/>
        <v>40222.931909937521</v>
      </c>
      <c r="AP77" s="100">
        <f t="shared" si="74"/>
        <v>41241.184194936664</v>
      </c>
      <c r="AQ77" s="1">
        <f t="shared" si="75"/>
        <v>59985</v>
      </c>
      <c r="AR77" s="100">
        <f t="shared" si="58"/>
        <v>873721.25150824967</v>
      </c>
      <c r="AS77" s="100">
        <f t="shared" si="59"/>
        <v>81464.116104874178</v>
      </c>
      <c r="AT77" s="100">
        <f t="shared" si="76"/>
        <v>32898.883895125808</v>
      </c>
      <c r="AU77" s="1">
        <f t="shared" si="60"/>
        <v>114362.99999999999</v>
      </c>
      <c r="AV77" s="100">
        <f t="shared" si="61"/>
        <v>1709108.4781337467</v>
      </c>
    </row>
    <row r="78" spans="4:48">
      <c r="D78" s="39">
        <f t="shared" si="62"/>
        <v>70</v>
      </c>
      <c r="E78" s="40">
        <f t="shared" si="39"/>
        <v>2032</v>
      </c>
      <c r="F78" s="35">
        <f t="shared" si="45"/>
        <v>48334</v>
      </c>
      <c r="G78" s="36">
        <f t="shared" si="47"/>
        <v>4</v>
      </c>
      <c r="H78" s="41">
        <f t="shared" si="46"/>
        <v>30</v>
      </c>
      <c r="I78" s="37" t="s">
        <v>123</v>
      </c>
      <c r="J78" s="27">
        <f t="shared" si="63"/>
        <v>0</v>
      </c>
      <c r="K78" s="27">
        <f t="shared" si="52"/>
        <v>0</v>
      </c>
      <c r="L78" s="27">
        <f t="shared" si="64"/>
        <v>0</v>
      </c>
      <c r="M78" s="27">
        <f t="shared" si="53"/>
        <v>0</v>
      </c>
      <c r="N78" s="27">
        <f t="shared" si="54"/>
        <v>0</v>
      </c>
      <c r="P78" s="72" t="s">
        <v>123</v>
      </c>
      <c r="Q78" s="44">
        <f t="shared" si="42"/>
        <v>459784.47033872409</v>
      </c>
      <c r="R78" s="44">
        <f t="shared" si="48"/>
        <v>2339.2322230657824</v>
      </c>
      <c r="S78" s="44">
        <f t="shared" si="43"/>
        <v>1441.7677769342176</v>
      </c>
      <c r="T78" s="44">
        <f t="shared" si="44"/>
        <v>0</v>
      </c>
      <c r="U78" s="43">
        <f t="shared" si="55"/>
        <v>458342.70256178989</v>
      </c>
      <c r="W78" s="72" t="s">
        <v>123</v>
      </c>
      <c r="X78" s="44">
        <f t="shared" si="65"/>
        <v>413936.78116952558</v>
      </c>
      <c r="Y78" s="44">
        <f t="shared" si="49"/>
        <v>2105.9742537857778</v>
      </c>
      <c r="Z78" s="44">
        <f t="shared" si="66"/>
        <v>778.02574621422218</v>
      </c>
      <c r="AA78" s="44">
        <f t="shared" si="67"/>
        <v>0</v>
      </c>
      <c r="AB78" s="43">
        <f t="shared" si="56"/>
        <v>413158.75542331138</v>
      </c>
      <c r="AD78" s="72" t="s">
        <v>123</v>
      </c>
      <c r="AE78" s="44">
        <f t="shared" si="68"/>
        <v>835387.22662549699</v>
      </c>
      <c r="AF78" s="44">
        <f t="shared" si="50"/>
        <v>4346.302310580325</v>
      </c>
      <c r="AG78" s="44">
        <f t="shared" si="69"/>
        <v>1695.697689419675</v>
      </c>
      <c r="AH78" s="44">
        <f t="shared" si="70"/>
        <v>0</v>
      </c>
      <c r="AI78" s="43">
        <f t="shared" si="57"/>
        <v>833691.52893607726</v>
      </c>
      <c r="AK78" s="101">
        <f t="shared" si="38"/>
        <v>2032</v>
      </c>
      <c r="AL78" s="101">
        <f t="shared" si="51"/>
        <v>4</v>
      </c>
      <c r="AM78" s="118">
        <f t="shared" si="71"/>
        <v>24104.663826229134</v>
      </c>
      <c r="AN78" s="100">
        <f t="shared" si="72"/>
        <v>21581.726845559093</v>
      </c>
      <c r="AO78" s="100">
        <f t="shared" si="73"/>
        <v>44569.234220517843</v>
      </c>
      <c r="AP78" s="100">
        <f t="shared" si="74"/>
        <v>45686.390671788227</v>
      </c>
      <c r="AQ78" s="1">
        <f t="shared" si="75"/>
        <v>66650</v>
      </c>
      <c r="AR78" s="100">
        <f t="shared" si="58"/>
        <v>871501.45798510127</v>
      </c>
      <c r="AS78" s="100">
        <f t="shared" si="59"/>
        <v>90255.624892306078</v>
      </c>
      <c r="AT78" s="100">
        <f t="shared" si="76"/>
        <v>36814.37510769393</v>
      </c>
      <c r="AU78" s="1">
        <f t="shared" si="60"/>
        <v>127070</v>
      </c>
      <c r="AV78" s="100">
        <f t="shared" si="61"/>
        <v>1705192.9869211786</v>
      </c>
    </row>
    <row r="79" spans="4:48">
      <c r="D79" s="39">
        <f t="shared" si="62"/>
        <v>71</v>
      </c>
      <c r="E79" s="40">
        <f t="shared" si="39"/>
        <v>2032</v>
      </c>
      <c r="F79" s="35">
        <f t="shared" si="45"/>
        <v>48364</v>
      </c>
      <c r="G79" s="36">
        <f t="shared" si="47"/>
        <v>5</v>
      </c>
      <c r="H79" s="41">
        <f t="shared" si="46"/>
        <v>31</v>
      </c>
      <c r="I79" s="37" t="s">
        <v>123</v>
      </c>
      <c r="J79" s="27">
        <f t="shared" si="63"/>
        <v>0</v>
      </c>
      <c r="K79" s="27">
        <f t="shared" si="52"/>
        <v>0</v>
      </c>
      <c r="L79" s="27">
        <f t="shared" si="64"/>
        <v>0</v>
      </c>
      <c r="M79" s="27">
        <f t="shared" si="53"/>
        <v>0</v>
      </c>
      <c r="N79" s="27">
        <f t="shared" si="54"/>
        <v>0</v>
      </c>
      <c r="P79" s="72" t="s">
        <v>123</v>
      </c>
      <c r="Q79" s="44">
        <f t="shared" si="42"/>
        <v>458342.70256178989</v>
      </c>
      <c r="R79" s="44">
        <f t="shared" si="48"/>
        <v>2409.6268820433388</v>
      </c>
      <c r="S79" s="44">
        <f t="shared" si="43"/>
        <v>1371.3731179566612</v>
      </c>
      <c r="T79" s="44">
        <f t="shared" si="44"/>
        <v>0</v>
      </c>
      <c r="U79" s="43">
        <f t="shared" si="55"/>
        <v>456971.32944383321</v>
      </c>
      <c r="W79" s="72" t="s">
        <v>123</v>
      </c>
      <c r="X79" s="44">
        <f t="shared" si="65"/>
        <v>413158.75542331138</v>
      </c>
      <c r="Y79" s="44">
        <f t="shared" si="49"/>
        <v>2172.0831117309376</v>
      </c>
      <c r="Z79" s="44">
        <f t="shared" si="66"/>
        <v>711.91688826906238</v>
      </c>
      <c r="AA79" s="44">
        <f t="shared" si="67"/>
        <v>0</v>
      </c>
      <c r="AB79" s="43">
        <f t="shared" si="56"/>
        <v>412446.83853504231</v>
      </c>
      <c r="AD79" s="72" t="s">
        <v>123</v>
      </c>
      <c r="AE79" s="44">
        <f t="shared" si="68"/>
        <v>833691.52893607726</v>
      </c>
      <c r="AF79" s="44">
        <f t="shared" si="50"/>
        <v>4482.0627047431899</v>
      </c>
      <c r="AG79" s="44">
        <f t="shared" si="69"/>
        <v>1559.9372952568101</v>
      </c>
      <c r="AH79" s="44">
        <f t="shared" si="70"/>
        <v>0</v>
      </c>
      <c r="AI79" s="43">
        <f t="shared" si="57"/>
        <v>832131.59164082049</v>
      </c>
      <c r="AK79" s="101">
        <f t="shared" si="38"/>
        <v>2032</v>
      </c>
      <c r="AL79" s="101">
        <f t="shared" si="51"/>
        <v>5</v>
      </c>
      <c r="AM79" s="118">
        <f t="shared" si="71"/>
        <v>26514.290708272474</v>
      </c>
      <c r="AN79" s="100">
        <f t="shared" si="72"/>
        <v>23753.809957290032</v>
      </c>
      <c r="AO79" s="100">
        <f t="shared" si="73"/>
        <v>49051.296925261035</v>
      </c>
      <c r="AP79" s="100">
        <f t="shared" si="74"/>
        <v>50268.10066556251</v>
      </c>
      <c r="AQ79" s="1">
        <f t="shared" si="75"/>
        <v>73315</v>
      </c>
      <c r="AR79" s="100">
        <f t="shared" si="58"/>
        <v>869418.16797887557</v>
      </c>
      <c r="AS79" s="100">
        <f t="shared" si="59"/>
        <v>99319.397590823544</v>
      </c>
      <c r="AT79" s="100">
        <f t="shared" si="76"/>
        <v>40457.602409176463</v>
      </c>
      <c r="AU79" s="1">
        <f t="shared" si="60"/>
        <v>139777</v>
      </c>
      <c r="AV79" s="100">
        <f t="shared" si="61"/>
        <v>1701549.7596196961</v>
      </c>
    </row>
    <row r="80" spans="4:48">
      <c r="D80" s="39">
        <f t="shared" si="62"/>
        <v>72</v>
      </c>
      <c r="E80" s="40">
        <f t="shared" si="39"/>
        <v>2032</v>
      </c>
      <c r="F80" s="35">
        <f t="shared" si="45"/>
        <v>48395</v>
      </c>
      <c r="G80" s="36">
        <f t="shared" si="47"/>
        <v>6</v>
      </c>
      <c r="H80" s="41">
        <f t="shared" si="46"/>
        <v>30</v>
      </c>
      <c r="I80" s="37" t="s">
        <v>123</v>
      </c>
      <c r="J80" s="27">
        <f t="shared" si="63"/>
        <v>0</v>
      </c>
      <c r="K80" s="27">
        <f t="shared" si="52"/>
        <v>0</v>
      </c>
      <c r="L80" s="27">
        <f t="shared" si="64"/>
        <v>0</v>
      </c>
      <c r="M80" s="27">
        <f t="shared" si="53"/>
        <v>0</v>
      </c>
      <c r="N80" s="27">
        <f t="shared" si="54"/>
        <v>0</v>
      </c>
      <c r="P80" s="72" t="s">
        <v>123</v>
      </c>
      <c r="Q80" s="44">
        <f t="shared" si="42"/>
        <v>456971.32944383321</v>
      </c>
      <c r="R80" s="44">
        <f t="shared" si="48"/>
        <v>2324.919887060817</v>
      </c>
      <c r="S80" s="44">
        <f t="shared" si="43"/>
        <v>1456.080112939183</v>
      </c>
      <c r="T80" s="44">
        <f t="shared" si="44"/>
        <v>0</v>
      </c>
      <c r="U80" s="43">
        <f t="shared" si="55"/>
        <v>455515.24933089403</v>
      </c>
      <c r="W80" s="72" t="s">
        <v>123</v>
      </c>
      <c r="X80" s="44">
        <f t="shared" si="65"/>
        <v>412446.83853504231</v>
      </c>
      <c r="Y80" s="44">
        <f t="shared" si="49"/>
        <v>2098.393915505681</v>
      </c>
      <c r="Z80" s="44">
        <f t="shared" si="66"/>
        <v>785.60608449431902</v>
      </c>
      <c r="AA80" s="44">
        <f t="shared" si="67"/>
        <v>0</v>
      </c>
      <c r="AB80" s="43">
        <f t="shared" si="56"/>
        <v>411661.23245054798</v>
      </c>
      <c r="AD80" s="72" t="s">
        <v>123</v>
      </c>
      <c r="AE80" s="44">
        <f t="shared" si="68"/>
        <v>832131.59164082049</v>
      </c>
      <c r="AF80" s="44">
        <f t="shared" si="50"/>
        <v>4329.3640891121049</v>
      </c>
      <c r="AG80" s="44">
        <f t="shared" si="69"/>
        <v>1712.6359108878951</v>
      </c>
      <c r="AH80" s="44">
        <f t="shared" si="70"/>
        <v>0</v>
      </c>
      <c r="AI80" s="43">
        <f t="shared" si="57"/>
        <v>830418.95572993264</v>
      </c>
      <c r="AK80" s="101">
        <f t="shared" si="38"/>
        <v>2032</v>
      </c>
      <c r="AL80" s="101">
        <f t="shared" si="51"/>
        <v>6</v>
      </c>
      <c r="AM80" s="118">
        <f t="shared" si="71"/>
        <v>28839.21059533329</v>
      </c>
      <c r="AN80" s="100">
        <f t="shared" si="72"/>
        <v>25852.203872795712</v>
      </c>
      <c r="AO80" s="100">
        <f t="shared" si="73"/>
        <v>53380.661014373138</v>
      </c>
      <c r="AP80" s="100">
        <f t="shared" si="74"/>
        <v>54691.414468129005</v>
      </c>
      <c r="AQ80" s="1">
        <f t="shared" si="75"/>
        <v>79980</v>
      </c>
      <c r="AR80" s="100">
        <f t="shared" si="58"/>
        <v>867176.48178144195</v>
      </c>
      <c r="AS80" s="100">
        <f t="shared" si="59"/>
        <v>108072.07548250214</v>
      </c>
      <c r="AT80" s="100">
        <f t="shared" si="76"/>
        <v>44411.924517497864</v>
      </c>
      <c r="AU80" s="1">
        <f t="shared" si="60"/>
        <v>152484</v>
      </c>
      <c r="AV80" s="100">
        <f t="shared" si="61"/>
        <v>1697595.4375113747</v>
      </c>
    </row>
    <row r="81" spans="4:48">
      <c r="D81" s="39">
        <f t="shared" si="62"/>
        <v>73</v>
      </c>
      <c r="E81" s="40">
        <f t="shared" si="39"/>
        <v>2033</v>
      </c>
      <c r="F81" s="35">
        <f t="shared" si="45"/>
        <v>48425</v>
      </c>
      <c r="G81" s="36">
        <f t="shared" si="47"/>
        <v>7</v>
      </c>
      <c r="H81" s="41">
        <f t="shared" si="46"/>
        <v>31</v>
      </c>
      <c r="I81" s="37" t="s">
        <v>123</v>
      </c>
      <c r="J81" s="27">
        <f t="shared" si="63"/>
        <v>0</v>
      </c>
      <c r="K81" s="27">
        <f t="shared" si="52"/>
        <v>0</v>
      </c>
      <c r="L81" s="27">
        <f t="shared" si="64"/>
        <v>0</v>
      </c>
      <c r="M81" s="27">
        <f t="shared" si="53"/>
        <v>0</v>
      </c>
      <c r="N81" s="27">
        <f t="shared" si="54"/>
        <v>0</v>
      </c>
      <c r="P81" s="72" t="s">
        <v>123</v>
      </c>
      <c r="Q81" s="44">
        <f t="shared" si="42"/>
        <v>455515.24933089403</v>
      </c>
      <c r="R81" s="44">
        <f t="shared" si="48"/>
        <v>2394.7622244960339</v>
      </c>
      <c r="S81" s="44">
        <f t="shared" si="43"/>
        <v>1386.2377755039661</v>
      </c>
      <c r="T81" s="44">
        <f t="shared" si="44"/>
        <v>0</v>
      </c>
      <c r="U81" s="43">
        <f t="shared" si="55"/>
        <v>454129.01155539008</v>
      </c>
      <c r="W81" s="72" t="s">
        <v>123</v>
      </c>
      <c r="X81" s="44">
        <f t="shared" si="65"/>
        <v>411661.23245054798</v>
      </c>
      <c r="Y81" s="44">
        <f t="shared" si="49"/>
        <v>2164.2102436968671</v>
      </c>
      <c r="Z81" s="44">
        <f t="shared" si="66"/>
        <v>719.78975630313289</v>
      </c>
      <c r="AA81" s="44">
        <f t="shared" si="67"/>
        <v>0</v>
      </c>
      <c r="AB81" s="43">
        <f t="shared" si="56"/>
        <v>410941.44269424485</v>
      </c>
      <c r="AD81" s="72" t="s">
        <v>123</v>
      </c>
      <c r="AE81" s="44">
        <f t="shared" si="68"/>
        <v>830418.95572993264</v>
      </c>
      <c r="AF81" s="44">
        <f t="shared" si="50"/>
        <v>4464.4688132297179</v>
      </c>
      <c r="AG81" s="44">
        <f t="shared" si="69"/>
        <v>1577.5311867702821</v>
      </c>
      <c r="AH81" s="44">
        <f t="shared" si="70"/>
        <v>0</v>
      </c>
      <c r="AI81" s="43">
        <f t="shared" si="57"/>
        <v>828841.42454316234</v>
      </c>
      <c r="AK81" s="101">
        <f t="shared" si="38"/>
        <v>2033</v>
      </c>
      <c r="AL81" s="101">
        <f t="shared" si="51"/>
        <v>7</v>
      </c>
      <c r="AM81" s="118">
        <f t="shared" si="71"/>
        <v>2394.7622244960339</v>
      </c>
      <c r="AN81" s="100">
        <f t="shared" si="72"/>
        <v>2164.2102436968671</v>
      </c>
      <c r="AO81" s="100">
        <f t="shared" si="73"/>
        <v>4464.4688132297179</v>
      </c>
      <c r="AP81" s="100">
        <f t="shared" si="74"/>
        <v>4558.972468192901</v>
      </c>
      <c r="AQ81" s="1">
        <f t="shared" si="75"/>
        <v>6665</v>
      </c>
      <c r="AR81" s="100">
        <f t="shared" si="58"/>
        <v>865070.45424963487</v>
      </c>
      <c r="AS81" s="100">
        <f t="shared" si="59"/>
        <v>9023.4412814226198</v>
      </c>
      <c r="AT81" s="100">
        <f t="shared" si="76"/>
        <v>3683.5587185773811</v>
      </c>
      <c r="AU81" s="1">
        <f t="shared" si="60"/>
        <v>12707</v>
      </c>
      <c r="AV81" s="100">
        <f t="shared" si="61"/>
        <v>1693911.8787927972</v>
      </c>
    </row>
    <row r="82" spans="4:48">
      <c r="D82" s="39">
        <f t="shared" si="62"/>
        <v>74</v>
      </c>
      <c r="E82" s="40">
        <f t="shared" si="39"/>
        <v>2033</v>
      </c>
      <c r="F82" s="35">
        <f t="shared" si="45"/>
        <v>48456</v>
      </c>
      <c r="G82" s="36">
        <f t="shared" si="47"/>
        <v>8</v>
      </c>
      <c r="H82" s="41">
        <f t="shared" si="46"/>
        <v>31</v>
      </c>
      <c r="I82" s="37" t="s">
        <v>123</v>
      </c>
      <c r="J82" s="27">
        <f t="shared" si="63"/>
        <v>0</v>
      </c>
      <c r="K82" s="27">
        <f t="shared" si="52"/>
        <v>0</v>
      </c>
      <c r="L82" s="27">
        <f t="shared" si="64"/>
        <v>0</v>
      </c>
      <c r="M82" s="27">
        <f t="shared" si="53"/>
        <v>0</v>
      </c>
      <c r="N82" s="27">
        <f t="shared" si="54"/>
        <v>0</v>
      </c>
      <c r="P82" s="72" t="s">
        <v>123</v>
      </c>
      <c r="Q82" s="44">
        <f t="shared" si="42"/>
        <v>454129.01155539008</v>
      </c>
      <c r="R82" s="44">
        <f t="shared" si="48"/>
        <v>2387.4744117085975</v>
      </c>
      <c r="S82" s="44">
        <f t="shared" si="43"/>
        <v>1393.5255882914025</v>
      </c>
      <c r="T82" s="44">
        <f t="shared" si="44"/>
        <v>0</v>
      </c>
      <c r="U82" s="43">
        <f t="shared" si="55"/>
        <v>452735.48596709868</v>
      </c>
      <c r="W82" s="72" t="s">
        <v>123</v>
      </c>
      <c r="X82" s="44">
        <f t="shared" si="65"/>
        <v>410941.44269424485</v>
      </c>
      <c r="Y82" s="44">
        <f t="shared" si="49"/>
        <v>2160.4261216054424</v>
      </c>
      <c r="Z82" s="44">
        <f t="shared" si="66"/>
        <v>723.5738783945576</v>
      </c>
      <c r="AA82" s="44">
        <f t="shared" si="67"/>
        <v>0</v>
      </c>
      <c r="AB82" s="43">
        <f t="shared" si="56"/>
        <v>410217.86881585029</v>
      </c>
      <c r="AD82" s="72" t="s">
        <v>123</v>
      </c>
      <c r="AE82" s="44">
        <f t="shared" si="68"/>
        <v>828841.42454316234</v>
      </c>
      <c r="AF82" s="44">
        <f t="shared" si="50"/>
        <v>4455.9877462494451</v>
      </c>
      <c r="AG82" s="44">
        <f t="shared" si="69"/>
        <v>1586.0122537505549</v>
      </c>
      <c r="AH82" s="44">
        <f t="shared" si="70"/>
        <v>0</v>
      </c>
      <c r="AI82" s="43">
        <f t="shared" si="57"/>
        <v>827255.41228941176</v>
      </c>
      <c r="AK82" s="101">
        <f t="shared" si="38"/>
        <v>2033</v>
      </c>
      <c r="AL82" s="101">
        <f t="shared" si="51"/>
        <v>8</v>
      </c>
      <c r="AM82" s="118">
        <f t="shared" si="71"/>
        <v>4782.2366362046314</v>
      </c>
      <c r="AN82" s="100">
        <f t="shared" si="72"/>
        <v>4324.6363653023091</v>
      </c>
      <c r="AO82" s="100">
        <f t="shared" si="73"/>
        <v>8920.4565594791638</v>
      </c>
      <c r="AP82" s="100">
        <f t="shared" si="74"/>
        <v>9106.8730015069414</v>
      </c>
      <c r="AQ82" s="1">
        <f t="shared" si="75"/>
        <v>13330</v>
      </c>
      <c r="AR82" s="100">
        <f t="shared" si="58"/>
        <v>862953.35478294897</v>
      </c>
      <c r="AS82" s="100">
        <f t="shared" si="59"/>
        <v>18027.329560986105</v>
      </c>
      <c r="AT82" s="100">
        <f t="shared" si="76"/>
        <v>7386.6704390138957</v>
      </c>
      <c r="AU82" s="1">
        <f t="shared" si="60"/>
        <v>25414</v>
      </c>
      <c r="AV82" s="100">
        <f t="shared" si="61"/>
        <v>1690208.7670723607</v>
      </c>
    </row>
    <row r="83" spans="4:48">
      <c r="D83" s="39">
        <f t="shared" si="62"/>
        <v>75</v>
      </c>
      <c r="E83" s="40">
        <f t="shared" si="39"/>
        <v>2033</v>
      </c>
      <c r="F83" s="35">
        <f t="shared" si="45"/>
        <v>48487</v>
      </c>
      <c r="G83" s="36">
        <f t="shared" si="47"/>
        <v>9</v>
      </c>
      <c r="H83" s="41">
        <f t="shared" si="46"/>
        <v>30</v>
      </c>
      <c r="I83" s="37" t="s">
        <v>123</v>
      </c>
      <c r="J83" s="27">
        <f t="shared" si="63"/>
        <v>0</v>
      </c>
      <c r="K83" s="27">
        <f t="shared" si="52"/>
        <v>0</v>
      </c>
      <c r="L83" s="27">
        <f t="shared" si="64"/>
        <v>0</v>
      </c>
      <c r="M83" s="27">
        <f t="shared" si="53"/>
        <v>0</v>
      </c>
      <c r="N83" s="27">
        <f t="shared" si="54"/>
        <v>0</v>
      </c>
      <c r="P83" s="72" t="s">
        <v>123</v>
      </c>
      <c r="Q83" s="44">
        <f t="shared" si="42"/>
        <v>452735.48596709868</v>
      </c>
      <c r="R83" s="44">
        <f t="shared" si="48"/>
        <v>2303.3693080572666</v>
      </c>
      <c r="S83" s="44">
        <f t="shared" si="43"/>
        <v>1477.6306919427334</v>
      </c>
      <c r="T83" s="44">
        <f t="shared" si="44"/>
        <v>0</v>
      </c>
      <c r="U83" s="43">
        <f t="shared" si="55"/>
        <v>451257.85527515592</v>
      </c>
      <c r="W83" s="72" t="s">
        <v>123</v>
      </c>
      <c r="X83" s="44">
        <f t="shared" si="65"/>
        <v>410217.86881585029</v>
      </c>
      <c r="Y83" s="44">
        <f t="shared" si="49"/>
        <v>2087.0536503863941</v>
      </c>
      <c r="Z83" s="44">
        <f t="shared" si="66"/>
        <v>796.94634961360589</v>
      </c>
      <c r="AA83" s="44">
        <f t="shared" si="67"/>
        <v>0</v>
      </c>
      <c r="AB83" s="43">
        <f t="shared" si="56"/>
        <v>409420.92246623669</v>
      </c>
      <c r="AD83" s="72" t="s">
        <v>123</v>
      </c>
      <c r="AE83" s="44">
        <f t="shared" si="68"/>
        <v>827255.41228941176</v>
      </c>
      <c r="AF83" s="44">
        <f t="shared" si="50"/>
        <v>4303.994597089295</v>
      </c>
      <c r="AG83" s="44">
        <f t="shared" si="69"/>
        <v>1738.005402910705</v>
      </c>
      <c r="AH83" s="44">
        <f t="shared" si="70"/>
        <v>0</v>
      </c>
      <c r="AI83" s="43">
        <f t="shared" si="57"/>
        <v>825517.406886501</v>
      </c>
      <c r="AK83" s="101">
        <f t="shared" si="38"/>
        <v>2033</v>
      </c>
      <c r="AL83" s="101">
        <f t="shared" si="51"/>
        <v>9</v>
      </c>
      <c r="AM83" s="118">
        <f t="shared" si="71"/>
        <v>7085.605944261898</v>
      </c>
      <c r="AN83" s="100">
        <f t="shared" si="72"/>
        <v>6411.6900156887032</v>
      </c>
      <c r="AO83" s="100">
        <f t="shared" si="73"/>
        <v>13224.451156568459</v>
      </c>
      <c r="AP83" s="100">
        <f t="shared" si="74"/>
        <v>13497.295959950601</v>
      </c>
      <c r="AQ83" s="1">
        <f t="shared" si="75"/>
        <v>19995</v>
      </c>
      <c r="AR83" s="100">
        <f t="shared" si="58"/>
        <v>860678.77774139261</v>
      </c>
      <c r="AS83" s="100">
        <f t="shared" si="59"/>
        <v>26721.747116519058</v>
      </c>
      <c r="AT83" s="100">
        <f t="shared" si="76"/>
        <v>11399.252883480938</v>
      </c>
      <c r="AU83" s="1">
        <f t="shared" si="60"/>
        <v>38121</v>
      </c>
      <c r="AV83" s="100">
        <f t="shared" si="61"/>
        <v>1686196.1846278936</v>
      </c>
    </row>
    <row r="84" spans="4:48">
      <c r="D84" s="39">
        <f t="shared" si="62"/>
        <v>76</v>
      </c>
      <c r="E84" s="40">
        <f t="shared" si="39"/>
        <v>2033</v>
      </c>
      <c r="F84" s="35">
        <f t="shared" si="45"/>
        <v>48517</v>
      </c>
      <c r="G84" s="36">
        <f t="shared" si="47"/>
        <v>10</v>
      </c>
      <c r="H84" s="41">
        <f t="shared" si="46"/>
        <v>31</v>
      </c>
      <c r="I84" s="37" t="s">
        <v>123</v>
      </c>
      <c r="J84" s="27">
        <f t="shared" si="63"/>
        <v>0</v>
      </c>
      <c r="K84" s="27">
        <f t="shared" si="52"/>
        <v>0</v>
      </c>
      <c r="L84" s="27">
        <f t="shared" si="64"/>
        <v>0</v>
      </c>
      <c r="M84" s="27">
        <f t="shared" si="53"/>
        <v>0</v>
      </c>
      <c r="N84" s="27">
        <f t="shared" si="54"/>
        <v>0</v>
      </c>
      <c r="P84" s="72" t="s">
        <v>123</v>
      </c>
      <c r="Q84" s="44">
        <f t="shared" si="42"/>
        <v>451257.85527515592</v>
      </c>
      <c r="R84" s="44">
        <f t="shared" si="48"/>
        <v>2372.3799958561553</v>
      </c>
      <c r="S84" s="44">
        <f t="shared" si="43"/>
        <v>1408.6200041438447</v>
      </c>
      <c r="T84" s="44">
        <f t="shared" si="44"/>
        <v>0</v>
      </c>
      <c r="U84" s="43">
        <f t="shared" si="55"/>
        <v>449849.23527101206</v>
      </c>
      <c r="W84" s="72" t="s">
        <v>123</v>
      </c>
      <c r="X84" s="44">
        <f t="shared" si="65"/>
        <v>409420.92246623669</v>
      </c>
      <c r="Y84" s="44">
        <f t="shared" si="49"/>
        <v>2152.4323510149629</v>
      </c>
      <c r="Z84" s="44">
        <f t="shared" si="66"/>
        <v>731.56764898503707</v>
      </c>
      <c r="AA84" s="44">
        <f t="shared" si="67"/>
        <v>0</v>
      </c>
      <c r="AB84" s="43">
        <f t="shared" si="56"/>
        <v>408689.35481725167</v>
      </c>
      <c r="AD84" s="72" t="s">
        <v>123</v>
      </c>
      <c r="AE84" s="44">
        <f t="shared" si="68"/>
        <v>825517.406886501</v>
      </c>
      <c r="AF84" s="44">
        <f t="shared" si="50"/>
        <v>4438.1172809133723</v>
      </c>
      <c r="AG84" s="44">
        <f t="shared" si="69"/>
        <v>1603.8827190866277</v>
      </c>
      <c r="AH84" s="44">
        <f t="shared" si="70"/>
        <v>0</v>
      </c>
      <c r="AI84" s="43">
        <f t="shared" si="57"/>
        <v>823913.52416741441</v>
      </c>
      <c r="AK84" s="101">
        <f t="shared" si="38"/>
        <v>2033</v>
      </c>
      <c r="AL84" s="101">
        <f t="shared" si="51"/>
        <v>10</v>
      </c>
      <c r="AM84" s="118">
        <f t="shared" si="71"/>
        <v>9457.9859401180529</v>
      </c>
      <c r="AN84" s="100">
        <f t="shared" si="72"/>
        <v>8564.1223667036666</v>
      </c>
      <c r="AO84" s="100">
        <f t="shared" si="73"/>
        <v>17662.56843748183</v>
      </c>
      <c r="AP84" s="100">
        <f t="shared" si="74"/>
        <v>18022.108306821719</v>
      </c>
      <c r="AQ84" s="1">
        <f t="shared" si="75"/>
        <v>26660</v>
      </c>
      <c r="AR84" s="100">
        <f t="shared" si="58"/>
        <v>858538.59008826374</v>
      </c>
      <c r="AS84" s="100">
        <f t="shared" si="59"/>
        <v>35684.67674430355</v>
      </c>
      <c r="AT84" s="100">
        <f t="shared" si="76"/>
        <v>15143.323255696447</v>
      </c>
      <c r="AU84" s="1">
        <f t="shared" si="60"/>
        <v>50828</v>
      </c>
      <c r="AV84" s="100">
        <f t="shared" si="61"/>
        <v>1682452.1142556781</v>
      </c>
    </row>
    <row r="85" spans="4:48">
      <c r="D85" s="39">
        <f t="shared" si="62"/>
        <v>77</v>
      </c>
      <c r="E85" s="40">
        <f t="shared" si="39"/>
        <v>2033</v>
      </c>
      <c r="F85" s="35">
        <f t="shared" si="45"/>
        <v>48548</v>
      </c>
      <c r="G85" s="36">
        <f t="shared" si="47"/>
        <v>11</v>
      </c>
      <c r="H85" s="41">
        <f t="shared" si="46"/>
        <v>30</v>
      </c>
      <c r="I85" s="37" t="s">
        <v>123</v>
      </c>
      <c r="J85" s="27">
        <f t="shared" si="63"/>
        <v>0</v>
      </c>
      <c r="K85" s="27">
        <f t="shared" si="52"/>
        <v>0</v>
      </c>
      <c r="L85" s="27">
        <f t="shared" si="64"/>
        <v>0</v>
      </c>
      <c r="M85" s="27">
        <f t="shared" si="53"/>
        <v>0</v>
      </c>
      <c r="N85" s="27">
        <f t="shared" si="54"/>
        <v>0</v>
      </c>
      <c r="P85" s="72" t="s">
        <v>123</v>
      </c>
      <c r="Q85" s="44">
        <f t="shared" si="42"/>
        <v>449849.23527101206</v>
      </c>
      <c r="R85" s="44">
        <f t="shared" si="48"/>
        <v>2288.6850134199162</v>
      </c>
      <c r="S85" s="44">
        <f t="shared" si="43"/>
        <v>1492.3149865800838</v>
      </c>
      <c r="T85" s="44">
        <f t="shared" si="44"/>
        <v>0</v>
      </c>
      <c r="U85" s="43">
        <f t="shared" si="55"/>
        <v>448356.92028443195</v>
      </c>
      <c r="W85" s="72" t="s">
        <v>123</v>
      </c>
      <c r="X85" s="44">
        <f t="shared" si="65"/>
        <v>408689.35481725167</v>
      </c>
      <c r="Y85" s="44">
        <f t="shared" si="49"/>
        <v>2079.2770736866751</v>
      </c>
      <c r="Z85" s="44">
        <f t="shared" si="66"/>
        <v>804.72292631332493</v>
      </c>
      <c r="AA85" s="44">
        <f t="shared" si="67"/>
        <v>0</v>
      </c>
      <c r="AB85" s="43">
        <f t="shared" si="56"/>
        <v>407884.63189093833</v>
      </c>
      <c r="AD85" s="72" t="s">
        <v>123</v>
      </c>
      <c r="AE85" s="44">
        <f t="shared" si="68"/>
        <v>823913.52416741441</v>
      </c>
      <c r="AF85" s="44">
        <f t="shared" si="50"/>
        <v>4286.6076229970404</v>
      </c>
      <c r="AG85" s="44">
        <f t="shared" si="69"/>
        <v>1755.3923770029596</v>
      </c>
      <c r="AH85" s="44">
        <f t="shared" si="70"/>
        <v>0</v>
      </c>
      <c r="AI85" s="43">
        <f t="shared" si="57"/>
        <v>822158.13179041143</v>
      </c>
      <c r="AK85" s="101">
        <f t="shared" si="38"/>
        <v>2033</v>
      </c>
      <c r="AL85" s="101">
        <f t="shared" si="51"/>
        <v>11</v>
      </c>
      <c r="AM85" s="118">
        <f t="shared" si="71"/>
        <v>11746.670953537969</v>
      </c>
      <c r="AN85" s="100">
        <f t="shared" si="72"/>
        <v>10643.399440390342</v>
      </c>
      <c r="AO85" s="100">
        <f t="shared" si="73"/>
        <v>21949.176060478872</v>
      </c>
      <c r="AP85" s="100">
        <f t="shared" si="74"/>
        <v>22390.070393928312</v>
      </c>
      <c r="AQ85" s="1">
        <f t="shared" si="75"/>
        <v>33325</v>
      </c>
      <c r="AR85" s="100">
        <f t="shared" si="58"/>
        <v>856241.55217537028</v>
      </c>
      <c r="AS85" s="100">
        <f t="shared" si="59"/>
        <v>44339.246454407185</v>
      </c>
      <c r="AT85" s="100">
        <f t="shared" si="76"/>
        <v>19195.753545592815</v>
      </c>
      <c r="AU85" s="1">
        <f t="shared" si="60"/>
        <v>63535</v>
      </c>
      <c r="AV85" s="100">
        <f t="shared" si="61"/>
        <v>1678399.6839657817</v>
      </c>
    </row>
    <row r="86" spans="4:48">
      <c r="D86" s="39">
        <f t="shared" si="62"/>
        <v>78</v>
      </c>
      <c r="E86" s="40">
        <f t="shared" si="39"/>
        <v>2033</v>
      </c>
      <c r="F86" s="35">
        <f t="shared" si="45"/>
        <v>48578</v>
      </c>
      <c r="G86" s="36">
        <f t="shared" si="47"/>
        <v>12</v>
      </c>
      <c r="H86" s="41">
        <f t="shared" si="46"/>
        <v>31</v>
      </c>
      <c r="I86" s="37" t="s">
        <v>123</v>
      </c>
      <c r="J86" s="27">
        <f t="shared" si="63"/>
        <v>0</v>
      </c>
      <c r="K86" s="27">
        <f t="shared" si="52"/>
        <v>0</v>
      </c>
      <c r="L86" s="27">
        <f t="shared" si="64"/>
        <v>0</v>
      </c>
      <c r="M86" s="27">
        <f t="shared" si="53"/>
        <v>0</v>
      </c>
      <c r="N86" s="27">
        <f t="shared" si="54"/>
        <v>0</v>
      </c>
      <c r="P86" s="72" t="s">
        <v>123</v>
      </c>
      <c r="Q86" s="44">
        <f t="shared" si="42"/>
        <v>448356.92028443195</v>
      </c>
      <c r="R86" s="44">
        <f t="shared" si="48"/>
        <v>2357.1290255720451</v>
      </c>
      <c r="S86" s="44">
        <f t="shared" si="43"/>
        <v>1423.8709744279549</v>
      </c>
      <c r="T86" s="44">
        <f t="shared" si="44"/>
        <v>0</v>
      </c>
      <c r="U86" s="43">
        <f t="shared" si="55"/>
        <v>446933.04931000399</v>
      </c>
      <c r="W86" s="72" t="s">
        <v>123</v>
      </c>
      <c r="X86" s="44">
        <f t="shared" si="65"/>
        <v>407884.63189093833</v>
      </c>
      <c r="Y86" s="44">
        <f t="shared" si="49"/>
        <v>2144.3556716041685</v>
      </c>
      <c r="Z86" s="44">
        <f t="shared" si="66"/>
        <v>739.64432839583151</v>
      </c>
      <c r="AA86" s="44">
        <f t="shared" si="67"/>
        <v>0</v>
      </c>
      <c r="AB86" s="43">
        <f t="shared" si="56"/>
        <v>407144.98756254249</v>
      </c>
      <c r="AD86" s="72" t="s">
        <v>123</v>
      </c>
      <c r="AE86" s="44">
        <f t="shared" si="68"/>
        <v>822158.13179041143</v>
      </c>
      <c r="AF86" s="44">
        <f t="shared" si="50"/>
        <v>4420.0572657871899</v>
      </c>
      <c r="AG86" s="44">
        <f t="shared" si="69"/>
        <v>1621.9427342128101</v>
      </c>
      <c r="AH86" s="44">
        <f t="shared" si="70"/>
        <v>0</v>
      </c>
      <c r="AI86" s="43">
        <f t="shared" si="57"/>
        <v>820536.18905619858</v>
      </c>
      <c r="AK86" s="101">
        <f t="shared" si="38"/>
        <v>2033</v>
      </c>
      <c r="AL86" s="101">
        <f t="shared" si="51"/>
        <v>12</v>
      </c>
      <c r="AM86" s="118">
        <f t="shared" si="71"/>
        <v>14103.799979110014</v>
      </c>
      <c r="AN86" s="100">
        <f t="shared" si="72"/>
        <v>12787.755111994509</v>
      </c>
      <c r="AO86" s="100">
        <f t="shared" si="73"/>
        <v>26369.233326266061</v>
      </c>
      <c r="AP86" s="100">
        <f t="shared" si="74"/>
        <v>26891.555091104521</v>
      </c>
      <c r="AQ86" s="1">
        <f t="shared" si="75"/>
        <v>39990</v>
      </c>
      <c r="AR86" s="100">
        <f t="shared" si="58"/>
        <v>854078.03687254642</v>
      </c>
      <c r="AS86" s="100">
        <f t="shared" si="59"/>
        <v>53260.788417370582</v>
      </c>
      <c r="AT86" s="100">
        <f t="shared" si="76"/>
        <v>22981.211582629414</v>
      </c>
      <c r="AU86" s="1">
        <f t="shared" si="60"/>
        <v>76242</v>
      </c>
      <c r="AV86" s="100">
        <f t="shared" si="61"/>
        <v>1674614.225928745</v>
      </c>
    </row>
    <row r="87" spans="4:48">
      <c r="D87" s="39">
        <f t="shared" si="62"/>
        <v>79</v>
      </c>
      <c r="E87" s="40">
        <f t="shared" si="39"/>
        <v>2033</v>
      </c>
      <c r="F87" s="35">
        <f t="shared" si="45"/>
        <v>48609</v>
      </c>
      <c r="G87" s="36">
        <f t="shared" si="47"/>
        <v>1</v>
      </c>
      <c r="H87" s="41">
        <f t="shared" si="46"/>
        <v>31</v>
      </c>
      <c r="I87" s="37" t="s">
        <v>123</v>
      </c>
      <c r="J87" s="27">
        <f t="shared" si="63"/>
        <v>0</v>
      </c>
      <c r="K87" s="27">
        <f t="shared" si="52"/>
        <v>0</v>
      </c>
      <c r="L87" s="27">
        <f t="shared" si="64"/>
        <v>0</v>
      </c>
      <c r="M87" s="27">
        <f t="shared" si="53"/>
        <v>0</v>
      </c>
      <c r="N87" s="27">
        <f t="shared" si="54"/>
        <v>0</v>
      </c>
      <c r="P87" s="72" t="s">
        <v>123</v>
      </c>
      <c r="Q87" s="44">
        <f t="shared" si="42"/>
        <v>446933.04931000399</v>
      </c>
      <c r="R87" s="44">
        <f t="shared" si="48"/>
        <v>2349.6433652629221</v>
      </c>
      <c r="S87" s="44">
        <f t="shared" si="43"/>
        <v>1431.3566347370779</v>
      </c>
      <c r="T87" s="44">
        <f t="shared" si="44"/>
        <v>0</v>
      </c>
      <c r="U87" s="43">
        <f t="shared" si="55"/>
        <v>445501.69267526694</v>
      </c>
      <c r="W87" s="72" t="s">
        <v>123</v>
      </c>
      <c r="X87" s="44">
        <f t="shared" si="65"/>
        <v>407144.98756254249</v>
      </c>
      <c r="Y87" s="44">
        <f t="shared" si="49"/>
        <v>2140.4671688596241</v>
      </c>
      <c r="Z87" s="44">
        <f t="shared" si="66"/>
        <v>743.53283114037595</v>
      </c>
      <c r="AA87" s="44">
        <f t="shared" si="67"/>
        <v>0</v>
      </c>
      <c r="AB87" s="43">
        <f t="shared" si="56"/>
        <v>406401.4547314021</v>
      </c>
      <c r="AD87" s="72" t="s">
        <v>123</v>
      </c>
      <c r="AE87" s="44">
        <f t="shared" si="68"/>
        <v>820536.18905619858</v>
      </c>
      <c r="AF87" s="44">
        <f t="shared" si="50"/>
        <v>4411.337435027338</v>
      </c>
      <c r="AG87" s="44">
        <f t="shared" si="69"/>
        <v>1630.662564972662</v>
      </c>
      <c r="AH87" s="44">
        <f t="shared" si="70"/>
        <v>0</v>
      </c>
      <c r="AI87" s="43">
        <f t="shared" si="57"/>
        <v>818905.52649122593</v>
      </c>
      <c r="AK87" s="101">
        <f t="shared" ref="AK87:AK150" si="77">E87</f>
        <v>2033</v>
      </c>
      <c r="AL87" s="101">
        <f t="shared" si="51"/>
        <v>1</v>
      </c>
      <c r="AM87" s="118">
        <f t="shared" si="71"/>
        <v>16453.443344372936</v>
      </c>
      <c r="AN87" s="100">
        <f t="shared" si="72"/>
        <v>14928.222280854134</v>
      </c>
      <c r="AO87" s="100">
        <f t="shared" si="73"/>
        <v>30780.570761293398</v>
      </c>
      <c r="AP87" s="100">
        <f t="shared" si="74"/>
        <v>31381.66562522707</v>
      </c>
      <c r="AQ87" s="1">
        <f t="shared" si="75"/>
        <v>46655</v>
      </c>
      <c r="AR87" s="100">
        <f t="shared" si="58"/>
        <v>851903.1474066691</v>
      </c>
      <c r="AS87" s="100">
        <f t="shared" si="59"/>
        <v>62162.236386520468</v>
      </c>
      <c r="AT87" s="100">
        <f t="shared" si="76"/>
        <v>26786.763613479528</v>
      </c>
      <c r="AU87" s="1">
        <f t="shared" si="60"/>
        <v>88949</v>
      </c>
      <c r="AV87" s="100">
        <f t="shared" si="61"/>
        <v>1670808.673897895</v>
      </c>
    </row>
    <row r="88" spans="4:48">
      <c r="D88" s="39">
        <f t="shared" si="62"/>
        <v>80</v>
      </c>
      <c r="E88" s="40">
        <f t="shared" si="39"/>
        <v>2033</v>
      </c>
      <c r="F88" s="35">
        <f t="shared" si="45"/>
        <v>48638</v>
      </c>
      <c r="G88" s="36">
        <f t="shared" si="47"/>
        <v>2</v>
      </c>
      <c r="H88" s="41">
        <f t="shared" si="46"/>
        <v>28</v>
      </c>
      <c r="I88" s="37" t="s">
        <v>123</v>
      </c>
      <c r="J88" s="27">
        <f t="shared" si="63"/>
        <v>0</v>
      </c>
      <c r="K88" s="27">
        <f t="shared" si="52"/>
        <v>0</v>
      </c>
      <c r="L88" s="27">
        <f t="shared" si="64"/>
        <v>0</v>
      </c>
      <c r="M88" s="27">
        <f t="shared" si="53"/>
        <v>0</v>
      </c>
      <c r="N88" s="27">
        <f t="shared" si="54"/>
        <v>0</v>
      </c>
      <c r="P88" s="72" t="s">
        <v>123</v>
      </c>
      <c r="Q88" s="44">
        <f t="shared" si="42"/>
        <v>445501.69267526694</v>
      </c>
      <c r="R88" s="44">
        <f t="shared" si="48"/>
        <v>2115.4617362870481</v>
      </c>
      <c r="S88" s="44">
        <f t="shared" si="43"/>
        <v>1665.5382637129519</v>
      </c>
      <c r="T88" s="44">
        <f t="shared" si="44"/>
        <v>0</v>
      </c>
      <c r="U88" s="43">
        <f t="shared" si="55"/>
        <v>443836.15441155399</v>
      </c>
      <c r="W88" s="72" t="s">
        <v>123</v>
      </c>
      <c r="X88" s="44">
        <f t="shared" si="65"/>
        <v>406401.4547314021</v>
      </c>
      <c r="Y88" s="44">
        <f t="shared" si="49"/>
        <v>1929.7945242204551</v>
      </c>
      <c r="Z88" s="44">
        <f t="shared" si="66"/>
        <v>954.20547577954494</v>
      </c>
      <c r="AA88" s="44">
        <f t="shared" si="67"/>
        <v>0</v>
      </c>
      <c r="AB88" s="43">
        <f t="shared" si="56"/>
        <v>405447.24925562256</v>
      </c>
      <c r="AD88" s="72" t="s">
        <v>123</v>
      </c>
      <c r="AE88" s="44">
        <f t="shared" si="68"/>
        <v>818905.52649122593</v>
      </c>
      <c r="AF88" s="44">
        <f t="shared" si="50"/>
        <v>3976.5154935699961</v>
      </c>
      <c r="AG88" s="44">
        <f t="shared" si="69"/>
        <v>2065.4845064300039</v>
      </c>
      <c r="AH88" s="44">
        <f t="shared" si="70"/>
        <v>0</v>
      </c>
      <c r="AI88" s="43">
        <f t="shared" si="57"/>
        <v>816840.04198479594</v>
      </c>
      <c r="AK88" s="101">
        <f t="shared" si="77"/>
        <v>2033</v>
      </c>
      <c r="AL88" s="101">
        <f t="shared" si="51"/>
        <v>2</v>
      </c>
      <c r="AM88" s="118">
        <f t="shared" si="71"/>
        <v>18568.905080659984</v>
      </c>
      <c r="AN88" s="100">
        <f t="shared" si="72"/>
        <v>16858.016805074589</v>
      </c>
      <c r="AO88" s="100">
        <f t="shared" si="73"/>
        <v>34757.086254863396</v>
      </c>
      <c r="AP88" s="100">
        <f t="shared" si="74"/>
        <v>35426.92188573457</v>
      </c>
      <c r="AQ88" s="1">
        <f t="shared" si="75"/>
        <v>53320</v>
      </c>
      <c r="AR88" s="100">
        <f t="shared" si="58"/>
        <v>849283.40366717661</v>
      </c>
      <c r="AS88" s="100">
        <f t="shared" si="59"/>
        <v>70184.008140597958</v>
      </c>
      <c r="AT88" s="100">
        <f t="shared" si="76"/>
        <v>31471.991859402027</v>
      </c>
      <c r="AU88" s="1">
        <f t="shared" si="60"/>
        <v>101655.99999999999</v>
      </c>
      <c r="AV88" s="100">
        <f t="shared" si="61"/>
        <v>1666123.4456519727</v>
      </c>
    </row>
    <row r="89" spans="4:48">
      <c r="D89" s="39">
        <f t="shared" si="62"/>
        <v>81</v>
      </c>
      <c r="E89" s="40">
        <f t="shared" si="39"/>
        <v>2033</v>
      </c>
      <c r="F89" s="35">
        <f t="shared" si="45"/>
        <v>48668</v>
      </c>
      <c r="G89" s="36">
        <f t="shared" si="47"/>
        <v>3</v>
      </c>
      <c r="H89" s="41">
        <f t="shared" si="46"/>
        <v>31</v>
      </c>
      <c r="I89" s="37" t="s">
        <v>123</v>
      </c>
      <c r="J89" s="27">
        <f t="shared" si="63"/>
        <v>0</v>
      </c>
      <c r="K89" s="27">
        <f t="shared" si="52"/>
        <v>0</v>
      </c>
      <c r="L89" s="27">
        <f t="shared" si="64"/>
        <v>0</v>
      </c>
      <c r="M89" s="27">
        <f t="shared" si="53"/>
        <v>0</v>
      </c>
      <c r="N89" s="27">
        <f t="shared" si="54"/>
        <v>0</v>
      </c>
      <c r="P89" s="72" t="s">
        <v>123</v>
      </c>
      <c r="Q89" s="44">
        <f t="shared" si="42"/>
        <v>443836.15441155399</v>
      </c>
      <c r="R89" s="44">
        <f t="shared" si="48"/>
        <v>2333.3621827406323</v>
      </c>
      <c r="S89" s="44">
        <f t="shared" si="43"/>
        <v>1447.6378172593677</v>
      </c>
      <c r="T89" s="44">
        <f t="shared" si="44"/>
        <v>0</v>
      </c>
      <c r="U89" s="43">
        <f t="shared" si="55"/>
        <v>442388.51659429463</v>
      </c>
      <c r="W89" s="72" t="s">
        <v>123</v>
      </c>
      <c r="X89" s="44">
        <f t="shared" si="65"/>
        <v>405447.24925562256</v>
      </c>
      <c r="Y89" s="44">
        <f t="shared" si="49"/>
        <v>2131.5417167030523</v>
      </c>
      <c r="Z89" s="44">
        <f t="shared" si="66"/>
        <v>752.45828329694768</v>
      </c>
      <c r="AA89" s="44">
        <f t="shared" si="67"/>
        <v>0</v>
      </c>
      <c r="AB89" s="43">
        <f t="shared" si="56"/>
        <v>404694.7909723256</v>
      </c>
      <c r="AD89" s="72" t="s">
        <v>123</v>
      </c>
      <c r="AE89" s="44">
        <f t="shared" si="68"/>
        <v>816840.04198479594</v>
      </c>
      <c r="AF89" s="44">
        <f t="shared" si="50"/>
        <v>4391.4663407856569</v>
      </c>
      <c r="AG89" s="44">
        <f t="shared" si="69"/>
        <v>1650.5336592143431</v>
      </c>
      <c r="AH89" s="44">
        <f t="shared" si="70"/>
        <v>0</v>
      </c>
      <c r="AI89" s="43">
        <f t="shared" si="57"/>
        <v>815189.50832558156</v>
      </c>
      <c r="AK89" s="101">
        <f t="shared" si="77"/>
        <v>2033</v>
      </c>
      <c r="AL89" s="101">
        <f t="shared" si="51"/>
        <v>3</v>
      </c>
      <c r="AM89" s="118">
        <f t="shared" si="71"/>
        <v>20902.267263400616</v>
      </c>
      <c r="AN89" s="100">
        <f t="shared" si="72"/>
        <v>18989.558521777642</v>
      </c>
      <c r="AO89" s="100">
        <f t="shared" si="73"/>
        <v>39148.552595649053</v>
      </c>
      <c r="AP89" s="100">
        <f t="shared" si="74"/>
        <v>39891.825785178255</v>
      </c>
      <c r="AQ89" s="1">
        <f t="shared" si="75"/>
        <v>59985</v>
      </c>
      <c r="AR89" s="100">
        <f t="shared" si="58"/>
        <v>847083.30756662018</v>
      </c>
      <c r="AS89" s="100">
        <f t="shared" si="59"/>
        <v>79040.378380827315</v>
      </c>
      <c r="AT89" s="100">
        <f t="shared" si="76"/>
        <v>35322.621619172685</v>
      </c>
      <c r="AU89" s="1">
        <f t="shared" si="60"/>
        <v>114363</v>
      </c>
      <c r="AV89" s="100">
        <f t="shared" si="61"/>
        <v>1662272.8158922018</v>
      </c>
    </row>
    <row r="90" spans="4:48">
      <c r="D90" s="39">
        <f t="shared" si="62"/>
        <v>82</v>
      </c>
      <c r="E90" s="40">
        <f t="shared" si="39"/>
        <v>2033</v>
      </c>
      <c r="F90" s="35">
        <f t="shared" si="45"/>
        <v>48699</v>
      </c>
      <c r="G90" s="36">
        <f t="shared" si="47"/>
        <v>4</v>
      </c>
      <c r="H90" s="41">
        <f t="shared" si="46"/>
        <v>30</v>
      </c>
      <c r="I90" s="37" t="s">
        <v>123</v>
      </c>
      <c r="J90" s="27">
        <f t="shared" si="63"/>
        <v>0</v>
      </c>
      <c r="K90" s="27">
        <f t="shared" si="52"/>
        <v>0</v>
      </c>
      <c r="L90" s="27">
        <f t="shared" si="64"/>
        <v>0</v>
      </c>
      <c r="M90" s="27">
        <f t="shared" si="53"/>
        <v>0</v>
      </c>
      <c r="N90" s="27">
        <f t="shared" si="54"/>
        <v>0</v>
      </c>
      <c r="P90" s="72" t="s">
        <v>123</v>
      </c>
      <c r="Q90" s="44">
        <f t="shared" si="42"/>
        <v>442388.51659429463</v>
      </c>
      <c r="R90" s="44">
        <f t="shared" si="48"/>
        <v>2250.7273296317949</v>
      </c>
      <c r="S90" s="44">
        <f t="shared" si="43"/>
        <v>1530.2726703682051</v>
      </c>
      <c r="T90" s="44">
        <f t="shared" si="44"/>
        <v>0</v>
      </c>
      <c r="U90" s="43">
        <f t="shared" si="55"/>
        <v>440858.24392392643</v>
      </c>
      <c r="W90" s="72" t="s">
        <v>123</v>
      </c>
      <c r="X90" s="44">
        <f t="shared" si="65"/>
        <v>404694.7909723256</v>
      </c>
      <c r="Y90" s="44">
        <f t="shared" si="49"/>
        <v>2058.9540461249553</v>
      </c>
      <c r="Z90" s="44">
        <f t="shared" si="66"/>
        <v>825.04595387504469</v>
      </c>
      <c r="AA90" s="44">
        <f t="shared" si="67"/>
        <v>0</v>
      </c>
      <c r="AB90" s="43">
        <f t="shared" si="56"/>
        <v>403869.74501845054</v>
      </c>
      <c r="AD90" s="72" t="s">
        <v>123</v>
      </c>
      <c r="AE90" s="44">
        <f t="shared" si="68"/>
        <v>815189.50832558156</v>
      </c>
      <c r="AF90" s="44">
        <f t="shared" si="50"/>
        <v>4241.2188392062444</v>
      </c>
      <c r="AG90" s="44">
        <f t="shared" si="69"/>
        <v>1800.7811607937556</v>
      </c>
      <c r="AH90" s="44">
        <f t="shared" si="70"/>
        <v>0</v>
      </c>
      <c r="AI90" s="43">
        <f t="shared" si="57"/>
        <v>813388.72716478782</v>
      </c>
      <c r="AK90" s="101">
        <f t="shared" si="77"/>
        <v>2033</v>
      </c>
      <c r="AL90" s="101">
        <f t="shared" si="51"/>
        <v>4</v>
      </c>
      <c r="AM90" s="118">
        <f t="shared" si="71"/>
        <v>23152.99459303241</v>
      </c>
      <c r="AN90" s="100">
        <f t="shared" si="72"/>
        <v>21048.512567902599</v>
      </c>
      <c r="AO90" s="100">
        <f t="shared" si="73"/>
        <v>43389.771434855298</v>
      </c>
      <c r="AP90" s="100">
        <f t="shared" si="74"/>
        <v>44201.507160935013</v>
      </c>
      <c r="AQ90" s="1">
        <f t="shared" si="75"/>
        <v>66650</v>
      </c>
      <c r="AR90" s="100">
        <f t="shared" si="58"/>
        <v>844727.98894237704</v>
      </c>
      <c r="AS90" s="100">
        <f t="shared" si="59"/>
        <v>87591.278595790311</v>
      </c>
      <c r="AT90" s="100">
        <f t="shared" si="76"/>
        <v>39478.721404209689</v>
      </c>
      <c r="AU90" s="1">
        <f t="shared" si="60"/>
        <v>127070</v>
      </c>
      <c r="AV90" s="100">
        <f t="shared" si="61"/>
        <v>1658116.716107165</v>
      </c>
    </row>
    <row r="91" spans="4:48">
      <c r="D91" s="39">
        <f t="shared" si="62"/>
        <v>83</v>
      </c>
      <c r="E91" s="40">
        <f t="shared" si="39"/>
        <v>2033</v>
      </c>
      <c r="F91" s="35">
        <f t="shared" si="45"/>
        <v>48729</v>
      </c>
      <c r="G91" s="36">
        <f t="shared" si="47"/>
        <v>5</v>
      </c>
      <c r="H91" s="41">
        <f t="shared" si="46"/>
        <v>31</v>
      </c>
      <c r="I91" s="37" t="s">
        <v>123</v>
      </c>
      <c r="J91" s="27">
        <f t="shared" si="63"/>
        <v>0</v>
      </c>
      <c r="K91" s="27">
        <f t="shared" si="52"/>
        <v>0</v>
      </c>
      <c r="L91" s="27">
        <f t="shared" si="64"/>
        <v>0</v>
      </c>
      <c r="M91" s="27">
        <f t="shared" si="53"/>
        <v>0</v>
      </c>
      <c r="N91" s="27">
        <f t="shared" si="54"/>
        <v>0</v>
      </c>
      <c r="P91" s="72" t="s">
        <v>123</v>
      </c>
      <c r="Q91" s="44">
        <f t="shared" si="42"/>
        <v>440858.24392392643</v>
      </c>
      <c r="R91" s="44">
        <f t="shared" si="48"/>
        <v>2317.706532234582</v>
      </c>
      <c r="S91" s="44">
        <f t="shared" si="43"/>
        <v>1463.293467765418</v>
      </c>
      <c r="T91" s="44">
        <f t="shared" si="44"/>
        <v>0</v>
      </c>
      <c r="U91" s="43">
        <f t="shared" si="55"/>
        <v>439394.95045616099</v>
      </c>
      <c r="W91" s="72" t="s">
        <v>123</v>
      </c>
      <c r="X91" s="44">
        <f t="shared" si="65"/>
        <v>403869.74501845054</v>
      </c>
      <c r="Y91" s="44">
        <f t="shared" si="49"/>
        <v>2123.2483663449443</v>
      </c>
      <c r="Z91" s="44">
        <f t="shared" si="66"/>
        <v>760.75163365505568</v>
      </c>
      <c r="AA91" s="44">
        <f t="shared" si="67"/>
        <v>0</v>
      </c>
      <c r="AB91" s="43">
        <f t="shared" si="56"/>
        <v>403108.9933847955</v>
      </c>
      <c r="AD91" s="72" t="s">
        <v>123</v>
      </c>
      <c r="AE91" s="44">
        <f t="shared" si="68"/>
        <v>813388.72716478782</v>
      </c>
      <c r="AF91" s="44">
        <f t="shared" si="50"/>
        <v>4372.9115049738712</v>
      </c>
      <c r="AG91" s="44">
        <f t="shared" si="69"/>
        <v>1669.0884950261288</v>
      </c>
      <c r="AH91" s="44">
        <f t="shared" si="70"/>
        <v>0</v>
      </c>
      <c r="AI91" s="43">
        <f t="shared" si="57"/>
        <v>811719.63866976171</v>
      </c>
      <c r="AK91" s="101">
        <f t="shared" si="77"/>
        <v>2033</v>
      </c>
      <c r="AL91" s="101">
        <f t="shared" si="51"/>
        <v>5</v>
      </c>
      <c r="AM91" s="118">
        <f t="shared" si="71"/>
        <v>25470.701125266991</v>
      </c>
      <c r="AN91" s="100">
        <f t="shared" si="72"/>
        <v>23171.760934247544</v>
      </c>
      <c r="AO91" s="100">
        <f t="shared" si="73"/>
        <v>47762.682939829167</v>
      </c>
      <c r="AP91" s="100">
        <f t="shared" si="74"/>
        <v>48642.462059514539</v>
      </c>
      <c r="AQ91" s="1">
        <f t="shared" si="75"/>
        <v>73315</v>
      </c>
      <c r="AR91" s="100">
        <f t="shared" si="58"/>
        <v>842503.94384095655</v>
      </c>
      <c r="AS91" s="100">
        <f t="shared" si="59"/>
        <v>96405.144999343698</v>
      </c>
      <c r="AT91" s="100">
        <f t="shared" si="76"/>
        <v>43371.855000656295</v>
      </c>
      <c r="AU91" s="1">
        <f t="shared" si="60"/>
        <v>139777</v>
      </c>
      <c r="AV91" s="100">
        <f t="shared" si="61"/>
        <v>1654223.5825107181</v>
      </c>
    </row>
    <row r="92" spans="4:48">
      <c r="D92" s="39">
        <f t="shared" si="62"/>
        <v>84</v>
      </c>
      <c r="E92" s="40">
        <f t="shared" si="39"/>
        <v>2033</v>
      </c>
      <c r="F92" s="35">
        <f t="shared" si="45"/>
        <v>48760</v>
      </c>
      <c r="G92" s="36">
        <f t="shared" si="47"/>
        <v>6</v>
      </c>
      <c r="H92" s="41">
        <f t="shared" si="46"/>
        <v>30</v>
      </c>
      <c r="I92" s="37" t="s">
        <v>123</v>
      </c>
      <c r="J92" s="27">
        <f t="shared" si="63"/>
        <v>0</v>
      </c>
      <c r="K92" s="27">
        <f t="shared" si="52"/>
        <v>0</v>
      </c>
      <c r="L92" s="27">
        <f t="shared" si="64"/>
        <v>0</v>
      </c>
      <c r="M92" s="27">
        <f t="shared" si="53"/>
        <v>0</v>
      </c>
      <c r="N92" s="27">
        <f t="shared" si="54"/>
        <v>0</v>
      </c>
      <c r="P92" s="72" t="s">
        <v>123</v>
      </c>
      <c r="Q92" s="44">
        <f t="shared" si="42"/>
        <v>439394.95045616099</v>
      </c>
      <c r="R92" s="44">
        <f t="shared" si="48"/>
        <v>2235.4970493070982</v>
      </c>
      <c r="S92" s="44">
        <f t="shared" si="43"/>
        <v>1545.5029506929018</v>
      </c>
      <c r="T92" s="44">
        <f t="shared" si="44"/>
        <v>0</v>
      </c>
      <c r="U92" s="43">
        <f t="shared" si="55"/>
        <v>437849.4475054681</v>
      </c>
      <c r="W92" s="72" t="s">
        <v>123</v>
      </c>
      <c r="X92" s="44">
        <f t="shared" si="65"/>
        <v>403108.9933847955</v>
      </c>
      <c r="Y92" s="44">
        <f t="shared" si="49"/>
        <v>2050.8860293577127</v>
      </c>
      <c r="Z92" s="44">
        <f t="shared" si="66"/>
        <v>833.11397064228731</v>
      </c>
      <c r="AA92" s="44">
        <f t="shared" si="67"/>
        <v>0</v>
      </c>
      <c r="AB92" s="43">
        <f t="shared" si="56"/>
        <v>402275.87941415323</v>
      </c>
      <c r="AD92" s="72" t="s">
        <v>123</v>
      </c>
      <c r="AE92" s="44">
        <f t="shared" si="68"/>
        <v>811719.63866976171</v>
      </c>
      <c r="AF92" s="44">
        <f t="shared" si="50"/>
        <v>4223.1660105037736</v>
      </c>
      <c r="AG92" s="44">
        <f t="shared" si="69"/>
        <v>1818.8339894962264</v>
      </c>
      <c r="AH92" s="44">
        <f t="shared" si="70"/>
        <v>0</v>
      </c>
      <c r="AI92" s="43">
        <f t="shared" si="57"/>
        <v>809900.80468026549</v>
      </c>
      <c r="AK92" s="101">
        <f t="shared" si="77"/>
        <v>2033</v>
      </c>
      <c r="AL92" s="101">
        <f t="shared" si="51"/>
        <v>6</v>
      </c>
      <c r="AM92" s="118">
        <f t="shared" si="71"/>
        <v>27706.198174574089</v>
      </c>
      <c r="AN92" s="100">
        <f t="shared" si="72"/>
        <v>25222.646963605257</v>
      </c>
      <c r="AO92" s="100">
        <f t="shared" si="73"/>
        <v>51985.84895033294</v>
      </c>
      <c r="AP92" s="100">
        <f t="shared" si="74"/>
        <v>52928.845138179342</v>
      </c>
      <c r="AQ92" s="1">
        <f t="shared" si="75"/>
        <v>79980</v>
      </c>
      <c r="AR92" s="100">
        <f t="shared" si="58"/>
        <v>840125.32691962132</v>
      </c>
      <c r="AS92" s="100">
        <f t="shared" si="59"/>
        <v>104914.69408851227</v>
      </c>
      <c r="AT92" s="100">
        <f t="shared" si="76"/>
        <v>47569.305911487711</v>
      </c>
      <c r="AU92" s="1">
        <f t="shared" si="60"/>
        <v>152484</v>
      </c>
      <c r="AV92" s="100">
        <f t="shared" si="61"/>
        <v>1650026.1315998868</v>
      </c>
    </row>
    <row r="93" spans="4:48">
      <c r="D93" s="39">
        <f t="shared" si="62"/>
        <v>85</v>
      </c>
      <c r="E93" s="40">
        <f t="shared" si="39"/>
        <v>2034</v>
      </c>
      <c r="F93" s="35">
        <f t="shared" si="45"/>
        <v>48790</v>
      </c>
      <c r="G93" s="36">
        <f t="shared" si="47"/>
        <v>7</v>
      </c>
      <c r="H93" s="41">
        <f t="shared" si="46"/>
        <v>31</v>
      </c>
      <c r="I93" s="37" t="s">
        <v>123</v>
      </c>
      <c r="J93" s="27">
        <f t="shared" si="63"/>
        <v>0</v>
      </c>
      <c r="K93" s="27">
        <f t="shared" si="52"/>
        <v>0</v>
      </c>
      <c r="L93" s="27">
        <f t="shared" si="64"/>
        <v>0</v>
      </c>
      <c r="M93" s="27">
        <f t="shared" si="53"/>
        <v>0</v>
      </c>
      <c r="N93" s="27">
        <f t="shared" si="54"/>
        <v>0</v>
      </c>
      <c r="P93" s="72" t="s">
        <v>123</v>
      </c>
      <c r="Q93" s="44">
        <f t="shared" si="42"/>
        <v>437849.4475054681</v>
      </c>
      <c r="R93" s="44">
        <f t="shared" si="48"/>
        <v>2301.8885063513499</v>
      </c>
      <c r="S93" s="44">
        <f t="shared" si="43"/>
        <v>1479.1114936486501</v>
      </c>
      <c r="T93" s="44">
        <f t="shared" si="44"/>
        <v>0</v>
      </c>
      <c r="U93" s="43">
        <f t="shared" si="55"/>
        <v>436370.33601181943</v>
      </c>
      <c r="W93" s="72" t="s">
        <v>123</v>
      </c>
      <c r="X93" s="44">
        <f t="shared" si="65"/>
        <v>402275.87941415323</v>
      </c>
      <c r="Y93" s="44">
        <f t="shared" si="49"/>
        <v>2114.869000021421</v>
      </c>
      <c r="Z93" s="44">
        <f t="shared" si="66"/>
        <v>769.13099997857898</v>
      </c>
      <c r="AA93" s="44">
        <f t="shared" si="67"/>
        <v>0</v>
      </c>
      <c r="AB93" s="43">
        <f t="shared" si="56"/>
        <v>401506.74841417465</v>
      </c>
      <c r="AD93" s="72" t="s">
        <v>123</v>
      </c>
      <c r="AE93" s="44">
        <f t="shared" si="68"/>
        <v>809900.80468026549</v>
      </c>
      <c r="AF93" s="44">
        <f t="shared" si="50"/>
        <v>4354.1598603399589</v>
      </c>
      <c r="AG93" s="44">
        <f t="shared" si="69"/>
        <v>1687.8401396600411</v>
      </c>
      <c r="AH93" s="44">
        <f t="shared" si="70"/>
        <v>0</v>
      </c>
      <c r="AI93" s="43">
        <f t="shared" si="57"/>
        <v>808212.96454060543</v>
      </c>
      <c r="AK93" s="101">
        <f t="shared" si="77"/>
        <v>2034</v>
      </c>
      <c r="AL93" s="101">
        <f t="shared" si="51"/>
        <v>7</v>
      </c>
      <c r="AM93" s="118">
        <f t="shared" si="71"/>
        <v>2301.8885063513499</v>
      </c>
      <c r="AN93" s="100">
        <f t="shared" si="72"/>
        <v>2114.869000021421</v>
      </c>
      <c r="AO93" s="100">
        <f t="shared" si="73"/>
        <v>4354.1598603399589</v>
      </c>
      <c r="AP93" s="100">
        <f t="shared" si="74"/>
        <v>4416.7575063727709</v>
      </c>
      <c r="AQ93" s="1">
        <f t="shared" si="75"/>
        <v>6665</v>
      </c>
      <c r="AR93" s="100">
        <f t="shared" si="58"/>
        <v>837877.08442599408</v>
      </c>
      <c r="AS93" s="100">
        <f t="shared" si="59"/>
        <v>8770.9173667127288</v>
      </c>
      <c r="AT93" s="100">
        <f t="shared" si="76"/>
        <v>3936.0826332872703</v>
      </c>
      <c r="AU93" s="1">
        <f t="shared" si="60"/>
        <v>12707</v>
      </c>
      <c r="AV93" s="100">
        <f t="shared" si="61"/>
        <v>1646090.0489665996</v>
      </c>
    </row>
    <row r="94" spans="4:48">
      <c r="D94" s="39">
        <f t="shared" si="62"/>
        <v>86</v>
      </c>
      <c r="E94" s="40">
        <f t="shared" si="39"/>
        <v>2034</v>
      </c>
      <c r="F94" s="35">
        <f t="shared" si="45"/>
        <v>48821</v>
      </c>
      <c r="G94" s="36">
        <f t="shared" si="47"/>
        <v>8</v>
      </c>
      <c r="H94" s="41">
        <f t="shared" si="46"/>
        <v>31</v>
      </c>
      <c r="I94" s="37" t="s">
        <v>123</v>
      </c>
      <c r="J94" s="27">
        <f t="shared" si="63"/>
        <v>0</v>
      </c>
      <c r="K94" s="27">
        <f t="shared" si="52"/>
        <v>0</v>
      </c>
      <c r="L94" s="27">
        <f t="shared" si="64"/>
        <v>0</v>
      </c>
      <c r="M94" s="27">
        <f t="shared" si="53"/>
        <v>0</v>
      </c>
      <c r="N94" s="27">
        <f t="shared" si="54"/>
        <v>0</v>
      </c>
      <c r="P94" s="72" t="s">
        <v>123</v>
      </c>
      <c r="Q94" s="44">
        <f t="shared" si="42"/>
        <v>436370.33601181943</v>
      </c>
      <c r="R94" s="44">
        <f t="shared" si="48"/>
        <v>2294.1124322550145</v>
      </c>
      <c r="S94" s="44">
        <f t="shared" si="43"/>
        <v>1486.8875677449855</v>
      </c>
      <c r="T94" s="44">
        <f t="shared" si="44"/>
        <v>0</v>
      </c>
      <c r="U94" s="43">
        <f t="shared" si="55"/>
        <v>434883.44844407443</v>
      </c>
      <c r="W94" s="72" t="s">
        <v>123</v>
      </c>
      <c r="X94" s="44">
        <f t="shared" si="65"/>
        <v>401506.74841417465</v>
      </c>
      <c r="Y94" s="44">
        <f t="shared" si="49"/>
        <v>2110.8254781697524</v>
      </c>
      <c r="Z94" s="44">
        <f t="shared" si="66"/>
        <v>773.17452183024761</v>
      </c>
      <c r="AA94" s="44">
        <f t="shared" si="67"/>
        <v>0</v>
      </c>
      <c r="AB94" s="43">
        <f t="shared" si="56"/>
        <v>400733.57389234443</v>
      </c>
      <c r="AD94" s="72" t="s">
        <v>123</v>
      </c>
      <c r="AE94" s="44">
        <f t="shared" si="68"/>
        <v>808212.96454060543</v>
      </c>
      <c r="AF94" s="44">
        <f t="shared" si="50"/>
        <v>4345.085754295972</v>
      </c>
      <c r="AG94" s="44">
        <f t="shared" si="69"/>
        <v>1696.914245704028</v>
      </c>
      <c r="AH94" s="44">
        <f t="shared" si="70"/>
        <v>0</v>
      </c>
      <c r="AI94" s="43">
        <f t="shared" si="57"/>
        <v>806516.05029490136</v>
      </c>
      <c r="AK94" s="101">
        <f t="shared" si="77"/>
        <v>2034</v>
      </c>
      <c r="AL94" s="101">
        <f t="shared" si="51"/>
        <v>8</v>
      </c>
      <c r="AM94" s="118">
        <f t="shared" si="71"/>
        <v>4596.0009386063648</v>
      </c>
      <c r="AN94" s="100">
        <f t="shared" si="72"/>
        <v>4225.6944781911734</v>
      </c>
      <c r="AO94" s="100">
        <f t="shared" si="73"/>
        <v>8699.2456146359309</v>
      </c>
      <c r="AP94" s="100">
        <f t="shared" si="74"/>
        <v>8821.6954167975382</v>
      </c>
      <c r="AQ94" s="1">
        <f t="shared" si="75"/>
        <v>13330</v>
      </c>
      <c r="AR94" s="100">
        <f t="shared" si="58"/>
        <v>835617.02233641886</v>
      </c>
      <c r="AS94" s="100">
        <f t="shared" si="59"/>
        <v>17520.941031433467</v>
      </c>
      <c r="AT94" s="100">
        <f t="shared" si="76"/>
        <v>7893.0589685665318</v>
      </c>
      <c r="AU94" s="1">
        <f t="shared" si="60"/>
        <v>25414</v>
      </c>
      <c r="AV94" s="100">
        <f t="shared" si="61"/>
        <v>1642133.0726313202</v>
      </c>
    </row>
    <row r="95" spans="4:48">
      <c r="D95" s="39">
        <f t="shared" si="62"/>
        <v>87</v>
      </c>
      <c r="E95" s="40">
        <f t="shared" si="39"/>
        <v>2034</v>
      </c>
      <c r="F95" s="35">
        <f t="shared" si="45"/>
        <v>48852</v>
      </c>
      <c r="G95" s="36">
        <f t="shared" si="47"/>
        <v>9</v>
      </c>
      <c r="H95" s="41">
        <f t="shared" si="46"/>
        <v>30</v>
      </c>
      <c r="I95" s="37" t="s">
        <v>123</v>
      </c>
      <c r="J95" s="27">
        <f t="shared" si="63"/>
        <v>0</v>
      </c>
      <c r="K95" s="27">
        <f t="shared" si="52"/>
        <v>0</v>
      </c>
      <c r="L95" s="27">
        <f t="shared" si="64"/>
        <v>0</v>
      </c>
      <c r="M95" s="27">
        <f t="shared" si="53"/>
        <v>0</v>
      </c>
      <c r="N95" s="27">
        <f t="shared" si="54"/>
        <v>0</v>
      </c>
      <c r="P95" s="72" t="s">
        <v>123</v>
      </c>
      <c r="Q95" s="44">
        <f t="shared" si="42"/>
        <v>434883.44844407443</v>
      </c>
      <c r="R95" s="44">
        <f t="shared" si="48"/>
        <v>2212.5440103031401</v>
      </c>
      <c r="S95" s="44">
        <f t="shared" si="43"/>
        <v>1568.4559896968599</v>
      </c>
      <c r="T95" s="44">
        <f t="shared" si="44"/>
        <v>0</v>
      </c>
      <c r="U95" s="43">
        <f t="shared" si="55"/>
        <v>433314.99245437759</v>
      </c>
      <c r="W95" s="72" t="s">
        <v>123</v>
      </c>
      <c r="X95" s="44">
        <f t="shared" si="65"/>
        <v>400733.57389234443</v>
      </c>
      <c r="Y95" s="44">
        <f t="shared" si="49"/>
        <v>2038.800675939955</v>
      </c>
      <c r="Z95" s="44">
        <f t="shared" si="66"/>
        <v>845.199324060045</v>
      </c>
      <c r="AA95" s="44">
        <f t="shared" si="67"/>
        <v>0</v>
      </c>
      <c r="AB95" s="43">
        <f t="shared" si="56"/>
        <v>399888.37456828437</v>
      </c>
      <c r="AD95" s="72" t="s">
        <v>123</v>
      </c>
      <c r="AE95" s="44">
        <f t="shared" si="68"/>
        <v>806516.05029490136</v>
      </c>
      <c r="AF95" s="44">
        <f t="shared" si="50"/>
        <v>4196.0930945479931</v>
      </c>
      <c r="AG95" s="44">
        <f t="shared" si="69"/>
        <v>1845.9069054520069</v>
      </c>
      <c r="AH95" s="44">
        <f t="shared" si="70"/>
        <v>0</v>
      </c>
      <c r="AI95" s="43">
        <f t="shared" si="57"/>
        <v>804670.14338944934</v>
      </c>
      <c r="AK95" s="101">
        <f t="shared" si="77"/>
        <v>2034</v>
      </c>
      <c r="AL95" s="101">
        <f t="shared" si="51"/>
        <v>9</v>
      </c>
      <c r="AM95" s="118">
        <f t="shared" si="71"/>
        <v>6808.5449489095045</v>
      </c>
      <c r="AN95" s="100">
        <f t="shared" si="72"/>
        <v>6264.4951541311284</v>
      </c>
      <c r="AO95" s="100">
        <f t="shared" si="73"/>
        <v>12895.338709183925</v>
      </c>
      <c r="AP95" s="100">
        <f t="shared" si="74"/>
        <v>13073.040103040632</v>
      </c>
      <c r="AQ95" s="1">
        <f t="shared" si="75"/>
        <v>19995</v>
      </c>
      <c r="AR95" s="100">
        <f t="shared" si="58"/>
        <v>833203.36702266196</v>
      </c>
      <c r="AS95" s="100">
        <f t="shared" si="59"/>
        <v>25968.378812224557</v>
      </c>
      <c r="AT95" s="100">
        <f t="shared" si="76"/>
        <v>12152.621187775443</v>
      </c>
      <c r="AU95" s="1">
        <f t="shared" si="60"/>
        <v>38121</v>
      </c>
      <c r="AV95" s="100">
        <f t="shared" si="61"/>
        <v>1637873.5104121114</v>
      </c>
    </row>
    <row r="96" spans="4:48">
      <c r="D96" s="39">
        <f t="shared" si="62"/>
        <v>88</v>
      </c>
      <c r="E96" s="40">
        <f t="shared" si="39"/>
        <v>2034</v>
      </c>
      <c r="F96" s="35">
        <f t="shared" si="45"/>
        <v>48882</v>
      </c>
      <c r="G96" s="36">
        <f t="shared" si="47"/>
        <v>10</v>
      </c>
      <c r="H96" s="41">
        <f t="shared" si="46"/>
        <v>31</v>
      </c>
      <c r="I96" s="37" t="s">
        <v>123</v>
      </c>
      <c r="J96" s="27">
        <f t="shared" si="63"/>
        <v>0</v>
      </c>
      <c r="K96" s="27">
        <f t="shared" si="52"/>
        <v>0</v>
      </c>
      <c r="L96" s="27">
        <f t="shared" si="64"/>
        <v>0</v>
      </c>
      <c r="M96" s="27">
        <f t="shared" si="53"/>
        <v>0</v>
      </c>
      <c r="N96" s="27">
        <f t="shared" si="54"/>
        <v>0</v>
      </c>
      <c r="P96" s="72" t="s">
        <v>123</v>
      </c>
      <c r="Q96" s="44">
        <f t="shared" si="42"/>
        <v>433314.99245437759</v>
      </c>
      <c r="R96" s="44">
        <f t="shared" si="48"/>
        <v>2278.0496959471375</v>
      </c>
      <c r="S96" s="44">
        <f t="shared" si="43"/>
        <v>1502.9503040528625</v>
      </c>
      <c r="T96" s="44">
        <f t="shared" si="44"/>
        <v>0</v>
      </c>
      <c r="U96" s="43">
        <f t="shared" si="55"/>
        <v>431812.04215032473</v>
      </c>
      <c r="W96" s="72" t="s">
        <v>123</v>
      </c>
      <c r="X96" s="44">
        <f t="shared" si="65"/>
        <v>399888.37456828437</v>
      </c>
      <c r="Y96" s="44">
        <f t="shared" si="49"/>
        <v>2102.3172656413176</v>
      </c>
      <c r="Z96" s="44">
        <f t="shared" si="66"/>
        <v>781.68273435868241</v>
      </c>
      <c r="AA96" s="44">
        <f t="shared" si="67"/>
        <v>0</v>
      </c>
      <c r="AB96" s="43">
        <f t="shared" si="56"/>
        <v>399106.69183392567</v>
      </c>
      <c r="AD96" s="72" t="s">
        <v>123</v>
      </c>
      <c r="AE96" s="44">
        <f t="shared" si="68"/>
        <v>804670.14338944934</v>
      </c>
      <c r="AF96" s="44">
        <f t="shared" si="50"/>
        <v>4326.038965405799</v>
      </c>
      <c r="AG96" s="44">
        <f t="shared" si="69"/>
        <v>1715.961034594201</v>
      </c>
      <c r="AH96" s="44">
        <f t="shared" si="70"/>
        <v>0</v>
      </c>
      <c r="AI96" s="43">
        <f t="shared" si="57"/>
        <v>802954.18235485512</v>
      </c>
      <c r="AK96" s="101">
        <f t="shared" si="77"/>
        <v>2034</v>
      </c>
      <c r="AL96" s="101">
        <f t="shared" si="51"/>
        <v>10</v>
      </c>
      <c r="AM96" s="118">
        <f t="shared" si="71"/>
        <v>9086.5946448566428</v>
      </c>
      <c r="AN96" s="100">
        <f t="shared" si="72"/>
        <v>8366.8124197724464</v>
      </c>
      <c r="AO96" s="100">
        <f t="shared" si="73"/>
        <v>17221.377674589723</v>
      </c>
      <c r="AP96" s="100">
        <f t="shared" si="74"/>
        <v>17453.407064629089</v>
      </c>
      <c r="AQ96" s="1">
        <f t="shared" si="75"/>
        <v>26660</v>
      </c>
      <c r="AR96" s="100">
        <f t="shared" si="58"/>
        <v>830918.73398425034</v>
      </c>
      <c r="AS96" s="100">
        <f t="shared" si="59"/>
        <v>34674.784739218812</v>
      </c>
      <c r="AT96" s="100">
        <f t="shared" si="76"/>
        <v>16153.215260781188</v>
      </c>
      <c r="AU96" s="1">
        <f t="shared" si="60"/>
        <v>50828</v>
      </c>
      <c r="AV96" s="100">
        <f t="shared" si="61"/>
        <v>1633872.9163391055</v>
      </c>
    </row>
    <row r="97" spans="4:48">
      <c r="D97" s="39">
        <f t="shared" si="62"/>
        <v>89</v>
      </c>
      <c r="E97" s="40">
        <f t="shared" si="39"/>
        <v>2034</v>
      </c>
      <c r="F97" s="35">
        <f t="shared" si="45"/>
        <v>48913</v>
      </c>
      <c r="G97" s="36">
        <f t="shared" si="47"/>
        <v>11</v>
      </c>
      <c r="H97" s="41">
        <f t="shared" si="46"/>
        <v>30</v>
      </c>
      <c r="I97" s="37" t="s">
        <v>123</v>
      </c>
      <c r="J97" s="27">
        <f t="shared" si="63"/>
        <v>0</v>
      </c>
      <c r="K97" s="27">
        <f t="shared" si="52"/>
        <v>0</v>
      </c>
      <c r="L97" s="27">
        <f t="shared" si="64"/>
        <v>0</v>
      </c>
      <c r="M97" s="27">
        <f t="shared" si="53"/>
        <v>0</v>
      </c>
      <c r="N97" s="27">
        <f t="shared" si="54"/>
        <v>0</v>
      </c>
      <c r="P97" s="72" t="s">
        <v>123</v>
      </c>
      <c r="Q97" s="44">
        <f t="shared" si="42"/>
        <v>431812.04215032473</v>
      </c>
      <c r="R97" s="44">
        <f t="shared" si="48"/>
        <v>2196.9177048579531</v>
      </c>
      <c r="S97" s="44">
        <f t="shared" si="43"/>
        <v>1584.0822951420469</v>
      </c>
      <c r="T97" s="44">
        <f t="shared" si="44"/>
        <v>0</v>
      </c>
      <c r="U97" s="43">
        <f t="shared" si="55"/>
        <v>430227.95985518268</v>
      </c>
      <c r="W97" s="72" t="s">
        <v>123</v>
      </c>
      <c r="X97" s="44">
        <f t="shared" si="65"/>
        <v>399106.69183392567</v>
      </c>
      <c r="Y97" s="44">
        <f t="shared" si="49"/>
        <v>2030.5236348920548</v>
      </c>
      <c r="Z97" s="44">
        <f t="shared" si="66"/>
        <v>853.47636510794518</v>
      </c>
      <c r="AA97" s="44">
        <f t="shared" si="67"/>
        <v>0</v>
      </c>
      <c r="AB97" s="43">
        <f t="shared" si="56"/>
        <v>398253.21546881774</v>
      </c>
      <c r="AD97" s="72" t="s">
        <v>123</v>
      </c>
      <c r="AE97" s="44">
        <f t="shared" si="68"/>
        <v>802954.18235485512</v>
      </c>
      <c r="AF97" s="44">
        <f t="shared" si="50"/>
        <v>4177.5616227174514</v>
      </c>
      <c r="AG97" s="44">
        <f t="shared" si="69"/>
        <v>1864.4383772825486</v>
      </c>
      <c r="AH97" s="44">
        <f t="shared" si="70"/>
        <v>0</v>
      </c>
      <c r="AI97" s="43">
        <f t="shared" si="57"/>
        <v>801089.74397757254</v>
      </c>
      <c r="AK97" s="101">
        <f t="shared" si="77"/>
        <v>2034</v>
      </c>
      <c r="AL97" s="101">
        <f t="shared" si="51"/>
        <v>11</v>
      </c>
      <c r="AM97" s="118">
        <f t="shared" si="71"/>
        <v>11283.512349714596</v>
      </c>
      <c r="AN97" s="100">
        <f t="shared" si="72"/>
        <v>10397.336054664502</v>
      </c>
      <c r="AO97" s="100">
        <f t="shared" si="73"/>
        <v>21398.939297307174</v>
      </c>
      <c r="AP97" s="100">
        <f t="shared" si="74"/>
        <v>21680.848404379096</v>
      </c>
      <c r="AQ97" s="1">
        <f t="shared" si="75"/>
        <v>33325</v>
      </c>
      <c r="AR97" s="100">
        <f t="shared" si="58"/>
        <v>828481.17532400042</v>
      </c>
      <c r="AS97" s="100">
        <f t="shared" si="59"/>
        <v>43079.787701686269</v>
      </c>
      <c r="AT97" s="100">
        <f t="shared" si="76"/>
        <v>20455.212298313731</v>
      </c>
      <c r="AU97" s="1">
        <f t="shared" si="60"/>
        <v>63535</v>
      </c>
      <c r="AV97" s="100">
        <f t="shared" si="61"/>
        <v>1629570.919301573</v>
      </c>
    </row>
    <row r="98" spans="4:48">
      <c r="D98" s="39">
        <f t="shared" si="62"/>
        <v>90</v>
      </c>
      <c r="E98" s="40">
        <f t="shared" si="39"/>
        <v>2034</v>
      </c>
      <c r="F98" s="35">
        <f t="shared" si="45"/>
        <v>48943</v>
      </c>
      <c r="G98" s="36">
        <f t="shared" si="47"/>
        <v>12</v>
      </c>
      <c r="H98" s="41">
        <f t="shared" si="46"/>
        <v>31</v>
      </c>
      <c r="I98" s="37" t="s">
        <v>123</v>
      </c>
      <c r="J98" s="27">
        <f t="shared" si="63"/>
        <v>0</v>
      </c>
      <c r="K98" s="27">
        <f t="shared" si="52"/>
        <v>0</v>
      </c>
      <c r="L98" s="27">
        <f t="shared" si="64"/>
        <v>0</v>
      </c>
      <c r="M98" s="27">
        <f t="shared" si="53"/>
        <v>0</v>
      </c>
      <c r="N98" s="27">
        <f t="shared" si="54"/>
        <v>0</v>
      </c>
      <c r="P98" s="72" t="s">
        <v>123</v>
      </c>
      <c r="Q98" s="44">
        <f t="shared" si="42"/>
        <v>430227.95985518268</v>
      </c>
      <c r="R98" s="44">
        <f t="shared" si="48"/>
        <v>2261.8203620989316</v>
      </c>
      <c r="S98" s="44">
        <f t="shared" si="43"/>
        <v>1519.1796379010684</v>
      </c>
      <c r="T98" s="44">
        <f t="shared" si="44"/>
        <v>0</v>
      </c>
      <c r="U98" s="43">
        <f t="shared" si="55"/>
        <v>428708.7802172816</v>
      </c>
      <c r="W98" s="72" t="s">
        <v>123</v>
      </c>
      <c r="X98" s="44">
        <f t="shared" si="65"/>
        <v>398253.21546881774</v>
      </c>
      <c r="Y98" s="44">
        <f t="shared" si="49"/>
        <v>2093.7208086660671</v>
      </c>
      <c r="Z98" s="44">
        <f t="shared" si="66"/>
        <v>790.27919133393289</v>
      </c>
      <c r="AA98" s="44">
        <f t="shared" si="67"/>
        <v>0</v>
      </c>
      <c r="AB98" s="43">
        <f t="shared" si="56"/>
        <v>397462.93627748382</v>
      </c>
      <c r="AD98" s="72" t="s">
        <v>123</v>
      </c>
      <c r="AE98" s="44">
        <f t="shared" si="68"/>
        <v>801089.74397757254</v>
      </c>
      <c r="AF98" s="44">
        <f t="shared" si="50"/>
        <v>4306.7901496087406</v>
      </c>
      <c r="AG98" s="44">
        <f t="shared" si="69"/>
        <v>1735.2098503912594</v>
      </c>
      <c r="AH98" s="44">
        <f t="shared" si="70"/>
        <v>0</v>
      </c>
      <c r="AI98" s="43">
        <f t="shared" si="57"/>
        <v>799354.53412718128</v>
      </c>
      <c r="AK98" s="101">
        <f t="shared" si="77"/>
        <v>2034</v>
      </c>
      <c r="AL98" s="101">
        <f t="shared" si="51"/>
        <v>12</v>
      </c>
      <c r="AM98" s="118">
        <f t="shared" si="71"/>
        <v>13545.332711813528</v>
      </c>
      <c r="AN98" s="100">
        <f t="shared" si="72"/>
        <v>12491.056863330568</v>
      </c>
      <c r="AO98" s="100">
        <f t="shared" si="73"/>
        <v>25705.729446915913</v>
      </c>
      <c r="AP98" s="100">
        <f t="shared" si="74"/>
        <v>26036.389575144094</v>
      </c>
      <c r="AQ98" s="1">
        <f t="shared" si="75"/>
        <v>39990</v>
      </c>
      <c r="AR98" s="100">
        <f t="shared" si="58"/>
        <v>826171.71649476537</v>
      </c>
      <c r="AS98" s="100">
        <f t="shared" si="59"/>
        <v>51742.119022060011</v>
      </c>
      <c r="AT98" s="100">
        <f t="shared" si="76"/>
        <v>24499.880977939993</v>
      </c>
      <c r="AU98" s="1">
        <f t="shared" si="60"/>
        <v>76242</v>
      </c>
      <c r="AV98" s="100">
        <f t="shared" si="61"/>
        <v>1625526.2506219465</v>
      </c>
    </row>
    <row r="99" spans="4:48">
      <c r="D99" s="39">
        <f t="shared" si="62"/>
        <v>91</v>
      </c>
      <c r="E99" s="40">
        <f t="shared" si="39"/>
        <v>2034</v>
      </c>
      <c r="F99" s="35">
        <f t="shared" si="45"/>
        <v>48974</v>
      </c>
      <c r="G99" s="36">
        <f t="shared" si="47"/>
        <v>1</v>
      </c>
      <c r="H99" s="41">
        <f t="shared" si="46"/>
        <v>31</v>
      </c>
      <c r="I99" s="37" t="s">
        <v>123</v>
      </c>
      <c r="J99" s="27">
        <f t="shared" si="63"/>
        <v>0</v>
      </c>
      <c r="K99" s="27">
        <f t="shared" si="52"/>
        <v>0</v>
      </c>
      <c r="L99" s="27">
        <f t="shared" si="64"/>
        <v>0</v>
      </c>
      <c r="M99" s="27">
        <f t="shared" si="53"/>
        <v>0</v>
      </c>
      <c r="N99" s="27">
        <f t="shared" si="54"/>
        <v>0</v>
      </c>
      <c r="P99" s="72" t="s">
        <v>123</v>
      </c>
      <c r="Q99" s="44">
        <f t="shared" si="42"/>
        <v>428708.7802172816</v>
      </c>
      <c r="R99" s="44">
        <f t="shared" si="48"/>
        <v>2253.8336393395662</v>
      </c>
      <c r="S99" s="44">
        <f t="shared" si="43"/>
        <v>1527.1663606604338</v>
      </c>
      <c r="T99" s="44">
        <f t="shared" si="44"/>
        <v>0</v>
      </c>
      <c r="U99" s="43">
        <f t="shared" si="55"/>
        <v>427181.61385662114</v>
      </c>
      <c r="W99" s="72" t="s">
        <v>123</v>
      </c>
      <c r="X99" s="44">
        <f t="shared" si="65"/>
        <v>397462.93627748382</v>
      </c>
      <c r="Y99" s="44">
        <f t="shared" si="49"/>
        <v>2089.5661052681198</v>
      </c>
      <c r="Z99" s="44">
        <f t="shared" si="66"/>
        <v>794.43389473188017</v>
      </c>
      <c r="AA99" s="44">
        <f t="shared" si="67"/>
        <v>0</v>
      </c>
      <c r="AB99" s="43">
        <f t="shared" si="56"/>
        <v>396668.50238275196</v>
      </c>
      <c r="AD99" s="72" t="s">
        <v>123</v>
      </c>
      <c r="AE99" s="44">
        <f t="shared" si="68"/>
        <v>799354.53412718128</v>
      </c>
      <c r="AF99" s="44">
        <f t="shared" si="50"/>
        <v>4297.4613762130621</v>
      </c>
      <c r="AG99" s="44">
        <f t="shared" si="69"/>
        <v>1744.5386237869379</v>
      </c>
      <c r="AH99" s="44">
        <f t="shared" si="70"/>
        <v>0</v>
      </c>
      <c r="AI99" s="43">
        <f t="shared" si="57"/>
        <v>797609.9955033944</v>
      </c>
      <c r="AK99" s="101">
        <f t="shared" si="77"/>
        <v>2034</v>
      </c>
      <c r="AL99" s="101">
        <f t="shared" si="51"/>
        <v>1</v>
      </c>
      <c r="AM99" s="118">
        <f t="shared" si="71"/>
        <v>15799.166351153093</v>
      </c>
      <c r="AN99" s="100">
        <f t="shared" si="72"/>
        <v>14580.622968598687</v>
      </c>
      <c r="AO99" s="100">
        <f t="shared" si="73"/>
        <v>30003.190823128974</v>
      </c>
      <c r="AP99" s="100">
        <f t="shared" si="74"/>
        <v>30379.789319751781</v>
      </c>
      <c r="AQ99" s="1">
        <f t="shared" si="75"/>
        <v>46655</v>
      </c>
      <c r="AR99" s="100">
        <f t="shared" si="58"/>
        <v>823850.11623937311</v>
      </c>
      <c r="AS99" s="100">
        <f t="shared" si="59"/>
        <v>60382.980142880755</v>
      </c>
      <c r="AT99" s="100">
        <f t="shared" si="76"/>
        <v>28566.019857119245</v>
      </c>
      <c r="AU99" s="1">
        <f t="shared" si="60"/>
        <v>88949</v>
      </c>
      <c r="AV99" s="100">
        <f t="shared" si="61"/>
        <v>1621460.1117427675</v>
      </c>
    </row>
    <row r="100" spans="4:48">
      <c r="D100" s="39">
        <f t="shared" si="62"/>
        <v>92</v>
      </c>
      <c r="E100" s="40">
        <f t="shared" si="39"/>
        <v>2034</v>
      </c>
      <c r="F100" s="35">
        <f t="shared" si="45"/>
        <v>49003</v>
      </c>
      <c r="G100" s="36">
        <f t="shared" si="47"/>
        <v>2</v>
      </c>
      <c r="H100" s="41">
        <f t="shared" si="46"/>
        <v>28</v>
      </c>
      <c r="I100" s="37" t="s">
        <v>123</v>
      </c>
      <c r="J100" s="27">
        <f t="shared" si="63"/>
        <v>0</v>
      </c>
      <c r="K100" s="27">
        <f t="shared" si="52"/>
        <v>0</v>
      </c>
      <c r="L100" s="27">
        <f t="shared" si="64"/>
        <v>0</v>
      </c>
      <c r="M100" s="27">
        <f t="shared" si="53"/>
        <v>0</v>
      </c>
      <c r="N100" s="27">
        <f t="shared" si="54"/>
        <v>0</v>
      </c>
      <c r="P100" s="72" t="s">
        <v>123</v>
      </c>
      <c r="Q100" s="44">
        <f t="shared" si="42"/>
        <v>427181.61385662114</v>
      </c>
      <c r="R100" s="44">
        <f t="shared" si="48"/>
        <v>2028.4689674967005</v>
      </c>
      <c r="S100" s="44">
        <f t="shared" si="43"/>
        <v>1752.5310325032995</v>
      </c>
      <c r="T100" s="44">
        <f t="shared" si="44"/>
        <v>0</v>
      </c>
      <c r="U100" s="43">
        <f t="shared" si="55"/>
        <v>425429.08282411785</v>
      </c>
      <c r="W100" s="72" t="s">
        <v>123</v>
      </c>
      <c r="X100" s="44">
        <f t="shared" si="65"/>
        <v>396668.50238275196</v>
      </c>
      <c r="Y100" s="44">
        <f t="shared" si="49"/>
        <v>1883.5776666569468</v>
      </c>
      <c r="Z100" s="44">
        <f t="shared" si="66"/>
        <v>1000.4223333430532</v>
      </c>
      <c r="AA100" s="44">
        <f t="shared" si="67"/>
        <v>0</v>
      </c>
      <c r="AB100" s="43">
        <f t="shared" si="56"/>
        <v>395668.08004940889</v>
      </c>
      <c r="AD100" s="72" t="s">
        <v>123</v>
      </c>
      <c r="AE100" s="44">
        <f t="shared" si="68"/>
        <v>797609.9955033944</v>
      </c>
      <c r="AF100" s="44">
        <f t="shared" si="50"/>
        <v>3873.1067288499071</v>
      </c>
      <c r="AG100" s="44">
        <f t="shared" si="69"/>
        <v>2168.8932711500929</v>
      </c>
      <c r="AH100" s="44">
        <f t="shared" si="70"/>
        <v>0</v>
      </c>
      <c r="AI100" s="43">
        <f t="shared" si="57"/>
        <v>795441.10223224433</v>
      </c>
      <c r="AK100" s="101">
        <f t="shared" si="77"/>
        <v>2034</v>
      </c>
      <c r="AL100" s="101">
        <f t="shared" si="51"/>
        <v>2</v>
      </c>
      <c r="AM100" s="118">
        <f t="shared" si="71"/>
        <v>17827.635318649794</v>
      </c>
      <c r="AN100" s="100">
        <f t="shared" si="72"/>
        <v>16464.200635255635</v>
      </c>
      <c r="AO100" s="100">
        <f t="shared" si="73"/>
        <v>33876.297551978882</v>
      </c>
      <c r="AP100" s="100">
        <f t="shared" si="74"/>
        <v>34291.835953905429</v>
      </c>
      <c r="AQ100" s="1">
        <f t="shared" si="75"/>
        <v>53320</v>
      </c>
      <c r="AR100" s="100">
        <f t="shared" si="58"/>
        <v>821097.1628735268</v>
      </c>
      <c r="AS100" s="100">
        <f t="shared" si="59"/>
        <v>68168.133505884311</v>
      </c>
      <c r="AT100" s="100">
        <f t="shared" si="76"/>
        <v>33487.866494115689</v>
      </c>
      <c r="AU100" s="1">
        <f t="shared" si="60"/>
        <v>101656</v>
      </c>
      <c r="AV100" s="100">
        <f t="shared" si="61"/>
        <v>1616538.2651057711</v>
      </c>
    </row>
    <row r="101" spans="4:48">
      <c r="D101" s="39">
        <f t="shared" si="62"/>
        <v>93</v>
      </c>
      <c r="E101" s="40">
        <f t="shared" si="39"/>
        <v>2034</v>
      </c>
      <c r="F101" s="35">
        <f t="shared" si="45"/>
        <v>49033</v>
      </c>
      <c r="G101" s="36">
        <f t="shared" si="47"/>
        <v>3</v>
      </c>
      <c r="H101" s="41">
        <f t="shared" si="46"/>
        <v>31</v>
      </c>
      <c r="I101" s="37" t="s">
        <v>123</v>
      </c>
      <c r="J101" s="27">
        <f t="shared" si="63"/>
        <v>0</v>
      </c>
      <c r="K101" s="27">
        <f t="shared" si="52"/>
        <v>0</v>
      </c>
      <c r="L101" s="27">
        <f t="shared" si="64"/>
        <v>0</v>
      </c>
      <c r="M101" s="27">
        <f t="shared" si="53"/>
        <v>0</v>
      </c>
      <c r="N101" s="27">
        <f t="shared" si="54"/>
        <v>0</v>
      </c>
      <c r="P101" s="72" t="s">
        <v>123</v>
      </c>
      <c r="Q101" s="44">
        <f t="shared" si="42"/>
        <v>425429.08282411785</v>
      </c>
      <c r="R101" s="44">
        <f t="shared" si="48"/>
        <v>2236.5914165238346</v>
      </c>
      <c r="S101" s="44">
        <f t="shared" si="43"/>
        <v>1544.4085834761654</v>
      </c>
      <c r="T101" s="44">
        <f t="shared" si="44"/>
        <v>0</v>
      </c>
      <c r="U101" s="43">
        <f t="shared" si="55"/>
        <v>423884.6742406417</v>
      </c>
      <c r="W101" s="72" t="s">
        <v>123</v>
      </c>
      <c r="X101" s="44">
        <f t="shared" si="65"/>
        <v>395668.08004940889</v>
      </c>
      <c r="Y101" s="44">
        <f t="shared" si="49"/>
        <v>2080.1300789227689</v>
      </c>
      <c r="Z101" s="44">
        <f t="shared" si="66"/>
        <v>803.86992107723108</v>
      </c>
      <c r="AA101" s="44">
        <f t="shared" si="67"/>
        <v>0</v>
      </c>
      <c r="AB101" s="43">
        <f t="shared" si="56"/>
        <v>394864.21012833167</v>
      </c>
      <c r="AD101" s="72" t="s">
        <v>123</v>
      </c>
      <c r="AE101" s="44">
        <f t="shared" si="68"/>
        <v>795441.10223224433</v>
      </c>
      <c r="AF101" s="44">
        <f t="shared" si="50"/>
        <v>4276.422123042008</v>
      </c>
      <c r="AG101" s="44">
        <f t="shared" si="69"/>
        <v>1765.577876957992</v>
      </c>
      <c r="AH101" s="44">
        <f t="shared" si="70"/>
        <v>0</v>
      </c>
      <c r="AI101" s="43">
        <f t="shared" si="57"/>
        <v>793675.52435528638</v>
      </c>
      <c r="AK101" s="101">
        <f t="shared" si="77"/>
        <v>2034</v>
      </c>
      <c r="AL101" s="101">
        <f t="shared" si="51"/>
        <v>3</v>
      </c>
      <c r="AM101" s="118">
        <f t="shared" si="71"/>
        <v>20064.22673517363</v>
      </c>
      <c r="AN101" s="100">
        <f t="shared" si="72"/>
        <v>18544.330714178403</v>
      </c>
      <c r="AO101" s="100">
        <f t="shared" si="73"/>
        <v>38152.71967502089</v>
      </c>
      <c r="AP101" s="100">
        <f t="shared" si="74"/>
        <v>38608.557449352033</v>
      </c>
      <c r="AQ101" s="1">
        <f t="shared" si="75"/>
        <v>59985</v>
      </c>
      <c r="AR101" s="100">
        <f t="shared" si="58"/>
        <v>818748.88436897332</v>
      </c>
      <c r="AS101" s="100">
        <f t="shared" si="59"/>
        <v>76761.277124372922</v>
      </c>
      <c r="AT101" s="100">
        <f t="shared" si="76"/>
        <v>37601.722875627078</v>
      </c>
      <c r="AU101" s="1">
        <f t="shared" si="60"/>
        <v>114363</v>
      </c>
      <c r="AV101" s="100">
        <f t="shared" si="61"/>
        <v>1612424.4087242596</v>
      </c>
    </row>
    <row r="102" spans="4:48">
      <c r="D102" s="39">
        <f t="shared" si="62"/>
        <v>94</v>
      </c>
      <c r="E102" s="40">
        <f t="shared" si="39"/>
        <v>2034</v>
      </c>
      <c r="F102" s="35">
        <f t="shared" si="45"/>
        <v>49064</v>
      </c>
      <c r="G102" s="36">
        <f t="shared" si="47"/>
        <v>4</v>
      </c>
      <c r="H102" s="41">
        <f t="shared" si="46"/>
        <v>30</v>
      </c>
      <c r="I102" s="37" t="s">
        <v>123</v>
      </c>
      <c r="J102" s="27">
        <f t="shared" si="63"/>
        <v>0</v>
      </c>
      <c r="K102" s="27">
        <f t="shared" si="52"/>
        <v>0</v>
      </c>
      <c r="L102" s="27">
        <f t="shared" si="64"/>
        <v>0</v>
      </c>
      <c r="M102" s="27">
        <f t="shared" si="53"/>
        <v>0</v>
      </c>
      <c r="N102" s="27">
        <f t="shared" si="54"/>
        <v>0</v>
      </c>
      <c r="P102" s="72" t="s">
        <v>123</v>
      </c>
      <c r="Q102" s="44">
        <f t="shared" si="42"/>
        <v>423884.6742406417</v>
      </c>
      <c r="R102" s="44">
        <f t="shared" si="48"/>
        <v>2156.5858631914289</v>
      </c>
      <c r="S102" s="44">
        <f t="shared" si="43"/>
        <v>1624.4141368085711</v>
      </c>
      <c r="T102" s="44">
        <f t="shared" si="44"/>
        <v>0</v>
      </c>
      <c r="U102" s="43">
        <f t="shared" si="55"/>
        <v>422260.2601038331</v>
      </c>
      <c r="W102" s="72" t="s">
        <v>123</v>
      </c>
      <c r="X102" s="44">
        <f t="shared" si="65"/>
        <v>394864.21012833167</v>
      </c>
      <c r="Y102" s="44">
        <f t="shared" si="49"/>
        <v>2008.9392827624984</v>
      </c>
      <c r="Z102" s="44">
        <f t="shared" si="66"/>
        <v>875.06071723750165</v>
      </c>
      <c r="AA102" s="44">
        <f t="shared" si="67"/>
        <v>0</v>
      </c>
      <c r="AB102" s="43">
        <f t="shared" si="56"/>
        <v>393989.1494110942</v>
      </c>
      <c r="AD102" s="72" t="s">
        <v>123</v>
      </c>
      <c r="AE102" s="44">
        <f t="shared" si="68"/>
        <v>793675.52435528638</v>
      </c>
      <c r="AF102" s="44">
        <f t="shared" si="50"/>
        <v>4129.2871801388737</v>
      </c>
      <c r="AG102" s="44">
        <f t="shared" si="69"/>
        <v>1912.7128198611263</v>
      </c>
      <c r="AH102" s="44">
        <f t="shared" si="70"/>
        <v>0</v>
      </c>
      <c r="AI102" s="43">
        <f t="shared" si="57"/>
        <v>791762.81153542525</v>
      </c>
      <c r="AK102" s="101">
        <f t="shared" si="77"/>
        <v>2034</v>
      </c>
      <c r="AL102" s="101">
        <f t="shared" si="51"/>
        <v>4</v>
      </c>
      <c r="AM102" s="118">
        <f t="shared" si="71"/>
        <v>22220.812598365061</v>
      </c>
      <c r="AN102" s="100">
        <f t="shared" si="72"/>
        <v>20553.2699969409</v>
      </c>
      <c r="AO102" s="100">
        <f t="shared" si="73"/>
        <v>42282.006855159765</v>
      </c>
      <c r="AP102" s="100">
        <f t="shared" si="74"/>
        <v>42774.082595305961</v>
      </c>
      <c r="AQ102" s="1">
        <f t="shared" si="75"/>
        <v>66650</v>
      </c>
      <c r="AR102" s="100">
        <f t="shared" si="58"/>
        <v>816249.40951492731</v>
      </c>
      <c r="AS102" s="100">
        <f t="shared" si="59"/>
        <v>85056.089450465719</v>
      </c>
      <c r="AT102" s="100">
        <f t="shared" si="76"/>
        <v>42013.910549534274</v>
      </c>
      <c r="AU102" s="1">
        <f t="shared" si="60"/>
        <v>127070</v>
      </c>
      <c r="AV102" s="100">
        <f t="shared" si="61"/>
        <v>1608012.2210503526</v>
      </c>
    </row>
    <row r="103" spans="4:48">
      <c r="D103" s="39">
        <f t="shared" si="62"/>
        <v>95</v>
      </c>
      <c r="E103" s="40">
        <f t="shared" si="39"/>
        <v>2034</v>
      </c>
      <c r="F103" s="35">
        <f t="shared" si="45"/>
        <v>49094</v>
      </c>
      <c r="G103" s="36">
        <f t="shared" si="47"/>
        <v>5</v>
      </c>
      <c r="H103" s="41">
        <f t="shared" si="46"/>
        <v>31</v>
      </c>
      <c r="I103" s="37" t="s">
        <v>123</v>
      </c>
      <c r="J103" s="27">
        <f t="shared" si="63"/>
        <v>0</v>
      </c>
      <c r="K103" s="27">
        <f t="shared" si="52"/>
        <v>0</v>
      </c>
      <c r="L103" s="27">
        <f t="shared" si="64"/>
        <v>0</v>
      </c>
      <c r="M103" s="27">
        <f t="shared" si="53"/>
        <v>0</v>
      </c>
      <c r="N103" s="27">
        <f t="shared" si="54"/>
        <v>0</v>
      </c>
      <c r="P103" s="72" t="s">
        <v>123</v>
      </c>
      <c r="Q103" s="44">
        <f t="shared" si="42"/>
        <v>422260.2601038331</v>
      </c>
      <c r="R103" s="44">
        <f t="shared" si="48"/>
        <v>2219.9320907212195</v>
      </c>
      <c r="S103" s="44">
        <f t="shared" si="43"/>
        <v>1561.0679092787805</v>
      </c>
      <c r="T103" s="44">
        <f t="shared" si="44"/>
        <v>0</v>
      </c>
      <c r="U103" s="43">
        <f t="shared" si="55"/>
        <v>420699.19219455431</v>
      </c>
      <c r="W103" s="72" t="s">
        <v>123</v>
      </c>
      <c r="X103" s="44">
        <f t="shared" si="65"/>
        <v>393989.1494110942</v>
      </c>
      <c r="Y103" s="44">
        <f t="shared" si="49"/>
        <v>2071.3035035752018</v>
      </c>
      <c r="Z103" s="44">
        <f t="shared" si="66"/>
        <v>812.69649642479817</v>
      </c>
      <c r="AA103" s="44">
        <f t="shared" si="67"/>
        <v>0</v>
      </c>
      <c r="AB103" s="43">
        <f t="shared" si="56"/>
        <v>393176.45291466941</v>
      </c>
      <c r="AD103" s="72" t="s">
        <v>123</v>
      </c>
      <c r="AE103" s="44">
        <f t="shared" si="68"/>
        <v>791762.81153542525</v>
      </c>
      <c r="AF103" s="44">
        <f t="shared" si="50"/>
        <v>4256.6470276053833</v>
      </c>
      <c r="AG103" s="44">
        <f t="shared" si="69"/>
        <v>1785.3529723946167</v>
      </c>
      <c r="AH103" s="44">
        <f t="shared" si="70"/>
        <v>0</v>
      </c>
      <c r="AI103" s="43">
        <f t="shared" si="57"/>
        <v>789977.45856303058</v>
      </c>
      <c r="AK103" s="101">
        <f t="shared" si="77"/>
        <v>2034</v>
      </c>
      <c r="AL103" s="101">
        <f t="shared" si="51"/>
        <v>5</v>
      </c>
      <c r="AM103" s="118">
        <f t="shared" si="71"/>
        <v>24440.744689086281</v>
      </c>
      <c r="AN103" s="100">
        <f t="shared" si="72"/>
        <v>22624.573500516104</v>
      </c>
      <c r="AO103" s="100">
        <f t="shared" si="73"/>
        <v>46538.653882765146</v>
      </c>
      <c r="AP103" s="100">
        <f t="shared" si="74"/>
        <v>47065.318189602389</v>
      </c>
      <c r="AQ103" s="1">
        <f t="shared" si="75"/>
        <v>73315</v>
      </c>
      <c r="AR103" s="100">
        <f t="shared" si="58"/>
        <v>813875.64510922367</v>
      </c>
      <c r="AS103" s="100">
        <f t="shared" si="59"/>
        <v>93603.972072367527</v>
      </c>
      <c r="AT103" s="100">
        <f t="shared" si="76"/>
        <v>46173.027927632473</v>
      </c>
      <c r="AU103" s="1">
        <f t="shared" si="60"/>
        <v>139777</v>
      </c>
      <c r="AV103" s="100">
        <f t="shared" si="61"/>
        <v>1603853.1036722544</v>
      </c>
    </row>
    <row r="104" spans="4:48">
      <c r="D104" s="39">
        <f t="shared" si="62"/>
        <v>96</v>
      </c>
      <c r="E104" s="40">
        <f t="shared" si="39"/>
        <v>2034</v>
      </c>
      <c r="F104" s="35">
        <f t="shared" si="45"/>
        <v>49125</v>
      </c>
      <c r="G104" s="36">
        <f t="shared" si="47"/>
        <v>6</v>
      </c>
      <c r="H104" s="41">
        <f t="shared" si="46"/>
        <v>30</v>
      </c>
      <c r="I104" s="37" t="s">
        <v>123</v>
      </c>
      <c r="J104" s="27">
        <f t="shared" si="63"/>
        <v>0</v>
      </c>
      <c r="K104" s="27">
        <f t="shared" si="52"/>
        <v>0</v>
      </c>
      <c r="L104" s="27">
        <f t="shared" si="64"/>
        <v>0</v>
      </c>
      <c r="M104" s="27">
        <f t="shared" si="53"/>
        <v>0</v>
      </c>
      <c r="N104" s="27">
        <f t="shared" si="54"/>
        <v>0</v>
      </c>
      <c r="P104" s="72" t="s">
        <v>123</v>
      </c>
      <c r="Q104" s="44">
        <f t="shared" si="42"/>
        <v>420699.19219455431</v>
      </c>
      <c r="R104" s="44">
        <f t="shared" si="48"/>
        <v>2140.3791778227051</v>
      </c>
      <c r="S104" s="44">
        <f t="shared" si="43"/>
        <v>1640.6208221772949</v>
      </c>
      <c r="T104" s="44">
        <f t="shared" si="44"/>
        <v>0</v>
      </c>
      <c r="U104" s="43">
        <f t="shared" si="55"/>
        <v>419058.57137237705</v>
      </c>
      <c r="W104" s="72" t="s">
        <v>123</v>
      </c>
      <c r="X104" s="44">
        <f t="shared" si="65"/>
        <v>393176.45291466941</v>
      </c>
      <c r="Y104" s="44">
        <f t="shared" si="49"/>
        <v>2000.3525289384686</v>
      </c>
      <c r="Z104" s="44">
        <f t="shared" si="66"/>
        <v>883.64747106153141</v>
      </c>
      <c r="AA104" s="44">
        <f t="shared" si="67"/>
        <v>0</v>
      </c>
      <c r="AB104" s="43">
        <f t="shared" si="56"/>
        <v>392292.80544360785</v>
      </c>
      <c r="AD104" s="72" t="s">
        <v>123</v>
      </c>
      <c r="AE104" s="44">
        <f t="shared" si="68"/>
        <v>789977.45856303058</v>
      </c>
      <c r="AF104" s="44">
        <f t="shared" si="50"/>
        <v>4110.047106332041</v>
      </c>
      <c r="AG104" s="44">
        <f t="shared" si="69"/>
        <v>1931.952893667959</v>
      </c>
      <c r="AH104" s="44">
        <f t="shared" si="70"/>
        <v>0</v>
      </c>
      <c r="AI104" s="43">
        <f t="shared" si="57"/>
        <v>788045.50566936261</v>
      </c>
      <c r="AK104" s="101">
        <f t="shared" si="77"/>
        <v>2034</v>
      </c>
      <c r="AL104" s="101">
        <f t="shared" si="51"/>
        <v>6</v>
      </c>
      <c r="AM104" s="118">
        <f t="shared" si="71"/>
        <v>26581.123866908987</v>
      </c>
      <c r="AN104" s="100">
        <f t="shared" si="72"/>
        <v>24624.926029454571</v>
      </c>
      <c r="AO104" s="100">
        <f t="shared" si="73"/>
        <v>50648.700989097189</v>
      </c>
      <c r="AP104" s="100">
        <f t="shared" si="74"/>
        <v>51206.049896363562</v>
      </c>
      <c r="AQ104" s="1">
        <f t="shared" si="75"/>
        <v>79980</v>
      </c>
      <c r="AR104" s="100">
        <f t="shared" si="58"/>
        <v>811351.37681598496</v>
      </c>
      <c r="AS104" s="100">
        <f t="shared" si="59"/>
        <v>101854.75088546076</v>
      </c>
      <c r="AT104" s="100">
        <f t="shared" si="76"/>
        <v>50629.249114539256</v>
      </c>
      <c r="AU104" s="1">
        <f t="shared" si="60"/>
        <v>152484</v>
      </c>
      <c r="AV104" s="100">
        <f t="shared" si="61"/>
        <v>1599396.8824853476</v>
      </c>
    </row>
    <row r="105" spans="4:48">
      <c r="D105" s="39">
        <f t="shared" si="62"/>
        <v>97</v>
      </c>
      <c r="E105" s="40">
        <f t="shared" si="39"/>
        <v>2035</v>
      </c>
      <c r="F105" s="35">
        <f t="shared" si="45"/>
        <v>49155</v>
      </c>
      <c r="G105" s="36">
        <f t="shared" si="47"/>
        <v>7</v>
      </c>
      <c r="H105" s="41">
        <f t="shared" si="46"/>
        <v>31</v>
      </c>
      <c r="I105" s="37" t="s">
        <v>123</v>
      </c>
      <c r="J105" s="27">
        <f t="shared" si="63"/>
        <v>0</v>
      </c>
      <c r="K105" s="27">
        <f t="shared" si="52"/>
        <v>0</v>
      </c>
      <c r="L105" s="27">
        <f t="shared" si="64"/>
        <v>0</v>
      </c>
      <c r="M105" s="27">
        <f t="shared" si="53"/>
        <v>0</v>
      </c>
      <c r="N105" s="27">
        <f t="shared" si="54"/>
        <v>0</v>
      </c>
      <c r="P105" s="72" t="s">
        <v>123</v>
      </c>
      <c r="Q105" s="44">
        <f t="shared" si="42"/>
        <v>419058.57137237705</v>
      </c>
      <c r="R105" s="44">
        <f t="shared" si="48"/>
        <v>2203.0999797437107</v>
      </c>
      <c r="S105" s="44">
        <f t="shared" si="43"/>
        <v>1577.9000202562893</v>
      </c>
      <c r="T105" s="44">
        <f t="shared" si="44"/>
        <v>0</v>
      </c>
      <c r="U105" s="43">
        <f t="shared" si="55"/>
        <v>417480.67135212076</v>
      </c>
      <c r="W105" s="72" t="s">
        <v>123</v>
      </c>
      <c r="X105" s="44">
        <f t="shared" si="65"/>
        <v>392292.80544360785</v>
      </c>
      <c r="Y105" s="44">
        <f t="shared" si="49"/>
        <v>2062.3853818239427</v>
      </c>
      <c r="Z105" s="44">
        <f t="shared" si="66"/>
        <v>821.61461817605732</v>
      </c>
      <c r="AA105" s="44">
        <f t="shared" si="67"/>
        <v>0</v>
      </c>
      <c r="AB105" s="43">
        <f t="shared" si="56"/>
        <v>391471.19082543178</v>
      </c>
      <c r="AD105" s="72" t="s">
        <v>123</v>
      </c>
      <c r="AE105" s="44">
        <f t="shared" si="68"/>
        <v>788045.50566936261</v>
      </c>
      <c r="AF105" s="44">
        <f t="shared" si="50"/>
        <v>4236.6621802054533</v>
      </c>
      <c r="AG105" s="44">
        <f t="shared" si="69"/>
        <v>1805.3378197945467</v>
      </c>
      <c r="AH105" s="44">
        <f t="shared" si="70"/>
        <v>0</v>
      </c>
      <c r="AI105" s="43">
        <f t="shared" si="57"/>
        <v>786240.16784956807</v>
      </c>
      <c r="AK105" s="101">
        <f t="shared" si="77"/>
        <v>2035</v>
      </c>
      <c r="AL105" s="101">
        <f t="shared" si="51"/>
        <v>7</v>
      </c>
      <c r="AM105" s="118">
        <f t="shared" si="71"/>
        <v>2203.0999797437107</v>
      </c>
      <c r="AN105" s="100">
        <f t="shared" si="72"/>
        <v>2062.3853818239427</v>
      </c>
      <c r="AO105" s="100">
        <f t="shared" si="73"/>
        <v>4236.6621802054533</v>
      </c>
      <c r="AP105" s="100">
        <f t="shared" si="74"/>
        <v>4265.4853615676529</v>
      </c>
      <c r="AQ105" s="1">
        <f t="shared" si="75"/>
        <v>6665</v>
      </c>
      <c r="AR105" s="100">
        <f t="shared" si="58"/>
        <v>808951.86217755254</v>
      </c>
      <c r="AS105" s="100">
        <f t="shared" si="59"/>
        <v>8502.1475417731053</v>
      </c>
      <c r="AT105" s="100">
        <f t="shared" si="76"/>
        <v>4204.8524582268928</v>
      </c>
      <c r="AU105" s="1">
        <f t="shared" si="60"/>
        <v>12706.999999999998</v>
      </c>
      <c r="AV105" s="100">
        <f t="shared" si="61"/>
        <v>1595192.0300271206</v>
      </c>
    </row>
    <row r="106" spans="4:48">
      <c r="D106" s="39">
        <f t="shared" si="62"/>
        <v>98</v>
      </c>
      <c r="E106" s="40">
        <f t="shared" si="39"/>
        <v>2035</v>
      </c>
      <c r="F106" s="35">
        <f t="shared" si="45"/>
        <v>49186</v>
      </c>
      <c r="G106" s="36">
        <f t="shared" si="47"/>
        <v>8</v>
      </c>
      <c r="H106" s="41">
        <f t="shared" si="46"/>
        <v>31</v>
      </c>
      <c r="I106" s="37" t="s">
        <v>123</v>
      </c>
      <c r="J106" s="27">
        <f t="shared" si="63"/>
        <v>0</v>
      </c>
      <c r="K106" s="27">
        <f t="shared" si="52"/>
        <v>0</v>
      </c>
      <c r="L106" s="27">
        <f t="shared" si="64"/>
        <v>0</v>
      </c>
      <c r="M106" s="27">
        <f t="shared" si="53"/>
        <v>0</v>
      </c>
      <c r="N106" s="27">
        <f t="shared" si="54"/>
        <v>0</v>
      </c>
      <c r="P106" s="72" t="s">
        <v>123</v>
      </c>
      <c r="Q106" s="44">
        <f t="shared" si="42"/>
        <v>417480.67135212076</v>
      </c>
      <c r="R106" s="44">
        <f t="shared" si="48"/>
        <v>2194.8045486509159</v>
      </c>
      <c r="S106" s="44">
        <f t="shared" si="43"/>
        <v>1586.1954513490841</v>
      </c>
      <c r="T106" s="44">
        <f t="shared" si="44"/>
        <v>0</v>
      </c>
      <c r="U106" s="43">
        <f t="shared" si="55"/>
        <v>415894.47590077168</v>
      </c>
      <c r="W106" s="72" t="s">
        <v>123</v>
      </c>
      <c r="X106" s="44">
        <f t="shared" si="65"/>
        <v>391471.19082543178</v>
      </c>
      <c r="Y106" s="44">
        <f t="shared" si="49"/>
        <v>2058.0659399312904</v>
      </c>
      <c r="Z106" s="44">
        <f t="shared" si="66"/>
        <v>825.93406006870964</v>
      </c>
      <c r="AA106" s="44">
        <f t="shared" si="67"/>
        <v>0</v>
      </c>
      <c r="AB106" s="43">
        <f t="shared" si="56"/>
        <v>390645.2567653631</v>
      </c>
      <c r="AD106" s="72" t="s">
        <v>123</v>
      </c>
      <c r="AE106" s="44">
        <f t="shared" si="68"/>
        <v>786240.16784956807</v>
      </c>
      <c r="AF106" s="44">
        <f t="shared" si="50"/>
        <v>4226.9563873183761</v>
      </c>
      <c r="AG106" s="44">
        <f t="shared" si="69"/>
        <v>1815.0436126816239</v>
      </c>
      <c r="AH106" s="44">
        <f t="shared" si="70"/>
        <v>0</v>
      </c>
      <c r="AI106" s="43">
        <f t="shared" si="57"/>
        <v>784425.12423688639</v>
      </c>
      <c r="AK106" s="101">
        <f t="shared" si="77"/>
        <v>2035</v>
      </c>
      <c r="AL106" s="101">
        <f t="shared" si="51"/>
        <v>8</v>
      </c>
      <c r="AM106" s="118">
        <f t="shared" si="71"/>
        <v>4397.9045283946271</v>
      </c>
      <c r="AN106" s="100">
        <f t="shared" si="72"/>
        <v>4120.451321755233</v>
      </c>
      <c r="AO106" s="100">
        <f t="shared" si="73"/>
        <v>8463.6185675238303</v>
      </c>
      <c r="AP106" s="100">
        <f t="shared" si="74"/>
        <v>8518.3558501498592</v>
      </c>
      <c r="AQ106" s="1">
        <f t="shared" si="75"/>
        <v>13330</v>
      </c>
      <c r="AR106" s="100">
        <f t="shared" si="58"/>
        <v>806539.73266613483</v>
      </c>
      <c r="AS106" s="100">
        <f t="shared" si="59"/>
        <v>16981.974417673689</v>
      </c>
      <c r="AT106" s="100">
        <f t="shared" si="76"/>
        <v>8432.0255823263105</v>
      </c>
      <c r="AU106" s="1">
        <f t="shared" si="60"/>
        <v>25414</v>
      </c>
      <c r="AV106" s="100">
        <f t="shared" si="61"/>
        <v>1590964.8569030212</v>
      </c>
    </row>
    <row r="107" spans="4:48">
      <c r="D107" s="39">
        <f t="shared" si="62"/>
        <v>99</v>
      </c>
      <c r="E107" s="40">
        <f t="shared" si="39"/>
        <v>2035</v>
      </c>
      <c r="F107" s="35">
        <f t="shared" si="45"/>
        <v>49217</v>
      </c>
      <c r="G107" s="36">
        <f t="shared" si="47"/>
        <v>9</v>
      </c>
      <c r="H107" s="41">
        <f t="shared" si="46"/>
        <v>30</v>
      </c>
      <c r="I107" s="37" t="s">
        <v>123</v>
      </c>
      <c r="J107" s="27">
        <f t="shared" si="63"/>
        <v>0</v>
      </c>
      <c r="K107" s="27">
        <f t="shared" si="52"/>
        <v>0</v>
      </c>
      <c r="L107" s="27">
        <f t="shared" si="64"/>
        <v>0</v>
      </c>
      <c r="M107" s="27">
        <f t="shared" si="53"/>
        <v>0</v>
      </c>
      <c r="N107" s="27">
        <f t="shared" si="54"/>
        <v>0</v>
      </c>
      <c r="P107" s="72" t="s">
        <v>123</v>
      </c>
      <c r="Q107" s="44">
        <f t="shared" si="42"/>
        <v>415894.47590077168</v>
      </c>
      <c r="R107" s="44">
        <f t="shared" si="48"/>
        <v>2115.9343609526932</v>
      </c>
      <c r="S107" s="44">
        <f t="shared" si="43"/>
        <v>1665.0656390473068</v>
      </c>
      <c r="T107" s="44">
        <f t="shared" si="44"/>
        <v>0</v>
      </c>
      <c r="U107" s="43">
        <f t="shared" si="55"/>
        <v>414229.41026172438</v>
      </c>
      <c r="W107" s="72" t="s">
        <v>123</v>
      </c>
      <c r="X107" s="44">
        <f t="shared" si="65"/>
        <v>390645.2567653631</v>
      </c>
      <c r="Y107" s="44">
        <f t="shared" si="49"/>
        <v>1987.4746351048746</v>
      </c>
      <c r="Z107" s="44">
        <f t="shared" si="66"/>
        <v>896.52536489512545</v>
      </c>
      <c r="AA107" s="44">
        <f t="shared" si="67"/>
        <v>0</v>
      </c>
      <c r="AB107" s="43">
        <f t="shared" si="56"/>
        <v>389748.73140046798</v>
      </c>
      <c r="AD107" s="72" t="s">
        <v>123</v>
      </c>
      <c r="AE107" s="44">
        <f t="shared" si="68"/>
        <v>784425.12423688639</v>
      </c>
      <c r="AF107" s="44">
        <f t="shared" si="50"/>
        <v>4081.1597559612246</v>
      </c>
      <c r="AG107" s="44">
        <f t="shared" si="69"/>
        <v>1960.8402440387754</v>
      </c>
      <c r="AH107" s="44">
        <f t="shared" si="70"/>
        <v>0</v>
      </c>
      <c r="AI107" s="43">
        <f t="shared" si="57"/>
        <v>782464.28399284766</v>
      </c>
      <c r="AK107" s="101">
        <f t="shared" si="77"/>
        <v>2035</v>
      </c>
      <c r="AL107" s="101">
        <f t="shared" si="51"/>
        <v>9</v>
      </c>
      <c r="AM107" s="118">
        <f t="shared" si="71"/>
        <v>6513.8388893473202</v>
      </c>
      <c r="AN107" s="100">
        <f t="shared" si="72"/>
        <v>6107.9259568601074</v>
      </c>
      <c r="AO107" s="100">
        <f t="shared" si="73"/>
        <v>12544.778323485054</v>
      </c>
      <c r="AP107" s="100">
        <f t="shared" si="74"/>
        <v>12621.764846207428</v>
      </c>
      <c r="AQ107" s="1">
        <f t="shared" si="75"/>
        <v>19995</v>
      </c>
      <c r="AR107" s="100">
        <f t="shared" si="58"/>
        <v>803978.1416621923</v>
      </c>
      <c r="AS107" s="100">
        <f t="shared" si="59"/>
        <v>25166.543169692482</v>
      </c>
      <c r="AT107" s="100">
        <f t="shared" si="76"/>
        <v>12954.456830307518</v>
      </c>
      <c r="AU107" s="1">
        <f t="shared" si="60"/>
        <v>38121</v>
      </c>
      <c r="AV107" s="100">
        <f t="shared" si="61"/>
        <v>1586442.42565504</v>
      </c>
    </row>
    <row r="108" spans="4:48">
      <c r="D108" s="39">
        <f t="shared" si="62"/>
        <v>100</v>
      </c>
      <c r="E108" s="40">
        <f t="shared" si="39"/>
        <v>2035</v>
      </c>
      <c r="F108" s="35">
        <f t="shared" si="45"/>
        <v>49247</v>
      </c>
      <c r="G108" s="36">
        <f t="shared" si="47"/>
        <v>10</v>
      </c>
      <c r="H108" s="41">
        <f t="shared" si="46"/>
        <v>31</v>
      </c>
      <c r="I108" s="37" t="s">
        <v>123</v>
      </c>
      <c r="J108" s="27">
        <f t="shared" si="63"/>
        <v>0</v>
      </c>
      <c r="K108" s="27">
        <f t="shared" si="52"/>
        <v>0</v>
      </c>
      <c r="L108" s="27">
        <f t="shared" si="64"/>
        <v>0</v>
      </c>
      <c r="M108" s="27">
        <f t="shared" si="53"/>
        <v>0</v>
      </c>
      <c r="N108" s="27">
        <f t="shared" si="54"/>
        <v>0</v>
      </c>
      <c r="P108" s="72" t="s">
        <v>123</v>
      </c>
      <c r="Q108" s="44">
        <f t="shared" si="42"/>
        <v>414229.41026172438</v>
      </c>
      <c r="R108" s="44">
        <f t="shared" si="48"/>
        <v>2177.7118228800623</v>
      </c>
      <c r="S108" s="44">
        <f t="shared" si="43"/>
        <v>1603.2881771199377</v>
      </c>
      <c r="T108" s="44">
        <f t="shared" si="44"/>
        <v>0</v>
      </c>
      <c r="U108" s="43">
        <f t="shared" si="55"/>
        <v>412626.12208460446</v>
      </c>
      <c r="W108" s="72" t="s">
        <v>123</v>
      </c>
      <c r="X108" s="44">
        <f t="shared" si="65"/>
        <v>389748.73140046798</v>
      </c>
      <c r="Y108" s="44">
        <f t="shared" si="49"/>
        <v>2049.0105224228987</v>
      </c>
      <c r="Z108" s="44">
        <f t="shared" si="66"/>
        <v>834.9894775771013</v>
      </c>
      <c r="AA108" s="44">
        <f t="shared" si="67"/>
        <v>0</v>
      </c>
      <c r="AB108" s="43">
        <f t="shared" si="56"/>
        <v>388913.74192289088</v>
      </c>
      <c r="AD108" s="72" t="s">
        <v>123</v>
      </c>
      <c r="AE108" s="44">
        <f t="shared" si="68"/>
        <v>782464.28399284766</v>
      </c>
      <c r="AF108" s="44">
        <f t="shared" si="50"/>
        <v>4206.6566150114104</v>
      </c>
      <c r="AG108" s="44">
        <f t="shared" si="69"/>
        <v>1835.3433849885896</v>
      </c>
      <c r="AH108" s="44">
        <f t="shared" si="70"/>
        <v>0</v>
      </c>
      <c r="AI108" s="43">
        <f t="shared" si="57"/>
        <v>780628.94060785905</v>
      </c>
      <c r="AK108" s="101">
        <f t="shared" si="77"/>
        <v>2035</v>
      </c>
      <c r="AL108" s="101">
        <f t="shared" si="51"/>
        <v>10</v>
      </c>
      <c r="AM108" s="118">
        <f t="shared" si="71"/>
        <v>8691.550712227383</v>
      </c>
      <c r="AN108" s="100">
        <f t="shared" si="72"/>
        <v>8156.9364792830056</v>
      </c>
      <c r="AO108" s="100">
        <f t="shared" si="73"/>
        <v>16751.434938496466</v>
      </c>
      <c r="AP108" s="100">
        <f t="shared" si="74"/>
        <v>16848.487191510387</v>
      </c>
      <c r="AQ108" s="1">
        <f t="shared" si="75"/>
        <v>26660</v>
      </c>
      <c r="AR108" s="100">
        <f t="shared" si="58"/>
        <v>801539.86400749534</v>
      </c>
      <c r="AS108" s="100">
        <f t="shared" si="59"/>
        <v>33599.922130006853</v>
      </c>
      <c r="AT108" s="100">
        <f t="shared" si="76"/>
        <v>17228.077869993147</v>
      </c>
      <c r="AU108" s="1">
        <f t="shared" si="60"/>
        <v>50828</v>
      </c>
      <c r="AV108" s="100">
        <f t="shared" si="61"/>
        <v>1582168.8046153544</v>
      </c>
    </row>
    <row r="109" spans="4:48">
      <c r="D109" s="39">
        <f t="shared" si="62"/>
        <v>101</v>
      </c>
      <c r="E109" s="40">
        <f t="shared" ref="E109:E172" si="78">IF(MONTH(EDATE($E$5,D109))&lt;7,YEAR(EDATE($E$5,D109)),YEAR(EDATE($E$5,D109))+1)</f>
        <v>2035</v>
      </c>
      <c r="F109" s="35">
        <f t="shared" si="45"/>
        <v>49278</v>
      </c>
      <c r="G109" s="36">
        <f t="shared" si="47"/>
        <v>11</v>
      </c>
      <c r="H109" s="41">
        <f t="shared" si="46"/>
        <v>30</v>
      </c>
      <c r="I109" s="37" t="s">
        <v>123</v>
      </c>
      <c r="J109" s="27">
        <f t="shared" si="63"/>
        <v>0</v>
      </c>
      <c r="K109" s="27">
        <f t="shared" si="52"/>
        <v>0</v>
      </c>
      <c r="L109" s="27">
        <f t="shared" si="64"/>
        <v>0</v>
      </c>
      <c r="M109" s="27">
        <f t="shared" si="53"/>
        <v>0</v>
      </c>
      <c r="N109" s="27">
        <f t="shared" si="54"/>
        <v>0</v>
      </c>
      <c r="P109" s="72" t="s">
        <v>123</v>
      </c>
      <c r="Q109" s="44">
        <f t="shared" ref="Q109:Q172" si="79">IF(P109="PI",IF(U108&lt;=0,0,U108),(IF(P109="IO",Q108,"")))*IF(U108&lt;=0,0,1)</f>
        <v>412626.12208460446</v>
      </c>
      <c r="R109" s="44">
        <f t="shared" si="48"/>
        <v>2099.306051263316</v>
      </c>
      <c r="S109" s="44">
        <f t="shared" ref="S109:S172" si="80">IF(P109="IO",0,$R$6-R109)*IF(Q109&gt;0,1,0)</f>
        <v>1681.693948736684</v>
      </c>
      <c r="T109" s="44">
        <f t="shared" ref="T109:T172" si="81">IF(P109="IO",$R$6-R109+IF(ISNUMBER(T108),T108,0),IF(ISNUMBER(T108),T108,0))</f>
        <v>0</v>
      </c>
      <c r="U109" s="43">
        <f t="shared" si="55"/>
        <v>410944.42813586775</v>
      </c>
      <c r="W109" s="72" t="s">
        <v>123</v>
      </c>
      <c r="X109" s="44">
        <f t="shared" si="65"/>
        <v>388913.74192289088</v>
      </c>
      <c r="Y109" s="44">
        <f t="shared" si="49"/>
        <v>1978.6652568515299</v>
      </c>
      <c r="Z109" s="44">
        <f t="shared" si="66"/>
        <v>905.33474314847012</v>
      </c>
      <c r="AA109" s="44">
        <f t="shared" si="67"/>
        <v>0</v>
      </c>
      <c r="AB109" s="43">
        <f t="shared" si="56"/>
        <v>388008.40717974241</v>
      </c>
      <c r="AD109" s="72" t="s">
        <v>123</v>
      </c>
      <c r="AE109" s="44">
        <f t="shared" si="68"/>
        <v>780628.94060785905</v>
      </c>
      <c r="AF109" s="44">
        <f t="shared" si="50"/>
        <v>4061.4092005871898</v>
      </c>
      <c r="AG109" s="44">
        <f t="shared" si="69"/>
        <v>1980.5907994128102</v>
      </c>
      <c r="AH109" s="44">
        <f t="shared" si="70"/>
        <v>0</v>
      </c>
      <c r="AI109" s="43">
        <f t="shared" si="57"/>
        <v>778648.34980844625</v>
      </c>
      <c r="AK109" s="101">
        <f t="shared" si="77"/>
        <v>2035</v>
      </c>
      <c r="AL109" s="101">
        <f t="shared" si="51"/>
        <v>11</v>
      </c>
      <c r="AM109" s="118">
        <f t="shared" si="71"/>
        <v>10790.856763490699</v>
      </c>
      <c r="AN109" s="100">
        <f t="shared" si="72"/>
        <v>10135.601736134535</v>
      </c>
      <c r="AO109" s="100">
        <f t="shared" si="73"/>
        <v>20812.844139083656</v>
      </c>
      <c r="AP109" s="100">
        <f t="shared" si="74"/>
        <v>20926.458499625234</v>
      </c>
      <c r="AQ109" s="1">
        <f t="shared" si="75"/>
        <v>33325</v>
      </c>
      <c r="AR109" s="100">
        <f t="shared" si="58"/>
        <v>798952.83531561017</v>
      </c>
      <c r="AS109" s="100">
        <f t="shared" si="59"/>
        <v>41739.30263870889</v>
      </c>
      <c r="AT109" s="100">
        <f t="shared" si="76"/>
        <v>21795.69736129111</v>
      </c>
      <c r="AU109" s="1">
        <f t="shared" si="60"/>
        <v>63535</v>
      </c>
      <c r="AV109" s="100">
        <f t="shared" si="61"/>
        <v>1577601.1851240564</v>
      </c>
    </row>
    <row r="110" spans="4:48">
      <c r="D110" s="39">
        <f t="shared" si="62"/>
        <v>102</v>
      </c>
      <c r="E110" s="40">
        <f t="shared" si="78"/>
        <v>2035</v>
      </c>
      <c r="F110" s="35">
        <f t="shared" si="45"/>
        <v>49308</v>
      </c>
      <c r="G110" s="36">
        <f t="shared" si="47"/>
        <v>12</v>
      </c>
      <c r="H110" s="41">
        <f t="shared" si="46"/>
        <v>31</v>
      </c>
      <c r="I110" s="37" t="s">
        <v>123</v>
      </c>
      <c r="J110" s="27">
        <f t="shared" si="63"/>
        <v>0</v>
      </c>
      <c r="K110" s="27">
        <f t="shared" si="52"/>
        <v>0</v>
      </c>
      <c r="L110" s="27">
        <f t="shared" si="64"/>
        <v>0</v>
      </c>
      <c r="M110" s="27">
        <f t="shared" si="53"/>
        <v>0</v>
      </c>
      <c r="N110" s="27">
        <f t="shared" si="54"/>
        <v>0</v>
      </c>
      <c r="P110" s="72" t="s">
        <v>123</v>
      </c>
      <c r="Q110" s="44">
        <f t="shared" si="79"/>
        <v>410944.42813586775</v>
      </c>
      <c r="R110" s="44">
        <f t="shared" si="48"/>
        <v>2160.441816849087</v>
      </c>
      <c r="S110" s="44">
        <f t="shared" si="80"/>
        <v>1620.558183150913</v>
      </c>
      <c r="T110" s="44">
        <f t="shared" si="81"/>
        <v>0</v>
      </c>
      <c r="U110" s="43">
        <f t="shared" si="55"/>
        <v>409323.86995271686</v>
      </c>
      <c r="W110" s="72" t="s">
        <v>123</v>
      </c>
      <c r="X110" s="44">
        <f t="shared" si="65"/>
        <v>388008.40717974241</v>
      </c>
      <c r="Y110" s="44">
        <f t="shared" si="49"/>
        <v>2039.8611850334457</v>
      </c>
      <c r="Z110" s="44">
        <f t="shared" si="66"/>
        <v>844.13881496655426</v>
      </c>
      <c r="AA110" s="44">
        <f t="shared" si="67"/>
        <v>0</v>
      </c>
      <c r="AB110" s="43">
        <f t="shared" si="56"/>
        <v>387164.26836477587</v>
      </c>
      <c r="AD110" s="72" t="s">
        <v>123</v>
      </c>
      <c r="AE110" s="44">
        <f t="shared" si="68"/>
        <v>778648.34980844625</v>
      </c>
      <c r="AF110" s="44">
        <f t="shared" si="50"/>
        <v>4186.1415255592165</v>
      </c>
      <c r="AG110" s="44">
        <f t="shared" si="69"/>
        <v>1855.8584744407835</v>
      </c>
      <c r="AH110" s="44">
        <f t="shared" si="70"/>
        <v>0</v>
      </c>
      <c r="AI110" s="43">
        <f t="shared" si="57"/>
        <v>776792.49133400549</v>
      </c>
      <c r="AK110" s="101">
        <f t="shared" si="77"/>
        <v>2035</v>
      </c>
      <c r="AL110" s="101">
        <f t="shared" si="51"/>
        <v>12</v>
      </c>
      <c r="AM110" s="118">
        <f t="shared" si="71"/>
        <v>12951.298580339786</v>
      </c>
      <c r="AN110" s="100">
        <f t="shared" si="72"/>
        <v>12175.46292116798</v>
      </c>
      <c r="AO110" s="100">
        <f t="shared" si="73"/>
        <v>24998.985664642874</v>
      </c>
      <c r="AP110" s="100">
        <f t="shared" si="74"/>
        <v>25126.761501507768</v>
      </c>
      <c r="AQ110" s="1">
        <f t="shared" si="75"/>
        <v>39990</v>
      </c>
      <c r="AR110" s="100">
        <f t="shared" si="58"/>
        <v>796488.13831749279</v>
      </c>
      <c r="AS110" s="100">
        <f t="shared" si="59"/>
        <v>50125.747166150642</v>
      </c>
      <c r="AT110" s="100">
        <f t="shared" si="76"/>
        <v>26116.252833849358</v>
      </c>
      <c r="AU110" s="1">
        <f t="shared" si="60"/>
        <v>76242</v>
      </c>
      <c r="AV110" s="100">
        <f t="shared" si="61"/>
        <v>1573280.6296514983</v>
      </c>
    </row>
    <row r="111" spans="4:48">
      <c r="D111" s="39">
        <f t="shared" si="62"/>
        <v>103</v>
      </c>
      <c r="E111" s="40">
        <f t="shared" si="78"/>
        <v>2035</v>
      </c>
      <c r="F111" s="35">
        <f t="shared" si="45"/>
        <v>49339</v>
      </c>
      <c r="G111" s="36">
        <f t="shared" si="47"/>
        <v>1</v>
      </c>
      <c r="H111" s="41">
        <f t="shared" si="46"/>
        <v>31</v>
      </c>
      <c r="I111" s="37" t="s">
        <v>123</v>
      </c>
      <c r="J111" s="27">
        <f t="shared" si="63"/>
        <v>0</v>
      </c>
      <c r="K111" s="27">
        <f t="shared" si="52"/>
        <v>0</v>
      </c>
      <c r="L111" s="27">
        <f t="shared" si="64"/>
        <v>0</v>
      </c>
      <c r="M111" s="27">
        <f t="shared" si="53"/>
        <v>0</v>
      </c>
      <c r="N111" s="27">
        <f t="shared" si="54"/>
        <v>0</v>
      </c>
      <c r="P111" s="72" t="s">
        <v>123</v>
      </c>
      <c r="Q111" s="44">
        <f t="shared" si="79"/>
        <v>409323.86995271686</v>
      </c>
      <c r="R111" s="44">
        <f t="shared" si="48"/>
        <v>2151.9221206911461</v>
      </c>
      <c r="S111" s="44">
        <f t="shared" si="80"/>
        <v>1629.0778793088539</v>
      </c>
      <c r="T111" s="44">
        <f t="shared" si="81"/>
        <v>0</v>
      </c>
      <c r="U111" s="43">
        <f t="shared" si="55"/>
        <v>407694.79207340803</v>
      </c>
      <c r="W111" s="72" t="s">
        <v>123</v>
      </c>
      <c r="X111" s="44">
        <f t="shared" si="65"/>
        <v>387164.26836477587</v>
      </c>
      <c r="Y111" s="44">
        <f t="shared" si="49"/>
        <v>2035.4233275758036</v>
      </c>
      <c r="Z111" s="44">
        <f t="shared" si="66"/>
        <v>848.57667242419643</v>
      </c>
      <c r="AA111" s="44">
        <f t="shared" si="67"/>
        <v>0</v>
      </c>
      <c r="AB111" s="43">
        <f t="shared" si="56"/>
        <v>386315.69169235165</v>
      </c>
      <c r="AD111" s="72" t="s">
        <v>123</v>
      </c>
      <c r="AE111" s="44">
        <f t="shared" si="68"/>
        <v>776792.49133400549</v>
      </c>
      <c r="AF111" s="44">
        <f t="shared" si="50"/>
        <v>4176.1641253279968</v>
      </c>
      <c r="AG111" s="44">
        <f t="shared" si="69"/>
        <v>1865.8358746720032</v>
      </c>
      <c r="AH111" s="44">
        <f t="shared" si="70"/>
        <v>0</v>
      </c>
      <c r="AI111" s="43">
        <f t="shared" si="57"/>
        <v>774926.65545933344</v>
      </c>
      <c r="AK111" s="101">
        <f t="shared" si="77"/>
        <v>2035</v>
      </c>
      <c r="AL111" s="101">
        <f t="shared" si="51"/>
        <v>1</v>
      </c>
      <c r="AM111" s="118">
        <f t="shared" si="71"/>
        <v>15103.220701030932</v>
      </c>
      <c r="AN111" s="100">
        <f t="shared" si="72"/>
        <v>14210.886248743784</v>
      </c>
      <c r="AO111" s="100">
        <f t="shared" si="73"/>
        <v>29175.14978997087</v>
      </c>
      <c r="AP111" s="100">
        <f t="shared" si="74"/>
        <v>29314.106949774716</v>
      </c>
      <c r="AQ111" s="1">
        <f t="shared" si="75"/>
        <v>46655</v>
      </c>
      <c r="AR111" s="100">
        <f t="shared" si="58"/>
        <v>794010.48376575974</v>
      </c>
      <c r="AS111" s="100">
        <f t="shared" si="59"/>
        <v>58489.256739745586</v>
      </c>
      <c r="AT111" s="100">
        <f t="shared" si="76"/>
        <v>30459.74326025441</v>
      </c>
      <c r="AU111" s="1">
        <f t="shared" si="60"/>
        <v>88949</v>
      </c>
      <c r="AV111" s="100">
        <f t="shared" si="61"/>
        <v>1568937.1392250932</v>
      </c>
    </row>
    <row r="112" spans="4:48">
      <c r="D112" s="39">
        <f t="shared" si="62"/>
        <v>104</v>
      </c>
      <c r="E112" s="40">
        <f t="shared" si="78"/>
        <v>2035</v>
      </c>
      <c r="F112" s="35">
        <f t="shared" si="45"/>
        <v>49368</v>
      </c>
      <c r="G112" s="36">
        <f t="shared" si="47"/>
        <v>2</v>
      </c>
      <c r="H112" s="41">
        <f t="shared" si="46"/>
        <v>28</v>
      </c>
      <c r="I112" s="37" t="s">
        <v>123</v>
      </c>
      <c r="J112" s="27">
        <f t="shared" si="63"/>
        <v>0</v>
      </c>
      <c r="K112" s="27">
        <f t="shared" si="52"/>
        <v>0</v>
      </c>
      <c r="L112" s="27">
        <f t="shared" si="64"/>
        <v>0</v>
      </c>
      <c r="M112" s="27">
        <f t="shared" si="53"/>
        <v>0</v>
      </c>
      <c r="N112" s="27">
        <f t="shared" si="54"/>
        <v>0</v>
      </c>
      <c r="P112" s="72" t="s">
        <v>123</v>
      </c>
      <c r="Q112" s="44">
        <f t="shared" si="79"/>
        <v>407694.79207340803</v>
      </c>
      <c r="R112" s="44">
        <f t="shared" si="48"/>
        <v>1935.9359277304952</v>
      </c>
      <c r="S112" s="44">
        <f t="shared" si="80"/>
        <v>1845.0640722695048</v>
      </c>
      <c r="T112" s="44">
        <f t="shared" si="81"/>
        <v>0</v>
      </c>
      <c r="U112" s="43">
        <f t="shared" si="55"/>
        <v>405849.72800113854</v>
      </c>
      <c r="W112" s="72" t="s">
        <v>123</v>
      </c>
      <c r="X112" s="44">
        <f t="shared" si="65"/>
        <v>386315.69169235165</v>
      </c>
      <c r="Y112" s="44">
        <f t="shared" si="49"/>
        <v>1834.4174160032433</v>
      </c>
      <c r="Z112" s="44">
        <f t="shared" si="66"/>
        <v>1049.5825839967567</v>
      </c>
      <c r="AA112" s="44">
        <f t="shared" si="67"/>
        <v>0</v>
      </c>
      <c r="AB112" s="43">
        <f t="shared" si="56"/>
        <v>385266.1091083549</v>
      </c>
      <c r="AD112" s="72" t="s">
        <v>123</v>
      </c>
      <c r="AE112" s="44">
        <f t="shared" si="68"/>
        <v>774926.65545933344</v>
      </c>
      <c r="AF112" s="44">
        <f t="shared" si="50"/>
        <v>3762.9589154414321</v>
      </c>
      <c r="AG112" s="44">
        <f t="shared" si="69"/>
        <v>2279.0410845585679</v>
      </c>
      <c r="AH112" s="44">
        <f t="shared" si="70"/>
        <v>0</v>
      </c>
      <c r="AI112" s="43">
        <f t="shared" si="57"/>
        <v>772647.61437477486</v>
      </c>
      <c r="AK112" s="101">
        <f t="shared" si="77"/>
        <v>2035</v>
      </c>
      <c r="AL112" s="101">
        <f t="shared" si="51"/>
        <v>2</v>
      </c>
      <c r="AM112" s="118">
        <f t="shared" si="71"/>
        <v>17039.156628761426</v>
      </c>
      <c r="AN112" s="100">
        <f t="shared" si="72"/>
        <v>16045.303664747027</v>
      </c>
      <c r="AO112" s="100">
        <f t="shared" si="73"/>
        <v>32938.108705412305</v>
      </c>
      <c r="AP112" s="100">
        <f t="shared" si="74"/>
        <v>33084.460293508455</v>
      </c>
      <c r="AQ112" s="1">
        <f t="shared" si="75"/>
        <v>53320</v>
      </c>
      <c r="AR112" s="100">
        <f t="shared" si="58"/>
        <v>791115.83710949344</v>
      </c>
      <c r="AS112" s="100">
        <f t="shared" si="59"/>
        <v>66022.56899892076</v>
      </c>
      <c r="AT112" s="100">
        <f t="shared" si="76"/>
        <v>35633.43100107924</v>
      </c>
      <c r="AU112" s="1">
        <f t="shared" si="60"/>
        <v>101656</v>
      </c>
      <c r="AV112" s="100">
        <f t="shared" si="61"/>
        <v>1563763.4514842683</v>
      </c>
    </row>
    <row r="113" spans="4:48">
      <c r="D113" s="39">
        <f t="shared" si="62"/>
        <v>105</v>
      </c>
      <c r="E113" s="40">
        <f t="shared" si="78"/>
        <v>2035</v>
      </c>
      <c r="F113" s="35">
        <f t="shared" si="45"/>
        <v>49398</v>
      </c>
      <c r="G113" s="36">
        <f t="shared" si="47"/>
        <v>3</v>
      </c>
      <c r="H113" s="41">
        <f t="shared" si="46"/>
        <v>31</v>
      </c>
      <c r="I113" s="37" t="s">
        <v>123</v>
      </c>
      <c r="J113" s="27">
        <f t="shared" si="63"/>
        <v>0</v>
      </c>
      <c r="K113" s="27">
        <f t="shared" si="52"/>
        <v>0</v>
      </c>
      <c r="L113" s="27">
        <f t="shared" si="64"/>
        <v>0</v>
      </c>
      <c r="M113" s="27">
        <f t="shared" si="53"/>
        <v>0</v>
      </c>
      <c r="N113" s="27">
        <f t="shared" si="54"/>
        <v>0</v>
      </c>
      <c r="P113" s="72" t="s">
        <v>123</v>
      </c>
      <c r="Q113" s="44">
        <f t="shared" si="79"/>
        <v>405849.72800113854</v>
      </c>
      <c r="R113" s="44">
        <f t="shared" si="48"/>
        <v>2133.6576522229716</v>
      </c>
      <c r="S113" s="44">
        <f t="shared" si="80"/>
        <v>1647.3423477770284</v>
      </c>
      <c r="T113" s="44">
        <f t="shared" si="81"/>
        <v>0</v>
      </c>
      <c r="U113" s="43">
        <f t="shared" si="55"/>
        <v>404202.3856533615</v>
      </c>
      <c r="W113" s="72" t="s">
        <v>123</v>
      </c>
      <c r="X113" s="44">
        <f t="shared" si="65"/>
        <v>385266.1091083549</v>
      </c>
      <c r="Y113" s="44">
        <f t="shared" si="49"/>
        <v>2025.4442103233487</v>
      </c>
      <c r="Z113" s="44">
        <f t="shared" si="66"/>
        <v>858.55578967665133</v>
      </c>
      <c r="AA113" s="44">
        <f t="shared" si="67"/>
        <v>0</v>
      </c>
      <c r="AB113" s="43">
        <f t="shared" si="56"/>
        <v>384407.55331867823</v>
      </c>
      <c r="AD113" s="72" t="s">
        <v>123</v>
      </c>
      <c r="AE113" s="44">
        <f t="shared" si="68"/>
        <v>772647.61437477486</v>
      </c>
      <c r="AF113" s="44">
        <f t="shared" si="50"/>
        <v>4153.8805854455359</v>
      </c>
      <c r="AG113" s="44">
        <f t="shared" si="69"/>
        <v>1888.1194145544641</v>
      </c>
      <c r="AH113" s="44">
        <f t="shared" si="70"/>
        <v>0</v>
      </c>
      <c r="AI113" s="43">
        <f t="shared" si="57"/>
        <v>770759.49496022041</v>
      </c>
      <c r="AK113" s="101">
        <f t="shared" si="77"/>
        <v>2035</v>
      </c>
      <c r="AL113" s="101">
        <f t="shared" si="51"/>
        <v>3</v>
      </c>
      <c r="AM113" s="118">
        <f t="shared" si="71"/>
        <v>19172.814280984399</v>
      </c>
      <c r="AN113" s="100">
        <f t="shared" si="72"/>
        <v>18070.747875070374</v>
      </c>
      <c r="AO113" s="100">
        <f t="shared" si="73"/>
        <v>37091.98929085784</v>
      </c>
      <c r="AP113" s="100">
        <f t="shared" si="74"/>
        <v>37243.562156054773</v>
      </c>
      <c r="AQ113" s="1">
        <f t="shared" si="75"/>
        <v>59985</v>
      </c>
      <c r="AR113" s="100">
        <f t="shared" si="58"/>
        <v>788609.93897203973</v>
      </c>
      <c r="AS113" s="100">
        <f t="shared" si="59"/>
        <v>74335.551446912606</v>
      </c>
      <c r="AT113" s="100">
        <f t="shared" si="76"/>
        <v>40027.448553087386</v>
      </c>
      <c r="AU113" s="1">
        <f t="shared" si="60"/>
        <v>114363</v>
      </c>
      <c r="AV113" s="100">
        <f t="shared" si="61"/>
        <v>1559369.4339322601</v>
      </c>
    </row>
    <row r="114" spans="4:48">
      <c r="D114" s="39">
        <f t="shared" si="62"/>
        <v>106</v>
      </c>
      <c r="E114" s="40">
        <f t="shared" si="78"/>
        <v>2035</v>
      </c>
      <c r="F114" s="35">
        <f t="shared" si="45"/>
        <v>49429</v>
      </c>
      <c r="G114" s="36">
        <f t="shared" si="47"/>
        <v>4</v>
      </c>
      <c r="H114" s="41">
        <f t="shared" si="46"/>
        <v>30</v>
      </c>
      <c r="I114" s="37" t="s">
        <v>123</v>
      </c>
      <c r="J114" s="27">
        <f t="shared" si="63"/>
        <v>0</v>
      </c>
      <c r="K114" s="27">
        <f t="shared" si="52"/>
        <v>0</v>
      </c>
      <c r="L114" s="27">
        <f t="shared" si="64"/>
        <v>0</v>
      </c>
      <c r="M114" s="27">
        <f t="shared" si="53"/>
        <v>0</v>
      </c>
      <c r="N114" s="27">
        <f t="shared" si="54"/>
        <v>0</v>
      </c>
      <c r="P114" s="72" t="s">
        <v>123</v>
      </c>
      <c r="Q114" s="44">
        <f t="shared" si="79"/>
        <v>404202.3856533615</v>
      </c>
      <c r="R114" s="44">
        <f t="shared" si="48"/>
        <v>2056.4488497487455</v>
      </c>
      <c r="S114" s="44">
        <f t="shared" si="80"/>
        <v>1724.5511502512545</v>
      </c>
      <c r="T114" s="44">
        <f t="shared" si="81"/>
        <v>0</v>
      </c>
      <c r="U114" s="43">
        <f t="shared" si="55"/>
        <v>402477.83450311027</v>
      </c>
      <c r="W114" s="72" t="s">
        <v>123</v>
      </c>
      <c r="X114" s="44">
        <f t="shared" si="65"/>
        <v>384407.55331867823</v>
      </c>
      <c r="Y114" s="44">
        <f t="shared" si="49"/>
        <v>1955.7392507199602</v>
      </c>
      <c r="Z114" s="44">
        <f t="shared" si="66"/>
        <v>928.26074928003982</v>
      </c>
      <c r="AA114" s="44">
        <f t="shared" si="67"/>
        <v>0</v>
      </c>
      <c r="AB114" s="43">
        <f t="shared" si="56"/>
        <v>383479.29256939818</v>
      </c>
      <c r="AD114" s="72" t="s">
        <v>123</v>
      </c>
      <c r="AE114" s="44">
        <f t="shared" si="68"/>
        <v>770759.49496022041</v>
      </c>
      <c r="AF114" s="44">
        <f t="shared" si="50"/>
        <v>4010.0610436423513</v>
      </c>
      <c r="AG114" s="44">
        <f t="shared" si="69"/>
        <v>2031.9389563576487</v>
      </c>
      <c r="AH114" s="44">
        <f t="shared" si="70"/>
        <v>0</v>
      </c>
      <c r="AI114" s="43">
        <f t="shared" si="57"/>
        <v>768727.55600386276</v>
      </c>
      <c r="AK114" s="101">
        <f t="shared" si="77"/>
        <v>2035</v>
      </c>
      <c r="AL114" s="101">
        <f t="shared" si="51"/>
        <v>4</v>
      </c>
      <c r="AM114" s="118">
        <f t="shared" si="71"/>
        <v>21229.263130733147</v>
      </c>
      <c r="AN114" s="100">
        <f t="shared" si="72"/>
        <v>20026.487125790336</v>
      </c>
      <c r="AO114" s="100">
        <f t="shared" si="73"/>
        <v>41102.050334500193</v>
      </c>
      <c r="AP114" s="100">
        <f t="shared" si="74"/>
        <v>41255.750256523483</v>
      </c>
      <c r="AQ114" s="1">
        <f t="shared" si="75"/>
        <v>66650</v>
      </c>
      <c r="AR114" s="100">
        <f t="shared" si="58"/>
        <v>785957.12707250845</v>
      </c>
      <c r="AS114" s="100">
        <f t="shared" si="59"/>
        <v>82357.800591023668</v>
      </c>
      <c r="AT114" s="100">
        <f t="shared" si="76"/>
        <v>44712.199408976325</v>
      </c>
      <c r="AU114" s="1">
        <f t="shared" si="60"/>
        <v>127070</v>
      </c>
      <c r="AV114" s="100">
        <f t="shared" si="61"/>
        <v>1554684.6830763712</v>
      </c>
    </row>
    <row r="115" spans="4:48">
      <c r="D115" s="39">
        <f t="shared" si="62"/>
        <v>107</v>
      </c>
      <c r="E115" s="40">
        <f t="shared" si="78"/>
        <v>2035</v>
      </c>
      <c r="F115" s="35">
        <f t="shared" ref="F115:F178" si="82">EDATE($E$5,D115)</f>
        <v>49459</v>
      </c>
      <c r="G115" s="36">
        <f t="shared" si="47"/>
        <v>5</v>
      </c>
      <c r="H115" s="41">
        <f t="shared" ref="H115:H178" si="83">DAY(EOMONTH(F115,0))</f>
        <v>31</v>
      </c>
      <c r="I115" s="37" t="s">
        <v>123</v>
      </c>
      <c r="J115" s="27">
        <f t="shared" si="63"/>
        <v>0</v>
      </c>
      <c r="K115" s="27">
        <f t="shared" si="52"/>
        <v>0</v>
      </c>
      <c r="L115" s="27">
        <f t="shared" si="64"/>
        <v>0</v>
      </c>
      <c r="M115" s="27">
        <f t="shared" si="53"/>
        <v>0</v>
      </c>
      <c r="N115" s="27">
        <f t="shared" si="54"/>
        <v>0</v>
      </c>
      <c r="P115" s="72" t="s">
        <v>123</v>
      </c>
      <c r="Q115" s="44">
        <f t="shared" si="79"/>
        <v>402477.83450311027</v>
      </c>
      <c r="R115" s="44">
        <f t="shared" si="48"/>
        <v>2115.9307304877211</v>
      </c>
      <c r="S115" s="44">
        <f t="shared" si="80"/>
        <v>1665.0692695122789</v>
      </c>
      <c r="T115" s="44">
        <f t="shared" si="81"/>
        <v>0</v>
      </c>
      <c r="U115" s="43">
        <f t="shared" si="55"/>
        <v>400812.76523359801</v>
      </c>
      <c r="W115" s="72" t="s">
        <v>123</v>
      </c>
      <c r="X115" s="44">
        <f t="shared" si="65"/>
        <v>383479.29256939818</v>
      </c>
      <c r="Y115" s="44">
        <f t="shared" si="49"/>
        <v>2016.0504507162138</v>
      </c>
      <c r="Z115" s="44">
        <f t="shared" si="66"/>
        <v>867.94954928378615</v>
      </c>
      <c r="AA115" s="44">
        <f t="shared" si="67"/>
        <v>0</v>
      </c>
      <c r="AB115" s="43">
        <f t="shared" si="56"/>
        <v>382611.34302011441</v>
      </c>
      <c r="AD115" s="72" t="s">
        <v>123</v>
      </c>
      <c r="AE115" s="44">
        <f t="shared" si="68"/>
        <v>768727.55600386276</v>
      </c>
      <c r="AF115" s="44">
        <f t="shared" si="50"/>
        <v>4132.8057072503552</v>
      </c>
      <c r="AG115" s="44">
        <f t="shared" si="69"/>
        <v>1909.1942927496448</v>
      </c>
      <c r="AH115" s="44">
        <f t="shared" si="70"/>
        <v>0</v>
      </c>
      <c r="AI115" s="43">
        <f t="shared" si="57"/>
        <v>766818.36171111313</v>
      </c>
      <c r="AK115" s="101">
        <f t="shared" si="77"/>
        <v>2035</v>
      </c>
      <c r="AL115" s="101">
        <f t="shared" si="51"/>
        <v>5</v>
      </c>
      <c r="AM115" s="118">
        <f t="shared" si="71"/>
        <v>23345.193861220869</v>
      </c>
      <c r="AN115" s="100">
        <f t="shared" si="72"/>
        <v>22042.537576506551</v>
      </c>
      <c r="AO115" s="100">
        <f t="shared" si="73"/>
        <v>45234.856041750551</v>
      </c>
      <c r="AP115" s="100">
        <f t="shared" si="74"/>
        <v>45387.731437727416</v>
      </c>
      <c r="AQ115" s="1">
        <f t="shared" si="75"/>
        <v>73315</v>
      </c>
      <c r="AR115" s="100">
        <f t="shared" si="58"/>
        <v>783424.10825371242</v>
      </c>
      <c r="AS115" s="100">
        <f t="shared" si="59"/>
        <v>90622.587479477967</v>
      </c>
      <c r="AT115" s="100">
        <f t="shared" si="76"/>
        <v>49154.412520522033</v>
      </c>
      <c r="AU115" s="1">
        <f t="shared" si="60"/>
        <v>139777</v>
      </c>
      <c r="AV115" s="100">
        <f t="shared" si="61"/>
        <v>1550242.4699648255</v>
      </c>
    </row>
    <row r="116" spans="4:48">
      <c r="D116" s="39">
        <f t="shared" si="62"/>
        <v>108</v>
      </c>
      <c r="E116" s="40">
        <f t="shared" si="78"/>
        <v>2035</v>
      </c>
      <c r="F116" s="35">
        <f t="shared" si="82"/>
        <v>49490</v>
      </c>
      <c r="G116" s="36">
        <f t="shared" si="47"/>
        <v>6</v>
      </c>
      <c r="H116" s="41">
        <f t="shared" si="83"/>
        <v>30</v>
      </c>
      <c r="I116" s="37" t="s">
        <v>123</v>
      </c>
      <c r="J116" s="27">
        <f t="shared" si="63"/>
        <v>0</v>
      </c>
      <c r="K116" s="27">
        <f t="shared" si="52"/>
        <v>0</v>
      </c>
      <c r="L116" s="27">
        <f t="shared" si="64"/>
        <v>0</v>
      </c>
      <c r="M116" s="27">
        <f t="shared" si="53"/>
        <v>0</v>
      </c>
      <c r="N116" s="27">
        <f t="shared" si="54"/>
        <v>0</v>
      </c>
      <c r="P116" s="72" t="s">
        <v>123</v>
      </c>
      <c r="Q116" s="44">
        <f t="shared" si="79"/>
        <v>400812.76523359801</v>
      </c>
      <c r="R116" s="44">
        <f t="shared" si="48"/>
        <v>2039.2035754487438</v>
      </c>
      <c r="S116" s="44">
        <f t="shared" si="80"/>
        <v>1741.7964245512562</v>
      </c>
      <c r="T116" s="44">
        <f t="shared" si="81"/>
        <v>0</v>
      </c>
      <c r="U116" s="43">
        <f t="shared" si="55"/>
        <v>399070.96880904672</v>
      </c>
      <c r="W116" s="72" t="s">
        <v>123</v>
      </c>
      <c r="X116" s="44">
        <f t="shared" si="65"/>
        <v>382611.34302011441</v>
      </c>
      <c r="Y116" s="44">
        <f t="shared" si="49"/>
        <v>1946.6007232557602</v>
      </c>
      <c r="Z116" s="44">
        <f t="shared" si="66"/>
        <v>937.39927674423984</v>
      </c>
      <c r="AA116" s="44">
        <f t="shared" si="67"/>
        <v>0</v>
      </c>
      <c r="AB116" s="43">
        <f t="shared" si="56"/>
        <v>381673.94374337018</v>
      </c>
      <c r="AD116" s="72" t="s">
        <v>123</v>
      </c>
      <c r="AE116" s="44">
        <f t="shared" si="68"/>
        <v>766818.36171111313</v>
      </c>
      <c r="AF116" s="44">
        <f t="shared" si="50"/>
        <v>3989.556353121654</v>
      </c>
      <c r="AG116" s="44">
        <f t="shared" si="69"/>
        <v>2052.443646878346</v>
      </c>
      <c r="AH116" s="44">
        <f t="shared" si="70"/>
        <v>0</v>
      </c>
      <c r="AI116" s="43">
        <f t="shared" si="57"/>
        <v>764765.91806423478</v>
      </c>
      <c r="AK116" s="101">
        <f t="shared" si="77"/>
        <v>2035</v>
      </c>
      <c r="AL116" s="101">
        <f t="shared" si="51"/>
        <v>6</v>
      </c>
      <c r="AM116" s="118">
        <f t="shared" si="71"/>
        <v>25384.397436669613</v>
      </c>
      <c r="AN116" s="100">
        <f t="shared" si="72"/>
        <v>23989.138299762311</v>
      </c>
      <c r="AO116" s="100">
        <f t="shared" si="73"/>
        <v>49224.412394872204</v>
      </c>
      <c r="AP116" s="100">
        <f t="shared" si="74"/>
        <v>49373.535736431921</v>
      </c>
      <c r="AQ116" s="1">
        <f t="shared" si="75"/>
        <v>79980</v>
      </c>
      <c r="AR116" s="100">
        <f t="shared" si="58"/>
        <v>780744.91255241691</v>
      </c>
      <c r="AS116" s="100">
        <f t="shared" si="59"/>
        <v>98597.948131304118</v>
      </c>
      <c r="AT116" s="100">
        <f t="shared" si="76"/>
        <v>53886.051868695875</v>
      </c>
      <c r="AU116" s="1">
        <f t="shared" si="60"/>
        <v>152484</v>
      </c>
      <c r="AV116" s="100">
        <f t="shared" si="61"/>
        <v>1545510.8306166516</v>
      </c>
    </row>
    <row r="117" spans="4:48">
      <c r="D117" s="39">
        <f t="shared" si="62"/>
        <v>109</v>
      </c>
      <c r="E117" s="40">
        <f t="shared" si="78"/>
        <v>2036</v>
      </c>
      <c r="F117" s="35">
        <f t="shared" si="82"/>
        <v>49520</v>
      </c>
      <c r="G117" s="36">
        <f t="shared" si="47"/>
        <v>7</v>
      </c>
      <c r="H117" s="41">
        <f t="shared" si="83"/>
        <v>31</v>
      </c>
      <c r="I117" s="37" t="s">
        <v>123</v>
      </c>
      <c r="J117" s="27">
        <f t="shared" si="63"/>
        <v>0</v>
      </c>
      <c r="K117" s="27">
        <f t="shared" si="52"/>
        <v>0</v>
      </c>
      <c r="L117" s="27">
        <f t="shared" si="64"/>
        <v>0</v>
      </c>
      <c r="M117" s="27">
        <f t="shared" si="53"/>
        <v>0</v>
      </c>
      <c r="N117" s="27">
        <f t="shared" si="54"/>
        <v>0</v>
      </c>
      <c r="P117" s="72" t="s">
        <v>123</v>
      </c>
      <c r="Q117" s="44">
        <f t="shared" si="79"/>
        <v>399070.96880904672</v>
      </c>
      <c r="R117" s="44">
        <f t="shared" si="48"/>
        <v>2098.0199508155611</v>
      </c>
      <c r="S117" s="44">
        <f t="shared" si="80"/>
        <v>1682.9800491844389</v>
      </c>
      <c r="T117" s="44">
        <f t="shared" si="81"/>
        <v>0</v>
      </c>
      <c r="U117" s="43">
        <f t="shared" si="55"/>
        <v>397387.98875986226</v>
      </c>
      <c r="W117" s="72" t="s">
        <v>123</v>
      </c>
      <c r="X117" s="44">
        <f t="shared" si="65"/>
        <v>381673.94374337018</v>
      </c>
      <c r="Y117" s="44">
        <f t="shared" si="49"/>
        <v>2006.559262052474</v>
      </c>
      <c r="Z117" s="44">
        <f t="shared" si="66"/>
        <v>877.44073794752603</v>
      </c>
      <c r="AA117" s="44">
        <f t="shared" si="67"/>
        <v>0</v>
      </c>
      <c r="AB117" s="43">
        <f t="shared" si="56"/>
        <v>380796.50300542265</v>
      </c>
      <c r="AD117" s="72" t="s">
        <v>123</v>
      </c>
      <c r="AE117" s="44">
        <f t="shared" si="68"/>
        <v>764765.91806423478</v>
      </c>
      <c r="AF117" s="44">
        <f t="shared" si="50"/>
        <v>4111.5072904587605</v>
      </c>
      <c r="AG117" s="44">
        <f t="shared" si="69"/>
        <v>1930.4927095412395</v>
      </c>
      <c r="AH117" s="44">
        <f t="shared" si="70"/>
        <v>0</v>
      </c>
      <c r="AI117" s="43">
        <f t="shared" si="57"/>
        <v>762835.42535469355</v>
      </c>
      <c r="AK117" s="101">
        <f t="shared" si="77"/>
        <v>2036</v>
      </c>
      <c r="AL117" s="101">
        <f t="shared" si="51"/>
        <v>7</v>
      </c>
      <c r="AM117" s="118">
        <f t="shared" si="71"/>
        <v>2098.0199508155611</v>
      </c>
      <c r="AN117" s="100">
        <f t="shared" si="72"/>
        <v>2006.559262052474</v>
      </c>
      <c r="AO117" s="100">
        <f t="shared" si="73"/>
        <v>4111.5072904587605</v>
      </c>
      <c r="AP117" s="100">
        <f t="shared" si="74"/>
        <v>4104.579212868035</v>
      </c>
      <c r="AQ117" s="1">
        <f t="shared" si="75"/>
        <v>6665</v>
      </c>
      <c r="AR117" s="100">
        <f t="shared" si="58"/>
        <v>778184.49176528491</v>
      </c>
      <c r="AS117" s="100">
        <f t="shared" si="59"/>
        <v>8216.0865033267946</v>
      </c>
      <c r="AT117" s="100">
        <f t="shared" si="76"/>
        <v>4490.9134966732045</v>
      </c>
      <c r="AU117" s="1">
        <f t="shared" si="60"/>
        <v>12707</v>
      </c>
      <c r="AV117" s="100">
        <f t="shared" si="61"/>
        <v>1541019.9171199785</v>
      </c>
    </row>
    <row r="118" spans="4:48">
      <c r="D118" s="39">
        <f t="shared" si="62"/>
        <v>110</v>
      </c>
      <c r="E118" s="40">
        <f t="shared" si="78"/>
        <v>2036</v>
      </c>
      <c r="F118" s="35">
        <f t="shared" si="82"/>
        <v>49551</v>
      </c>
      <c r="G118" s="36">
        <f t="shared" si="47"/>
        <v>8</v>
      </c>
      <c r="H118" s="41">
        <f t="shared" si="83"/>
        <v>31</v>
      </c>
      <c r="I118" s="37" t="s">
        <v>123</v>
      </c>
      <c r="J118" s="27">
        <f t="shared" si="63"/>
        <v>0</v>
      </c>
      <c r="K118" s="27">
        <f t="shared" si="52"/>
        <v>0</v>
      </c>
      <c r="L118" s="27">
        <f t="shared" si="64"/>
        <v>0</v>
      </c>
      <c r="M118" s="27">
        <f t="shared" si="53"/>
        <v>0</v>
      </c>
      <c r="N118" s="27">
        <f t="shared" si="54"/>
        <v>0</v>
      </c>
      <c r="P118" s="72" t="s">
        <v>123</v>
      </c>
      <c r="Q118" s="44">
        <f t="shared" si="79"/>
        <v>397387.98875986226</v>
      </c>
      <c r="R118" s="44">
        <f t="shared" si="48"/>
        <v>2089.1720866610949</v>
      </c>
      <c r="S118" s="44">
        <f t="shared" si="80"/>
        <v>1691.8279133389051</v>
      </c>
      <c r="T118" s="44">
        <f t="shared" si="81"/>
        <v>0</v>
      </c>
      <c r="U118" s="43">
        <f t="shared" si="55"/>
        <v>395696.16084652336</v>
      </c>
      <c r="W118" s="72" t="s">
        <v>123</v>
      </c>
      <c r="X118" s="44">
        <f t="shared" si="65"/>
        <v>380796.50300542265</v>
      </c>
      <c r="Y118" s="44">
        <f t="shared" si="49"/>
        <v>2001.9463277180976</v>
      </c>
      <c r="Z118" s="44">
        <f t="shared" si="66"/>
        <v>882.05367228190244</v>
      </c>
      <c r="AA118" s="44">
        <f t="shared" si="67"/>
        <v>0</v>
      </c>
      <c r="AB118" s="43">
        <f t="shared" si="56"/>
        <v>379914.44933314074</v>
      </c>
      <c r="AD118" s="72" t="s">
        <v>123</v>
      </c>
      <c r="AE118" s="44">
        <f t="shared" si="68"/>
        <v>762835.42535469355</v>
      </c>
      <c r="AF118" s="44">
        <f t="shared" si="50"/>
        <v>4101.1286443110002</v>
      </c>
      <c r="AG118" s="44">
        <f t="shared" si="69"/>
        <v>1940.8713556889998</v>
      </c>
      <c r="AH118" s="44">
        <f t="shared" si="70"/>
        <v>0</v>
      </c>
      <c r="AI118" s="43">
        <f t="shared" si="57"/>
        <v>760894.55399900454</v>
      </c>
      <c r="AK118" s="101">
        <f t="shared" si="77"/>
        <v>2036</v>
      </c>
      <c r="AL118" s="101">
        <f t="shared" si="51"/>
        <v>8</v>
      </c>
      <c r="AM118" s="118">
        <f t="shared" si="71"/>
        <v>4187.192037476656</v>
      </c>
      <c r="AN118" s="100">
        <f t="shared" si="72"/>
        <v>4008.5055897705715</v>
      </c>
      <c r="AO118" s="100">
        <f t="shared" si="73"/>
        <v>8212.6359347697617</v>
      </c>
      <c r="AP118" s="100">
        <f t="shared" si="74"/>
        <v>8195.6976272472275</v>
      </c>
      <c r="AQ118" s="1">
        <f t="shared" si="75"/>
        <v>13330</v>
      </c>
      <c r="AR118" s="100">
        <f t="shared" si="58"/>
        <v>775610.6101796641</v>
      </c>
      <c r="AS118" s="100">
        <f t="shared" si="59"/>
        <v>16408.333562016989</v>
      </c>
      <c r="AT118" s="100">
        <f t="shared" si="76"/>
        <v>9005.6664379830108</v>
      </c>
      <c r="AU118" s="1">
        <f t="shared" si="60"/>
        <v>25414</v>
      </c>
      <c r="AV118" s="100">
        <f t="shared" si="61"/>
        <v>1536505.1641786685</v>
      </c>
    </row>
    <row r="119" spans="4:48">
      <c r="D119" s="39">
        <f t="shared" si="62"/>
        <v>111</v>
      </c>
      <c r="E119" s="40">
        <f t="shared" si="78"/>
        <v>2036</v>
      </c>
      <c r="F119" s="35">
        <f t="shared" si="82"/>
        <v>49582</v>
      </c>
      <c r="G119" s="36">
        <f t="shared" si="47"/>
        <v>9</v>
      </c>
      <c r="H119" s="41">
        <f t="shared" si="83"/>
        <v>30</v>
      </c>
      <c r="I119" s="37" t="s">
        <v>123</v>
      </c>
      <c r="J119" s="27">
        <f t="shared" si="63"/>
        <v>0</v>
      </c>
      <c r="K119" s="27">
        <f t="shared" si="52"/>
        <v>0</v>
      </c>
      <c r="L119" s="27">
        <f t="shared" si="64"/>
        <v>0</v>
      </c>
      <c r="M119" s="27">
        <f t="shared" si="53"/>
        <v>0</v>
      </c>
      <c r="N119" s="27">
        <f t="shared" si="54"/>
        <v>0</v>
      </c>
      <c r="P119" s="72" t="s">
        <v>123</v>
      </c>
      <c r="Q119" s="44">
        <f t="shared" si="79"/>
        <v>395696.16084652336</v>
      </c>
      <c r="R119" s="44">
        <f t="shared" si="48"/>
        <v>2013.1719744986131</v>
      </c>
      <c r="S119" s="44">
        <f t="shared" si="80"/>
        <v>1767.8280255013869</v>
      </c>
      <c r="T119" s="44">
        <f t="shared" si="81"/>
        <v>0</v>
      </c>
      <c r="U119" s="43">
        <f t="shared" si="55"/>
        <v>393928.33282102196</v>
      </c>
      <c r="W119" s="72" t="s">
        <v>123</v>
      </c>
      <c r="X119" s="44">
        <f t="shared" si="65"/>
        <v>379914.44933314074</v>
      </c>
      <c r="Y119" s="44">
        <f t="shared" si="49"/>
        <v>1932.8798148264173</v>
      </c>
      <c r="Z119" s="44">
        <f t="shared" si="66"/>
        <v>951.12018517358274</v>
      </c>
      <c r="AA119" s="44">
        <f t="shared" si="67"/>
        <v>0</v>
      </c>
      <c r="AB119" s="43">
        <f t="shared" si="56"/>
        <v>378963.32914796716</v>
      </c>
      <c r="AD119" s="72" t="s">
        <v>123</v>
      </c>
      <c r="AE119" s="44">
        <f t="shared" si="68"/>
        <v>760894.55399900454</v>
      </c>
      <c r="AF119" s="44">
        <f t="shared" si="50"/>
        <v>3958.7363234085187</v>
      </c>
      <c r="AG119" s="44">
        <f t="shared" si="69"/>
        <v>2083.2636765914813</v>
      </c>
      <c r="AH119" s="44">
        <f t="shared" si="70"/>
        <v>0</v>
      </c>
      <c r="AI119" s="43">
        <f t="shared" si="57"/>
        <v>758811.29032241309</v>
      </c>
      <c r="AK119" s="101">
        <f t="shared" si="77"/>
        <v>2036</v>
      </c>
      <c r="AL119" s="101">
        <f t="shared" si="51"/>
        <v>9</v>
      </c>
      <c r="AM119" s="118">
        <f t="shared" si="71"/>
        <v>6200.364011975269</v>
      </c>
      <c r="AN119" s="100">
        <f t="shared" si="72"/>
        <v>5941.3854045969892</v>
      </c>
      <c r="AO119" s="100">
        <f t="shared" si="73"/>
        <v>12171.37225817828</v>
      </c>
      <c r="AP119" s="100">
        <f t="shared" si="74"/>
        <v>12141.749416572258</v>
      </c>
      <c r="AQ119" s="1">
        <f t="shared" si="75"/>
        <v>19995</v>
      </c>
      <c r="AR119" s="100">
        <f t="shared" si="58"/>
        <v>772891.66196898906</v>
      </c>
      <c r="AS119" s="100">
        <f t="shared" si="59"/>
        <v>24313.121674750539</v>
      </c>
      <c r="AT119" s="100">
        <f t="shared" si="76"/>
        <v>13807.878325249461</v>
      </c>
      <c r="AU119" s="1">
        <f t="shared" si="60"/>
        <v>38121</v>
      </c>
      <c r="AV119" s="100">
        <f t="shared" si="61"/>
        <v>1531702.952291402</v>
      </c>
    </row>
    <row r="120" spans="4:48">
      <c r="D120" s="39">
        <f t="shared" si="62"/>
        <v>112</v>
      </c>
      <c r="E120" s="40">
        <f t="shared" si="78"/>
        <v>2036</v>
      </c>
      <c r="F120" s="35">
        <f t="shared" si="82"/>
        <v>49612</v>
      </c>
      <c r="G120" s="36">
        <f t="shared" si="47"/>
        <v>10</v>
      </c>
      <c r="H120" s="41">
        <f t="shared" si="83"/>
        <v>31</v>
      </c>
      <c r="I120" s="37" t="s">
        <v>123</v>
      </c>
      <c r="J120" s="27">
        <f t="shared" si="63"/>
        <v>0</v>
      </c>
      <c r="K120" s="27">
        <f t="shared" si="52"/>
        <v>0</v>
      </c>
      <c r="L120" s="27">
        <f t="shared" si="64"/>
        <v>0</v>
      </c>
      <c r="M120" s="27">
        <f t="shared" si="53"/>
        <v>0</v>
      </c>
      <c r="N120" s="27">
        <f t="shared" si="54"/>
        <v>0</v>
      </c>
      <c r="P120" s="72" t="s">
        <v>123</v>
      </c>
      <c r="Q120" s="44">
        <f t="shared" si="79"/>
        <v>393928.33282102196</v>
      </c>
      <c r="R120" s="44">
        <f t="shared" si="48"/>
        <v>2070.9837749322164</v>
      </c>
      <c r="S120" s="44">
        <f t="shared" si="80"/>
        <v>1710.0162250677836</v>
      </c>
      <c r="T120" s="44">
        <f t="shared" si="81"/>
        <v>0</v>
      </c>
      <c r="U120" s="43">
        <f t="shared" si="55"/>
        <v>392218.31659595418</v>
      </c>
      <c r="W120" s="72" t="s">
        <v>123</v>
      </c>
      <c r="X120" s="44">
        <f t="shared" si="65"/>
        <v>378963.32914796716</v>
      </c>
      <c r="Y120" s="44">
        <f t="shared" si="49"/>
        <v>1992.3088556220114</v>
      </c>
      <c r="Z120" s="44">
        <f t="shared" si="66"/>
        <v>891.69114437798862</v>
      </c>
      <c r="AA120" s="44">
        <f t="shared" si="67"/>
        <v>0</v>
      </c>
      <c r="AB120" s="43">
        <f t="shared" si="56"/>
        <v>378071.63800358918</v>
      </c>
      <c r="AD120" s="72" t="s">
        <v>123</v>
      </c>
      <c r="AE120" s="44">
        <f t="shared" si="68"/>
        <v>758811.29032241309</v>
      </c>
      <c r="AF120" s="44">
        <f t="shared" si="50"/>
        <v>4079.4942328758111</v>
      </c>
      <c r="AG120" s="44">
        <f t="shared" si="69"/>
        <v>1962.5057671241889</v>
      </c>
      <c r="AH120" s="44">
        <f t="shared" si="70"/>
        <v>0</v>
      </c>
      <c r="AI120" s="43">
        <f t="shared" si="57"/>
        <v>756848.78455528885</v>
      </c>
      <c r="AK120" s="101">
        <f t="shared" si="77"/>
        <v>2036</v>
      </c>
      <c r="AL120" s="101">
        <f t="shared" si="51"/>
        <v>10</v>
      </c>
      <c r="AM120" s="118">
        <f t="shared" si="71"/>
        <v>8271.347786907485</v>
      </c>
      <c r="AN120" s="100">
        <f t="shared" si="72"/>
        <v>7933.6942602190011</v>
      </c>
      <c r="AO120" s="100">
        <f t="shared" si="73"/>
        <v>16250.866491054092</v>
      </c>
      <c r="AP120" s="100">
        <f t="shared" si="74"/>
        <v>16205.042047126486</v>
      </c>
      <c r="AQ120" s="1">
        <f t="shared" si="75"/>
        <v>26660</v>
      </c>
      <c r="AR120" s="100">
        <f t="shared" si="58"/>
        <v>770289.95459954336</v>
      </c>
      <c r="AS120" s="100">
        <f t="shared" si="59"/>
        <v>32455.908538180578</v>
      </c>
      <c r="AT120" s="100">
        <f t="shared" si="76"/>
        <v>18372.091461819422</v>
      </c>
      <c r="AU120" s="1">
        <f t="shared" si="60"/>
        <v>50828</v>
      </c>
      <c r="AV120" s="100">
        <f t="shared" si="61"/>
        <v>1527138.7391548322</v>
      </c>
    </row>
    <row r="121" spans="4:48">
      <c r="D121" s="39">
        <f t="shared" si="62"/>
        <v>113</v>
      </c>
      <c r="E121" s="40">
        <f t="shared" si="78"/>
        <v>2036</v>
      </c>
      <c r="F121" s="35">
        <f t="shared" si="82"/>
        <v>49643</v>
      </c>
      <c r="G121" s="36">
        <f t="shared" si="47"/>
        <v>11</v>
      </c>
      <c r="H121" s="41">
        <f t="shared" si="83"/>
        <v>30</v>
      </c>
      <c r="I121" s="37" t="s">
        <v>123</v>
      </c>
      <c r="J121" s="27">
        <f t="shared" si="63"/>
        <v>0</v>
      </c>
      <c r="K121" s="27">
        <f t="shared" si="52"/>
        <v>0</v>
      </c>
      <c r="L121" s="27">
        <f t="shared" si="64"/>
        <v>0</v>
      </c>
      <c r="M121" s="27">
        <f t="shared" si="53"/>
        <v>0</v>
      </c>
      <c r="N121" s="27">
        <f t="shared" si="54"/>
        <v>0</v>
      </c>
      <c r="P121" s="72" t="s">
        <v>123</v>
      </c>
      <c r="Q121" s="44">
        <f t="shared" si="79"/>
        <v>392218.31659595418</v>
      </c>
      <c r="R121" s="44">
        <f t="shared" si="48"/>
        <v>1995.4778463525668</v>
      </c>
      <c r="S121" s="44">
        <f t="shared" si="80"/>
        <v>1785.5221536474332</v>
      </c>
      <c r="T121" s="44">
        <f t="shared" si="81"/>
        <v>0</v>
      </c>
      <c r="U121" s="43">
        <f t="shared" si="55"/>
        <v>390432.79444230674</v>
      </c>
      <c r="W121" s="72" t="s">
        <v>123</v>
      </c>
      <c r="X121" s="44">
        <f t="shared" si="65"/>
        <v>378071.63800358918</v>
      </c>
      <c r="Y121" s="44">
        <f t="shared" si="49"/>
        <v>1923.5041966374386</v>
      </c>
      <c r="Z121" s="44">
        <f t="shared" si="66"/>
        <v>960.49580336256145</v>
      </c>
      <c r="AA121" s="44">
        <f t="shared" si="67"/>
        <v>0</v>
      </c>
      <c r="AB121" s="43">
        <f t="shared" si="56"/>
        <v>377111.1422002266</v>
      </c>
      <c r="AD121" s="72" t="s">
        <v>123</v>
      </c>
      <c r="AE121" s="44">
        <f t="shared" si="68"/>
        <v>756848.78455528885</v>
      </c>
      <c r="AF121" s="44">
        <f t="shared" si="50"/>
        <v>3937.6872380013519</v>
      </c>
      <c r="AG121" s="44">
        <f t="shared" si="69"/>
        <v>2104.3127619986481</v>
      </c>
      <c r="AH121" s="44">
        <f t="shared" si="70"/>
        <v>0</v>
      </c>
      <c r="AI121" s="43">
        <f t="shared" si="57"/>
        <v>754744.47179329023</v>
      </c>
      <c r="AK121" s="101">
        <f t="shared" si="77"/>
        <v>2036</v>
      </c>
      <c r="AL121" s="101">
        <f t="shared" si="51"/>
        <v>11</v>
      </c>
      <c r="AM121" s="118">
        <f t="shared" si="71"/>
        <v>10266.825633260052</v>
      </c>
      <c r="AN121" s="100">
        <f t="shared" si="72"/>
        <v>9857.1984568564403</v>
      </c>
      <c r="AO121" s="100">
        <f t="shared" si="73"/>
        <v>20188.553729055442</v>
      </c>
      <c r="AP121" s="100">
        <f t="shared" si="74"/>
        <v>20124.024090116494</v>
      </c>
      <c r="AQ121" s="1">
        <f t="shared" si="75"/>
        <v>33325</v>
      </c>
      <c r="AR121" s="100">
        <f t="shared" si="58"/>
        <v>767543.9366425334</v>
      </c>
      <c r="AS121" s="100">
        <f t="shared" si="59"/>
        <v>40312.577819171936</v>
      </c>
      <c r="AT121" s="100">
        <f t="shared" si="76"/>
        <v>23222.422180828067</v>
      </c>
      <c r="AU121" s="1">
        <f t="shared" si="60"/>
        <v>63535</v>
      </c>
      <c r="AV121" s="100">
        <f t="shared" si="61"/>
        <v>1522288.4084358236</v>
      </c>
    </row>
    <row r="122" spans="4:48">
      <c r="D122" s="39">
        <f t="shared" si="62"/>
        <v>114</v>
      </c>
      <c r="E122" s="40">
        <f t="shared" si="78"/>
        <v>2036</v>
      </c>
      <c r="F122" s="35">
        <f t="shared" si="82"/>
        <v>49673</v>
      </c>
      <c r="G122" s="36">
        <f t="shared" si="47"/>
        <v>12</v>
      </c>
      <c r="H122" s="41">
        <f t="shared" si="83"/>
        <v>31</v>
      </c>
      <c r="I122" s="37" t="s">
        <v>123</v>
      </c>
      <c r="J122" s="27">
        <f t="shared" si="63"/>
        <v>0</v>
      </c>
      <c r="K122" s="27">
        <f t="shared" si="52"/>
        <v>0</v>
      </c>
      <c r="L122" s="27">
        <f t="shared" si="64"/>
        <v>0</v>
      </c>
      <c r="M122" s="27">
        <f t="shared" si="53"/>
        <v>0</v>
      </c>
      <c r="N122" s="27">
        <f t="shared" si="54"/>
        <v>0</v>
      </c>
      <c r="P122" s="72" t="s">
        <v>123</v>
      </c>
      <c r="Q122" s="44">
        <f t="shared" si="79"/>
        <v>390432.79444230674</v>
      </c>
      <c r="R122" s="44">
        <f t="shared" si="48"/>
        <v>2052.6068198776502</v>
      </c>
      <c r="S122" s="44">
        <f t="shared" si="80"/>
        <v>1728.3931801223498</v>
      </c>
      <c r="T122" s="44">
        <f t="shared" si="81"/>
        <v>0</v>
      </c>
      <c r="U122" s="43">
        <f t="shared" si="55"/>
        <v>388704.40126218437</v>
      </c>
      <c r="W122" s="72" t="s">
        <v>123</v>
      </c>
      <c r="X122" s="44">
        <f t="shared" si="65"/>
        <v>377111.1422002266</v>
      </c>
      <c r="Y122" s="44">
        <f t="shared" si="49"/>
        <v>1982.5714267616845</v>
      </c>
      <c r="Z122" s="44">
        <f t="shared" si="66"/>
        <v>901.42857323831549</v>
      </c>
      <c r="AA122" s="44">
        <f t="shared" si="67"/>
        <v>0</v>
      </c>
      <c r="AB122" s="43">
        <f t="shared" si="56"/>
        <v>376209.71362698829</v>
      </c>
      <c r="AD122" s="72" t="s">
        <v>123</v>
      </c>
      <c r="AE122" s="44">
        <f t="shared" si="68"/>
        <v>754744.47179329023</v>
      </c>
      <c r="AF122" s="44">
        <f t="shared" si="50"/>
        <v>4057.6303479451321</v>
      </c>
      <c r="AG122" s="44">
        <f t="shared" si="69"/>
        <v>1984.3696520548679</v>
      </c>
      <c r="AH122" s="44">
        <f t="shared" si="70"/>
        <v>0</v>
      </c>
      <c r="AI122" s="43">
        <f t="shared" si="57"/>
        <v>752760.10214123537</v>
      </c>
      <c r="AK122" s="101">
        <f t="shared" si="77"/>
        <v>2036</v>
      </c>
      <c r="AL122" s="101">
        <f t="shared" si="51"/>
        <v>12</v>
      </c>
      <c r="AM122" s="118">
        <f t="shared" si="71"/>
        <v>12319.432453137702</v>
      </c>
      <c r="AN122" s="100">
        <f t="shared" si="72"/>
        <v>11839.769883618124</v>
      </c>
      <c r="AO122" s="100">
        <f t="shared" si="73"/>
        <v>24246.184077000573</v>
      </c>
      <c r="AP122" s="100">
        <f t="shared" si="74"/>
        <v>24159.202336755829</v>
      </c>
      <c r="AQ122" s="1">
        <f t="shared" si="75"/>
        <v>39990</v>
      </c>
      <c r="AR122" s="100">
        <f t="shared" si="58"/>
        <v>764914.1148891726</v>
      </c>
      <c r="AS122" s="100">
        <f t="shared" si="59"/>
        <v>48405.386413756401</v>
      </c>
      <c r="AT122" s="100">
        <f t="shared" si="76"/>
        <v>27836.613586243599</v>
      </c>
      <c r="AU122" s="1">
        <f t="shared" si="60"/>
        <v>76242</v>
      </c>
      <c r="AV122" s="100">
        <f t="shared" si="61"/>
        <v>1517674.2170304079</v>
      </c>
    </row>
    <row r="123" spans="4:48">
      <c r="D123" s="39">
        <f t="shared" si="62"/>
        <v>115</v>
      </c>
      <c r="E123" s="40">
        <f t="shared" si="78"/>
        <v>2036</v>
      </c>
      <c r="F123" s="35">
        <f t="shared" si="82"/>
        <v>49704</v>
      </c>
      <c r="G123" s="36">
        <f t="shared" si="47"/>
        <v>1</v>
      </c>
      <c r="H123" s="41">
        <f t="shared" si="83"/>
        <v>31</v>
      </c>
      <c r="I123" s="37" t="s">
        <v>123</v>
      </c>
      <c r="J123" s="27">
        <f t="shared" si="63"/>
        <v>0</v>
      </c>
      <c r="K123" s="27">
        <f t="shared" si="52"/>
        <v>0</v>
      </c>
      <c r="L123" s="27">
        <f t="shared" si="64"/>
        <v>0</v>
      </c>
      <c r="M123" s="27">
        <f t="shared" si="53"/>
        <v>0</v>
      </c>
      <c r="N123" s="27">
        <f t="shared" si="54"/>
        <v>0</v>
      </c>
      <c r="P123" s="72" t="s">
        <v>123</v>
      </c>
      <c r="Q123" s="44">
        <f t="shared" si="79"/>
        <v>388704.40126218437</v>
      </c>
      <c r="R123" s="44">
        <f t="shared" si="48"/>
        <v>2043.5202070739881</v>
      </c>
      <c r="S123" s="44">
        <f t="shared" si="80"/>
        <v>1737.4797929260119</v>
      </c>
      <c r="T123" s="44">
        <f t="shared" si="81"/>
        <v>0</v>
      </c>
      <c r="U123" s="43">
        <f t="shared" si="55"/>
        <v>386966.92146925838</v>
      </c>
      <c r="W123" s="72" t="s">
        <v>123</v>
      </c>
      <c r="X123" s="44">
        <f t="shared" si="65"/>
        <v>376209.71362698829</v>
      </c>
      <c r="Y123" s="44">
        <f t="shared" si="49"/>
        <v>1977.8323821337749</v>
      </c>
      <c r="Z123" s="44">
        <f t="shared" si="66"/>
        <v>906.1676178662251</v>
      </c>
      <c r="AA123" s="44">
        <f t="shared" si="67"/>
        <v>0</v>
      </c>
      <c r="AB123" s="43">
        <f t="shared" si="56"/>
        <v>375303.54600912204</v>
      </c>
      <c r="AD123" s="72" t="s">
        <v>123</v>
      </c>
      <c r="AE123" s="44">
        <f t="shared" si="68"/>
        <v>752760.10214123537</v>
      </c>
      <c r="AF123" s="44">
        <f t="shared" si="50"/>
        <v>4046.9620504979348</v>
      </c>
      <c r="AG123" s="44">
        <f t="shared" si="69"/>
        <v>1995.0379495020652</v>
      </c>
      <c r="AH123" s="44">
        <f t="shared" si="70"/>
        <v>0</v>
      </c>
      <c r="AI123" s="43">
        <f t="shared" si="57"/>
        <v>750765.06419173325</v>
      </c>
      <c r="AK123" s="101">
        <f t="shared" si="77"/>
        <v>2036</v>
      </c>
      <c r="AL123" s="101">
        <f t="shared" si="51"/>
        <v>1</v>
      </c>
      <c r="AM123" s="118">
        <f t="shared" si="71"/>
        <v>14362.952660211691</v>
      </c>
      <c r="AN123" s="100">
        <f t="shared" si="72"/>
        <v>13817.602265751899</v>
      </c>
      <c r="AO123" s="100">
        <f t="shared" si="73"/>
        <v>28293.146127498509</v>
      </c>
      <c r="AP123" s="100">
        <f t="shared" si="74"/>
        <v>28180.554925963588</v>
      </c>
      <c r="AQ123" s="1">
        <f t="shared" si="75"/>
        <v>46655</v>
      </c>
      <c r="AR123" s="100">
        <f t="shared" si="58"/>
        <v>762270.46747838042</v>
      </c>
      <c r="AS123" s="100">
        <f t="shared" si="59"/>
        <v>56473.701053462093</v>
      </c>
      <c r="AT123" s="100">
        <f t="shared" si="76"/>
        <v>32475.2989465379</v>
      </c>
      <c r="AU123" s="1">
        <f t="shared" si="60"/>
        <v>88949</v>
      </c>
      <c r="AV123" s="100">
        <f t="shared" si="61"/>
        <v>1513035.5316701136</v>
      </c>
    </row>
    <row r="124" spans="4:48">
      <c r="D124" s="39">
        <f t="shared" si="62"/>
        <v>116</v>
      </c>
      <c r="E124" s="40">
        <f t="shared" si="78"/>
        <v>2036</v>
      </c>
      <c r="F124" s="35">
        <f t="shared" si="82"/>
        <v>49734</v>
      </c>
      <c r="G124" s="36">
        <f t="shared" si="47"/>
        <v>2</v>
      </c>
      <c r="H124" s="41">
        <f t="shared" si="83"/>
        <v>29</v>
      </c>
      <c r="I124" s="37" t="s">
        <v>123</v>
      </c>
      <c r="J124" s="27">
        <f t="shared" si="63"/>
        <v>0</v>
      </c>
      <c r="K124" s="27">
        <f t="shared" si="52"/>
        <v>0</v>
      </c>
      <c r="L124" s="27">
        <f t="shared" si="64"/>
        <v>0</v>
      </c>
      <c r="M124" s="27">
        <f t="shared" si="53"/>
        <v>0</v>
      </c>
      <c r="N124" s="27">
        <f t="shared" si="54"/>
        <v>0</v>
      </c>
      <c r="P124" s="72" t="s">
        <v>123</v>
      </c>
      <c r="Q124" s="44">
        <f t="shared" si="79"/>
        <v>386966.92146925838</v>
      </c>
      <c r="R124" s="44">
        <f t="shared" si="48"/>
        <v>1903.1351252862073</v>
      </c>
      <c r="S124" s="44">
        <f t="shared" si="80"/>
        <v>1877.8648747137927</v>
      </c>
      <c r="T124" s="44">
        <f t="shared" si="81"/>
        <v>0</v>
      </c>
      <c r="U124" s="43">
        <f t="shared" si="55"/>
        <v>385089.05659454456</v>
      </c>
      <c r="W124" s="72" t="s">
        <v>123</v>
      </c>
      <c r="X124" s="44">
        <f t="shared" si="65"/>
        <v>375303.54600912204</v>
      </c>
      <c r="Y124" s="44">
        <f t="shared" si="49"/>
        <v>1845.7736861396572</v>
      </c>
      <c r="Z124" s="44">
        <f t="shared" si="66"/>
        <v>1038.2263138603428</v>
      </c>
      <c r="AA124" s="44">
        <f t="shared" si="67"/>
        <v>0</v>
      </c>
      <c r="AB124" s="43">
        <f t="shared" si="56"/>
        <v>374265.31969526171</v>
      </c>
      <c r="AD124" s="72" t="s">
        <v>123</v>
      </c>
      <c r="AE124" s="44">
        <f t="shared" si="68"/>
        <v>750765.06419173325</v>
      </c>
      <c r="AF124" s="44">
        <f t="shared" si="50"/>
        <v>3775.8340502377114</v>
      </c>
      <c r="AG124" s="44">
        <f t="shared" si="69"/>
        <v>2266.1659497622886</v>
      </c>
      <c r="AH124" s="44">
        <f t="shared" si="70"/>
        <v>0</v>
      </c>
      <c r="AI124" s="43">
        <f t="shared" si="57"/>
        <v>748498.89824197092</v>
      </c>
      <c r="AK124" s="101">
        <f t="shared" si="77"/>
        <v>2036</v>
      </c>
      <c r="AL124" s="101">
        <f t="shared" si="51"/>
        <v>2</v>
      </c>
      <c r="AM124" s="118">
        <f t="shared" si="71"/>
        <v>16266.087785497899</v>
      </c>
      <c r="AN124" s="100">
        <f t="shared" si="72"/>
        <v>15663.375951891556</v>
      </c>
      <c r="AO124" s="100">
        <f t="shared" si="73"/>
        <v>32068.980177736219</v>
      </c>
      <c r="AP124" s="100">
        <f t="shared" si="74"/>
        <v>31929.463737389455</v>
      </c>
      <c r="AQ124" s="1">
        <f t="shared" si="75"/>
        <v>53320</v>
      </c>
      <c r="AR124" s="100">
        <f t="shared" si="58"/>
        <v>759354.37628980633</v>
      </c>
      <c r="AS124" s="100">
        <f t="shared" si="59"/>
        <v>63998.443915125674</v>
      </c>
      <c r="AT124" s="100">
        <f t="shared" si="76"/>
        <v>37657.556084874326</v>
      </c>
      <c r="AU124" s="1">
        <f t="shared" si="60"/>
        <v>101656</v>
      </c>
      <c r="AV124" s="100">
        <f t="shared" si="61"/>
        <v>1507853.2745317772</v>
      </c>
    </row>
    <row r="125" spans="4:48">
      <c r="D125" s="39">
        <f t="shared" si="62"/>
        <v>117</v>
      </c>
      <c r="E125" s="40">
        <f t="shared" si="78"/>
        <v>2036</v>
      </c>
      <c r="F125" s="35">
        <f t="shared" si="82"/>
        <v>49764</v>
      </c>
      <c r="G125" s="36">
        <f t="shared" si="47"/>
        <v>3</v>
      </c>
      <c r="H125" s="41">
        <f t="shared" si="83"/>
        <v>31</v>
      </c>
      <c r="I125" s="37" t="s">
        <v>123</v>
      </c>
      <c r="J125" s="27">
        <f t="shared" si="63"/>
        <v>0</v>
      </c>
      <c r="K125" s="27">
        <f t="shared" si="52"/>
        <v>0</v>
      </c>
      <c r="L125" s="27">
        <f t="shared" si="64"/>
        <v>0</v>
      </c>
      <c r="M125" s="27">
        <f t="shared" si="53"/>
        <v>0</v>
      </c>
      <c r="N125" s="27">
        <f t="shared" si="54"/>
        <v>0</v>
      </c>
      <c r="P125" s="72" t="s">
        <v>123</v>
      </c>
      <c r="Q125" s="44">
        <f t="shared" si="79"/>
        <v>385089.05659454456</v>
      </c>
      <c r="R125" s="44">
        <f t="shared" si="48"/>
        <v>2024.5133991760865</v>
      </c>
      <c r="S125" s="44">
        <f t="shared" si="80"/>
        <v>1756.4866008239135</v>
      </c>
      <c r="T125" s="44">
        <f t="shared" si="81"/>
        <v>0</v>
      </c>
      <c r="U125" s="43">
        <f t="shared" si="55"/>
        <v>383332.56999372062</v>
      </c>
      <c r="W125" s="72" t="s">
        <v>123</v>
      </c>
      <c r="X125" s="44">
        <f t="shared" si="65"/>
        <v>374265.31969526171</v>
      </c>
      <c r="Y125" s="44">
        <f t="shared" si="49"/>
        <v>1967.6101971595551</v>
      </c>
      <c r="Z125" s="44">
        <f t="shared" si="66"/>
        <v>916.38980284044487</v>
      </c>
      <c r="AA125" s="44">
        <f t="shared" si="67"/>
        <v>0</v>
      </c>
      <c r="AB125" s="43">
        <f t="shared" si="56"/>
        <v>373348.92989242129</v>
      </c>
      <c r="AD125" s="72" t="s">
        <v>123</v>
      </c>
      <c r="AE125" s="44">
        <f t="shared" si="68"/>
        <v>748498.89824197092</v>
      </c>
      <c r="AF125" s="44">
        <f t="shared" si="50"/>
        <v>4024.0531178636152</v>
      </c>
      <c r="AG125" s="44">
        <f t="shared" si="69"/>
        <v>2017.9468821363848</v>
      </c>
      <c r="AH125" s="44">
        <f t="shared" si="70"/>
        <v>0</v>
      </c>
      <c r="AI125" s="43">
        <f t="shared" si="57"/>
        <v>746480.95135983452</v>
      </c>
      <c r="AK125" s="101">
        <f t="shared" si="77"/>
        <v>2036</v>
      </c>
      <c r="AL125" s="101">
        <f t="shared" si="51"/>
        <v>3</v>
      </c>
      <c r="AM125" s="118">
        <f t="shared" si="71"/>
        <v>18290.601184673986</v>
      </c>
      <c r="AN125" s="100">
        <f t="shared" si="72"/>
        <v>17630.98614905111</v>
      </c>
      <c r="AO125" s="100">
        <f t="shared" si="73"/>
        <v>36093.033295599831</v>
      </c>
      <c r="AP125" s="100">
        <f t="shared" si="74"/>
        <v>35921.587333725096</v>
      </c>
      <c r="AQ125" s="1">
        <f t="shared" si="75"/>
        <v>59985</v>
      </c>
      <c r="AR125" s="100">
        <f t="shared" si="58"/>
        <v>756681.49988614186</v>
      </c>
      <c r="AS125" s="100">
        <f t="shared" si="59"/>
        <v>72014.620629324927</v>
      </c>
      <c r="AT125" s="100">
        <f t="shared" si="76"/>
        <v>42348.379370675066</v>
      </c>
      <c r="AU125" s="1">
        <f t="shared" si="60"/>
        <v>114363</v>
      </c>
      <c r="AV125" s="100">
        <f t="shared" si="61"/>
        <v>1503162.4512459764</v>
      </c>
    </row>
    <row r="126" spans="4:48">
      <c r="D126" s="39">
        <f t="shared" si="62"/>
        <v>118</v>
      </c>
      <c r="E126" s="40">
        <f t="shared" si="78"/>
        <v>2036</v>
      </c>
      <c r="F126" s="35">
        <f t="shared" si="82"/>
        <v>49795</v>
      </c>
      <c r="G126" s="36">
        <f t="shared" si="47"/>
        <v>4</v>
      </c>
      <c r="H126" s="41">
        <f t="shared" si="83"/>
        <v>30</v>
      </c>
      <c r="I126" s="37" t="s">
        <v>123</v>
      </c>
      <c r="J126" s="27">
        <f t="shared" si="63"/>
        <v>0</v>
      </c>
      <c r="K126" s="27">
        <f t="shared" si="52"/>
        <v>0</v>
      </c>
      <c r="L126" s="27">
        <f t="shared" si="64"/>
        <v>0</v>
      </c>
      <c r="M126" s="27">
        <f t="shared" si="53"/>
        <v>0</v>
      </c>
      <c r="N126" s="27">
        <f t="shared" si="54"/>
        <v>0</v>
      </c>
      <c r="P126" s="72" t="s">
        <v>123</v>
      </c>
      <c r="Q126" s="44">
        <f t="shared" si="79"/>
        <v>383332.56999372062</v>
      </c>
      <c r="R126" s="44">
        <f t="shared" si="48"/>
        <v>1950.2700889817513</v>
      </c>
      <c r="S126" s="44">
        <f t="shared" si="80"/>
        <v>1830.7299110182487</v>
      </c>
      <c r="T126" s="44">
        <f t="shared" si="81"/>
        <v>0</v>
      </c>
      <c r="U126" s="43">
        <f t="shared" si="55"/>
        <v>381501.8400827024</v>
      </c>
      <c r="W126" s="72" t="s">
        <v>123</v>
      </c>
      <c r="X126" s="44">
        <f t="shared" si="65"/>
        <v>373348.92989242129</v>
      </c>
      <c r="Y126" s="44">
        <f t="shared" si="49"/>
        <v>1899.4766104389762</v>
      </c>
      <c r="Z126" s="44">
        <f t="shared" si="66"/>
        <v>984.52338956102381</v>
      </c>
      <c r="AA126" s="44">
        <f t="shared" si="67"/>
        <v>0</v>
      </c>
      <c r="AB126" s="43">
        <f t="shared" si="56"/>
        <v>372364.40650286025</v>
      </c>
      <c r="AD126" s="72" t="s">
        <v>123</v>
      </c>
      <c r="AE126" s="44">
        <f t="shared" si="68"/>
        <v>746480.95135983452</v>
      </c>
      <c r="AF126" s="44">
        <f t="shared" si="50"/>
        <v>3883.7461003625363</v>
      </c>
      <c r="AG126" s="44">
        <f t="shared" si="69"/>
        <v>2158.2538996374637</v>
      </c>
      <c r="AH126" s="44">
        <f t="shared" si="70"/>
        <v>0</v>
      </c>
      <c r="AI126" s="43">
        <f t="shared" si="57"/>
        <v>744322.69746019703</v>
      </c>
      <c r="AK126" s="101">
        <f t="shared" si="77"/>
        <v>2036</v>
      </c>
      <c r="AL126" s="101">
        <f t="shared" si="51"/>
        <v>4</v>
      </c>
      <c r="AM126" s="118">
        <f t="shared" si="71"/>
        <v>20240.871273655735</v>
      </c>
      <c r="AN126" s="100">
        <f t="shared" si="72"/>
        <v>19530.462759490085</v>
      </c>
      <c r="AO126" s="100">
        <f t="shared" si="73"/>
        <v>39976.779395962367</v>
      </c>
      <c r="AP126" s="100">
        <f t="shared" si="74"/>
        <v>39771.334033145817</v>
      </c>
      <c r="AQ126" s="1">
        <f t="shared" si="75"/>
        <v>66650</v>
      </c>
      <c r="AR126" s="100">
        <f t="shared" si="58"/>
        <v>753866.24658556259</v>
      </c>
      <c r="AS126" s="100">
        <f t="shared" si="59"/>
        <v>79748.113429108183</v>
      </c>
      <c r="AT126" s="100">
        <f t="shared" si="76"/>
        <v>47321.886570891802</v>
      </c>
      <c r="AU126" s="1">
        <f t="shared" si="60"/>
        <v>127069.99999999999</v>
      </c>
      <c r="AV126" s="100">
        <f t="shared" si="61"/>
        <v>1498188.9440457597</v>
      </c>
    </row>
    <row r="127" spans="4:48">
      <c r="D127" s="39">
        <f t="shared" si="62"/>
        <v>119</v>
      </c>
      <c r="E127" s="40">
        <f t="shared" si="78"/>
        <v>2036</v>
      </c>
      <c r="F127" s="35">
        <f t="shared" si="82"/>
        <v>49825</v>
      </c>
      <c r="G127" s="36">
        <f t="shared" si="47"/>
        <v>5</v>
      </c>
      <c r="H127" s="41">
        <f t="shared" si="83"/>
        <v>31</v>
      </c>
      <c r="I127" s="37" t="s">
        <v>123</v>
      </c>
      <c r="J127" s="27">
        <f t="shared" si="63"/>
        <v>0</v>
      </c>
      <c r="K127" s="27">
        <f t="shared" si="52"/>
        <v>0</v>
      </c>
      <c r="L127" s="27">
        <f t="shared" si="64"/>
        <v>0</v>
      </c>
      <c r="M127" s="27">
        <f t="shared" si="53"/>
        <v>0</v>
      </c>
      <c r="N127" s="27">
        <f t="shared" si="54"/>
        <v>0</v>
      </c>
      <c r="P127" s="72" t="s">
        <v>123</v>
      </c>
      <c r="Q127" s="44">
        <f t="shared" si="79"/>
        <v>381501.8400827024</v>
      </c>
      <c r="R127" s="44">
        <f t="shared" si="48"/>
        <v>2005.6544683142399</v>
      </c>
      <c r="S127" s="44">
        <f t="shared" si="80"/>
        <v>1775.3455316857601</v>
      </c>
      <c r="T127" s="44">
        <f t="shared" si="81"/>
        <v>0</v>
      </c>
      <c r="U127" s="43">
        <f t="shared" si="55"/>
        <v>379726.49455101666</v>
      </c>
      <c r="W127" s="72" t="s">
        <v>123</v>
      </c>
      <c r="X127" s="44">
        <f t="shared" si="65"/>
        <v>372364.40650286025</v>
      </c>
      <c r="Y127" s="44">
        <f t="shared" si="49"/>
        <v>1957.6166017488727</v>
      </c>
      <c r="Z127" s="44">
        <f t="shared" si="66"/>
        <v>926.38339825112735</v>
      </c>
      <c r="AA127" s="44">
        <f t="shared" si="67"/>
        <v>0</v>
      </c>
      <c r="AB127" s="43">
        <f t="shared" si="56"/>
        <v>371438.02310460911</v>
      </c>
      <c r="AD127" s="72" t="s">
        <v>123</v>
      </c>
      <c r="AE127" s="44">
        <f t="shared" si="68"/>
        <v>744322.69746019703</v>
      </c>
      <c r="AF127" s="44">
        <f t="shared" si="50"/>
        <v>4001.6011759620401</v>
      </c>
      <c r="AG127" s="44">
        <f t="shared" si="69"/>
        <v>2040.3988240379599</v>
      </c>
      <c r="AH127" s="44">
        <f t="shared" si="70"/>
        <v>0</v>
      </c>
      <c r="AI127" s="43">
        <f t="shared" si="57"/>
        <v>742282.29863615904</v>
      </c>
      <c r="AK127" s="101">
        <f t="shared" si="77"/>
        <v>2036</v>
      </c>
      <c r="AL127" s="101">
        <f t="shared" si="51"/>
        <v>5</v>
      </c>
      <c r="AM127" s="118">
        <f t="shared" si="71"/>
        <v>22246.525741969974</v>
      </c>
      <c r="AN127" s="100">
        <f t="shared" si="72"/>
        <v>21488.079361238957</v>
      </c>
      <c r="AO127" s="100">
        <f t="shared" si="73"/>
        <v>43978.380571924405</v>
      </c>
      <c r="AP127" s="100">
        <f t="shared" si="74"/>
        <v>43734.605103208931</v>
      </c>
      <c r="AQ127" s="1">
        <f t="shared" si="75"/>
        <v>73315</v>
      </c>
      <c r="AR127" s="100">
        <f t="shared" si="58"/>
        <v>751164.51765562571</v>
      </c>
      <c r="AS127" s="100">
        <f t="shared" si="59"/>
        <v>87712.985675133328</v>
      </c>
      <c r="AT127" s="100">
        <f t="shared" si="76"/>
        <v>52064.01432486665</v>
      </c>
      <c r="AU127" s="1">
        <f t="shared" si="60"/>
        <v>139776.99999999997</v>
      </c>
      <c r="AV127" s="100">
        <f t="shared" si="61"/>
        <v>1493446.8162917849</v>
      </c>
    </row>
    <row r="128" spans="4:48">
      <c r="D128" s="39">
        <f t="shared" si="62"/>
        <v>120</v>
      </c>
      <c r="E128" s="40">
        <f t="shared" si="78"/>
        <v>2036</v>
      </c>
      <c r="F128" s="35">
        <f t="shared" si="82"/>
        <v>49856</v>
      </c>
      <c r="G128" s="36">
        <f t="shared" si="47"/>
        <v>6</v>
      </c>
      <c r="H128" s="41">
        <f t="shared" si="83"/>
        <v>30</v>
      </c>
      <c r="I128" s="37" t="s">
        <v>123</v>
      </c>
      <c r="J128" s="27">
        <f t="shared" si="63"/>
        <v>0</v>
      </c>
      <c r="K128" s="27">
        <f t="shared" si="52"/>
        <v>0</v>
      </c>
      <c r="L128" s="27">
        <f t="shared" si="64"/>
        <v>0</v>
      </c>
      <c r="M128" s="27">
        <f t="shared" si="53"/>
        <v>0</v>
      </c>
      <c r="N128" s="27">
        <f t="shared" si="54"/>
        <v>0</v>
      </c>
      <c r="P128" s="72" t="s">
        <v>123</v>
      </c>
      <c r="Q128" s="44">
        <f t="shared" si="79"/>
        <v>379726.49455101666</v>
      </c>
      <c r="R128" s="44">
        <f t="shared" si="48"/>
        <v>1931.923562688323</v>
      </c>
      <c r="S128" s="44">
        <f t="shared" si="80"/>
        <v>1849.076437311677</v>
      </c>
      <c r="T128" s="44">
        <f t="shared" si="81"/>
        <v>0</v>
      </c>
      <c r="U128" s="43">
        <f t="shared" si="55"/>
        <v>377877.418113705</v>
      </c>
      <c r="W128" s="72" t="s">
        <v>123</v>
      </c>
      <c r="X128" s="44">
        <f t="shared" si="65"/>
        <v>371438.02310460911</v>
      </c>
      <c r="Y128" s="44">
        <f t="shared" si="49"/>
        <v>1889.7545449459151</v>
      </c>
      <c r="Z128" s="44">
        <f t="shared" si="66"/>
        <v>994.24545505408491</v>
      </c>
      <c r="AA128" s="44">
        <f t="shared" si="67"/>
        <v>0</v>
      </c>
      <c r="AB128" s="43">
        <f t="shared" si="56"/>
        <v>370443.77764955501</v>
      </c>
      <c r="AD128" s="72" t="s">
        <v>123</v>
      </c>
      <c r="AE128" s="44">
        <f t="shared" si="68"/>
        <v>742282.29863615904</v>
      </c>
      <c r="AF128" s="44">
        <f t="shared" si="50"/>
        <v>3861.9016030412768</v>
      </c>
      <c r="AG128" s="44">
        <f t="shared" si="69"/>
        <v>2180.0983969587232</v>
      </c>
      <c r="AH128" s="44">
        <f t="shared" si="70"/>
        <v>0</v>
      </c>
      <c r="AI128" s="43">
        <f t="shared" si="57"/>
        <v>740102.20023920038</v>
      </c>
      <c r="AK128" s="101">
        <f t="shared" si="77"/>
        <v>2036</v>
      </c>
      <c r="AL128" s="101">
        <f t="shared" si="51"/>
        <v>6</v>
      </c>
      <c r="AM128" s="118">
        <f t="shared" si="71"/>
        <v>24178.449304658297</v>
      </c>
      <c r="AN128" s="100">
        <f t="shared" si="72"/>
        <v>23377.833906184871</v>
      </c>
      <c r="AO128" s="100">
        <f t="shared" si="73"/>
        <v>47840.28217496568</v>
      </c>
      <c r="AP128" s="100">
        <f t="shared" si="74"/>
        <v>47556.283210843168</v>
      </c>
      <c r="AQ128" s="1">
        <f t="shared" si="75"/>
        <v>79980</v>
      </c>
      <c r="AR128" s="100">
        <f t="shared" si="58"/>
        <v>748321.19576326001</v>
      </c>
      <c r="AS128" s="100">
        <f t="shared" si="59"/>
        <v>95396.565385808848</v>
      </c>
      <c r="AT128" s="100">
        <f t="shared" si="76"/>
        <v>57087.434614191137</v>
      </c>
      <c r="AU128" s="1">
        <f t="shared" si="60"/>
        <v>152484</v>
      </c>
      <c r="AV128" s="100">
        <f t="shared" si="61"/>
        <v>1488423.3960024603</v>
      </c>
    </row>
    <row r="129" spans="4:48">
      <c r="D129" s="39">
        <f t="shared" si="62"/>
        <v>121</v>
      </c>
      <c r="E129" s="40">
        <f t="shared" si="78"/>
        <v>2037</v>
      </c>
      <c r="F129" s="35">
        <f t="shared" si="82"/>
        <v>49886</v>
      </c>
      <c r="G129" s="36">
        <f t="shared" si="47"/>
        <v>7</v>
      </c>
      <c r="H129" s="41">
        <f t="shared" si="83"/>
        <v>31</v>
      </c>
      <c r="I129" s="37" t="s">
        <v>123</v>
      </c>
      <c r="J129" s="27">
        <f t="shared" si="63"/>
        <v>0</v>
      </c>
      <c r="K129" s="27">
        <f t="shared" si="52"/>
        <v>0</v>
      </c>
      <c r="L129" s="27">
        <f t="shared" si="64"/>
        <v>0</v>
      </c>
      <c r="M129" s="27">
        <f t="shared" si="53"/>
        <v>0</v>
      </c>
      <c r="N129" s="27">
        <f t="shared" si="54"/>
        <v>0</v>
      </c>
      <c r="P129" s="72" t="s">
        <v>123</v>
      </c>
      <c r="Q129" s="44">
        <f t="shared" si="79"/>
        <v>377877.418113705</v>
      </c>
      <c r="R129" s="44">
        <f t="shared" si="48"/>
        <v>1986.5999386805165</v>
      </c>
      <c r="S129" s="44">
        <f t="shared" si="80"/>
        <v>1794.4000613194835</v>
      </c>
      <c r="T129" s="44">
        <f t="shared" si="81"/>
        <v>0</v>
      </c>
      <c r="U129" s="43">
        <f t="shared" si="55"/>
        <v>376083.01805238554</v>
      </c>
      <c r="W129" s="72" t="s">
        <v>123</v>
      </c>
      <c r="X129" s="44">
        <f t="shared" si="65"/>
        <v>370443.77764955501</v>
      </c>
      <c r="Y129" s="44">
        <f t="shared" si="49"/>
        <v>1947.5193559773454</v>
      </c>
      <c r="Z129" s="44">
        <f t="shared" si="66"/>
        <v>936.48064402265459</v>
      </c>
      <c r="AA129" s="44">
        <f t="shared" si="67"/>
        <v>0</v>
      </c>
      <c r="AB129" s="43">
        <f t="shared" si="56"/>
        <v>369507.29700553237</v>
      </c>
      <c r="AD129" s="72" t="s">
        <v>123</v>
      </c>
      <c r="AE129" s="44">
        <f t="shared" si="68"/>
        <v>740102.20023920038</v>
      </c>
      <c r="AF129" s="44">
        <f t="shared" si="50"/>
        <v>3978.9110891215964</v>
      </c>
      <c r="AG129" s="44">
        <f t="shared" si="69"/>
        <v>2063.0889108784036</v>
      </c>
      <c r="AH129" s="44">
        <f t="shared" si="70"/>
        <v>0</v>
      </c>
      <c r="AI129" s="43">
        <f t="shared" si="57"/>
        <v>738039.11132832197</v>
      </c>
      <c r="AK129" s="101">
        <f t="shared" si="77"/>
        <v>2037</v>
      </c>
      <c r="AL129" s="101">
        <f t="shared" si="51"/>
        <v>7</v>
      </c>
      <c r="AM129" s="118">
        <f t="shared" si="71"/>
        <v>1986.5999386805165</v>
      </c>
      <c r="AN129" s="100">
        <f t="shared" si="72"/>
        <v>1947.5193559773454</v>
      </c>
      <c r="AO129" s="100">
        <f t="shared" si="73"/>
        <v>3978.9110891215964</v>
      </c>
      <c r="AP129" s="100">
        <f t="shared" si="74"/>
        <v>3934.1192946578622</v>
      </c>
      <c r="AQ129" s="1">
        <f t="shared" si="75"/>
        <v>6665</v>
      </c>
      <c r="AR129" s="100">
        <f t="shared" si="58"/>
        <v>745590.31505791796</v>
      </c>
      <c r="AS129" s="100">
        <f t="shared" si="59"/>
        <v>7913.0303837794581</v>
      </c>
      <c r="AT129" s="100">
        <f t="shared" si="76"/>
        <v>4793.9696162205419</v>
      </c>
      <c r="AU129" s="1">
        <f t="shared" si="60"/>
        <v>12707</v>
      </c>
      <c r="AV129" s="100">
        <f t="shared" si="61"/>
        <v>1483629.4263862399</v>
      </c>
    </row>
    <row r="130" spans="4:48">
      <c r="D130" s="39">
        <f t="shared" si="62"/>
        <v>122</v>
      </c>
      <c r="E130" s="40">
        <f t="shared" si="78"/>
        <v>2037</v>
      </c>
      <c r="F130" s="35">
        <f t="shared" si="82"/>
        <v>49917</v>
      </c>
      <c r="G130" s="36">
        <f t="shared" si="47"/>
        <v>8</v>
      </c>
      <c r="H130" s="41">
        <f t="shared" si="83"/>
        <v>31</v>
      </c>
      <c r="I130" s="37" t="s">
        <v>123</v>
      </c>
      <c r="J130" s="27">
        <f t="shared" si="63"/>
        <v>0</v>
      </c>
      <c r="K130" s="27">
        <f t="shared" si="52"/>
        <v>0</v>
      </c>
      <c r="L130" s="27">
        <f t="shared" si="64"/>
        <v>0</v>
      </c>
      <c r="M130" s="27">
        <f t="shared" si="53"/>
        <v>0</v>
      </c>
      <c r="N130" s="27">
        <f t="shared" si="54"/>
        <v>0</v>
      </c>
      <c r="P130" s="72" t="s">
        <v>123</v>
      </c>
      <c r="Q130" s="44">
        <f t="shared" si="79"/>
        <v>376083.01805238554</v>
      </c>
      <c r="R130" s="44">
        <f t="shared" si="48"/>
        <v>1977.1663105225275</v>
      </c>
      <c r="S130" s="44">
        <f t="shared" si="80"/>
        <v>1803.8336894774725</v>
      </c>
      <c r="T130" s="44">
        <f t="shared" si="81"/>
        <v>0</v>
      </c>
      <c r="U130" s="43">
        <f t="shared" si="55"/>
        <v>374279.18436290807</v>
      </c>
      <c r="W130" s="72" t="s">
        <v>123</v>
      </c>
      <c r="X130" s="44">
        <f t="shared" si="65"/>
        <v>369507.29700553237</v>
      </c>
      <c r="Y130" s="44">
        <f t="shared" si="49"/>
        <v>1942.5960334901808</v>
      </c>
      <c r="Z130" s="44">
        <f t="shared" si="66"/>
        <v>941.40396650981916</v>
      </c>
      <c r="AA130" s="44">
        <f t="shared" si="67"/>
        <v>0</v>
      </c>
      <c r="AB130" s="43">
        <f t="shared" si="56"/>
        <v>368565.89303902257</v>
      </c>
      <c r="AD130" s="72" t="s">
        <v>123</v>
      </c>
      <c r="AE130" s="44">
        <f t="shared" si="68"/>
        <v>738039.11132832197</v>
      </c>
      <c r="AF130" s="44">
        <f t="shared" si="50"/>
        <v>3967.8195839988111</v>
      </c>
      <c r="AG130" s="44">
        <f t="shared" si="69"/>
        <v>2074.1804160011889</v>
      </c>
      <c r="AH130" s="44">
        <f t="shared" si="70"/>
        <v>0</v>
      </c>
      <c r="AI130" s="43">
        <f t="shared" si="57"/>
        <v>735964.93091232073</v>
      </c>
      <c r="AK130" s="101">
        <f t="shared" si="77"/>
        <v>2037</v>
      </c>
      <c r="AL130" s="101">
        <f t="shared" si="51"/>
        <v>8</v>
      </c>
      <c r="AM130" s="118">
        <f t="shared" si="71"/>
        <v>3963.766249203044</v>
      </c>
      <c r="AN130" s="100">
        <f t="shared" si="72"/>
        <v>3890.1153894675263</v>
      </c>
      <c r="AO130" s="100">
        <f t="shared" si="73"/>
        <v>7946.730673120408</v>
      </c>
      <c r="AP130" s="100">
        <f t="shared" si="74"/>
        <v>7853.8816386705703</v>
      </c>
      <c r="AQ130" s="1">
        <f t="shared" si="75"/>
        <v>13330</v>
      </c>
      <c r="AR130" s="100">
        <f t="shared" si="58"/>
        <v>742845.0774019307</v>
      </c>
      <c r="AS130" s="100">
        <f t="shared" si="59"/>
        <v>15800.612311790977</v>
      </c>
      <c r="AT130" s="100">
        <f t="shared" si="76"/>
        <v>9613.3876882090226</v>
      </c>
      <c r="AU130" s="1">
        <f t="shared" si="60"/>
        <v>25414</v>
      </c>
      <c r="AV130" s="100">
        <f t="shared" si="61"/>
        <v>1478810.0083142514</v>
      </c>
    </row>
    <row r="131" spans="4:48">
      <c r="D131" s="39">
        <f t="shared" si="62"/>
        <v>123</v>
      </c>
      <c r="E131" s="40">
        <f t="shared" si="78"/>
        <v>2037</v>
      </c>
      <c r="F131" s="35">
        <f t="shared" si="82"/>
        <v>49948</v>
      </c>
      <c r="G131" s="36">
        <f t="shared" si="47"/>
        <v>9</v>
      </c>
      <c r="H131" s="41">
        <f t="shared" si="83"/>
        <v>30</v>
      </c>
      <c r="I131" s="37" t="s">
        <v>123</v>
      </c>
      <c r="J131" s="27">
        <f t="shared" si="63"/>
        <v>0</v>
      </c>
      <c r="K131" s="27">
        <f t="shared" si="52"/>
        <v>0</v>
      </c>
      <c r="L131" s="27">
        <f t="shared" si="64"/>
        <v>0</v>
      </c>
      <c r="M131" s="27">
        <f t="shared" si="53"/>
        <v>0</v>
      </c>
      <c r="N131" s="27">
        <f t="shared" si="54"/>
        <v>0</v>
      </c>
      <c r="P131" s="72" t="s">
        <v>123</v>
      </c>
      <c r="Q131" s="44">
        <f t="shared" si="79"/>
        <v>374279.18436290807</v>
      </c>
      <c r="R131" s="44">
        <f t="shared" si="48"/>
        <v>1904.2094393477266</v>
      </c>
      <c r="S131" s="44">
        <f t="shared" si="80"/>
        <v>1876.7905606522734</v>
      </c>
      <c r="T131" s="44">
        <f t="shared" si="81"/>
        <v>0</v>
      </c>
      <c r="U131" s="43">
        <f t="shared" si="55"/>
        <v>372402.3938022558</v>
      </c>
      <c r="W131" s="72" t="s">
        <v>123</v>
      </c>
      <c r="X131" s="44">
        <f t="shared" si="65"/>
        <v>368565.89303902257</v>
      </c>
      <c r="Y131" s="44">
        <f t="shared" si="49"/>
        <v>1875.1420914341502</v>
      </c>
      <c r="Z131" s="44">
        <f t="shared" si="66"/>
        <v>1008.8579085658498</v>
      </c>
      <c r="AA131" s="44">
        <f t="shared" si="67"/>
        <v>0</v>
      </c>
      <c r="AB131" s="43">
        <f t="shared" si="56"/>
        <v>367557.03513045673</v>
      </c>
      <c r="AD131" s="72" t="s">
        <v>123</v>
      </c>
      <c r="AE131" s="44">
        <f t="shared" si="68"/>
        <v>735964.93091232073</v>
      </c>
      <c r="AF131" s="44">
        <f t="shared" si="50"/>
        <v>3829.0339830205394</v>
      </c>
      <c r="AG131" s="44">
        <f t="shared" si="69"/>
        <v>2212.9660169794606</v>
      </c>
      <c r="AH131" s="44">
        <f t="shared" si="70"/>
        <v>0</v>
      </c>
      <c r="AI131" s="43">
        <f t="shared" si="57"/>
        <v>733751.96489534131</v>
      </c>
      <c r="AK131" s="101">
        <f t="shared" si="77"/>
        <v>2037</v>
      </c>
      <c r="AL131" s="101">
        <f t="shared" si="51"/>
        <v>9</v>
      </c>
      <c r="AM131" s="118">
        <f t="shared" si="71"/>
        <v>5867.9756885507704</v>
      </c>
      <c r="AN131" s="100">
        <f t="shared" si="72"/>
        <v>5765.2574809016769</v>
      </c>
      <c r="AO131" s="100">
        <f t="shared" si="73"/>
        <v>11775.764656140947</v>
      </c>
      <c r="AP131" s="100">
        <f t="shared" si="74"/>
        <v>11633.233169452447</v>
      </c>
      <c r="AQ131" s="1">
        <f t="shared" si="75"/>
        <v>19995</v>
      </c>
      <c r="AR131" s="100">
        <f t="shared" si="58"/>
        <v>739959.42893271253</v>
      </c>
      <c r="AS131" s="100">
        <f t="shared" si="59"/>
        <v>23408.997825593397</v>
      </c>
      <c r="AT131" s="100">
        <f t="shared" si="76"/>
        <v>14712.002174406605</v>
      </c>
      <c r="AU131" s="1">
        <f t="shared" si="60"/>
        <v>38121</v>
      </c>
      <c r="AV131" s="100">
        <f t="shared" si="61"/>
        <v>1473711.393828054</v>
      </c>
    </row>
    <row r="132" spans="4:48">
      <c r="D132" s="39">
        <f t="shared" si="62"/>
        <v>124</v>
      </c>
      <c r="E132" s="40">
        <f t="shared" si="78"/>
        <v>2037</v>
      </c>
      <c r="F132" s="35">
        <f t="shared" si="82"/>
        <v>49978</v>
      </c>
      <c r="G132" s="36">
        <f t="shared" si="47"/>
        <v>10</v>
      </c>
      <c r="H132" s="41">
        <f t="shared" si="83"/>
        <v>31</v>
      </c>
      <c r="I132" s="37" t="s">
        <v>123</v>
      </c>
      <c r="J132" s="27">
        <f t="shared" si="63"/>
        <v>0</v>
      </c>
      <c r="K132" s="27">
        <f t="shared" si="52"/>
        <v>0</v>
      </c>
      <c r="L132" s="27">
        <f t="shared" si="64"/>
        <v>0</v>
      </c>
      <c r="M132" s="27">
        <f t="shared" si="53"/>
        <v>0</v>
      </c>
      <c r="N132" s="27">
        <f t="shared" si="54"/>
        <v>0</v>
      </c>
      <c r="P132" s="72" t="s">
        <v>123</v>
      </c>
      <c r="Q132" s="44">
        <f t="shared" si="79"/>
        <v>372402.3938022558</v>
      </c>
      <c r="R132" s="44">
        <f t="shared" si="48"/>
        <v>1957.8163108689005</v>
      </c>
      <c r="S132" s="44">
        <f t="shared" si="80"/>
        <v>1823.1836891310995</v>
      </c>
      <c r="T132" s="44">
        <f t="shared" si="81"/>
        <v>0</v>
      </c>
      <c r="U132" s="43">
        <f t="shared" si="55"/>
        <v>370579.21011312469</v>
      </c>
      <c r="W132" s="72" t="s">
        <v>123</v>
      </c>
      <c r="X132" s="44">
        <f t="shared" si="65"/>
        <v>367557.03513045673</v>
      </c>
      <c r="Y132" s="44">
        <f t="shared" si="49"/>
        <v>1932.3429992105023</v>
      </c>
      <c r="Z132" s="44">
        <f t="shared" si="66"/>
        <v>951.65700078949772</v>
      </c>
      <c r="AA132" s="44">
        <f t="shared" si="67"/>
        <v>0</v>
      </c>
      <c r="AB132" s="43">
        <f t="shared" si="56"/>
        <v>366605.37812966725</v>
      </c>
      <c r="AD132" s="72" t="s">
        <v>123</v>
      </c>
      <c r="AE132" s="44">
        <f t="shared" si="68"/>
        <v>733751.96489534131</v>
      </c>
      <c r="AF132" s="44">
        <f t="shared" si="50"/>
        <v>3944.7711800387074</v>
      </c>
      <c r="AG132" s="44">
        <f t="shared" si="69"/>
        <v>2097.2288199612926</v>
      </c>
      <c r="AH132" s="44">
        <f t="shared" si="70"/>
        <v>0</v>
      </c>
      <c r="AI132" s="43">
        <f t="shared" si="57"/>
        <v>731654.73607538</v>
      </c>
      <c r="AK132" s="101">
        <f t="shared" si="77"/>
        <v>2037</v>
      </c>
      <c r="AL132" s="101">
        <f t="shared" si="51"/>
        <v>10</v>
      </c>
      <c r="AM132" s="118">
        <f t="shared" si="71"/>
        <v>7825.7919994196709</v>
      </c>
      <c r="AN132" s="100">
        <f t="shared" si="72"/>
        <v>7697.600480112179</v>
      </c>
      <c r="AO132" s="100">
        <f t="shared" si="73"/>
        <v>15720.535836179655</v>
      </c>
      <c r="AP132" s="100">
        <f t="shared" si="74"/>
        <v>15523.392479531849</v>
      </c>
      <c r="AQ132" s="1">
        <f t="shared" si="75"/>
        <v>26660</v>
      </c>
      <c r="AR132" s="100">
        <f t="shared" si="58"/>
        <v>737184.58824279194</v>
      </c>
      <c r="AS132" s="100">
        <f t="shared" si="59"/>
        <v>31243.928315711506</v>
      </c>
      <c r="AT132" s="100">
        <f t="shared" si="76"/>
        <v>19584.071684288498</v>
      </c>
      <c r="AU132" s="1">
        <f t="shared" si="60"/>
        <v>50828</v>
      </c>
      <c r="AV132" s="100">
        <f t="shared" si="61"/>
        <v>1468839.3243181719</v>
      </c>
    </row>
    <row r="133" spans="4:48">
      <c r="D133" s="39">
        <f t="shared" si="62"/>
        <v>125</v>
      </c>
      <c r="E133" s="40">
        <f t="shared" si="78"/>
        <v>2037</v>
      </c>
      <c r="F133" s="35">
        <f t="shared" si="82"/>
        <v>50009</v>
      </c>
      <c r="G133" s="36">
        <f t="shared" si="47"/>
        <v>11</v>
      </c>
      <c r="H133" s="41">
        <f t="shared" si="83"/>
        <v>30</v>
      </c>
      <c r="I133" s="37" t="s">
        <v>123</v>
      </c>
      <c r="J133" s="27">
        <f t="shared" si="63"/>
        <v>0</v>
      </c>
      <c r="K133" s="27">
        <f t="shared" si="52"/>
        <v>0</v>
      </c>
      <c r="L133" s="27">
        <f t="shared" si="64"/>
        <v>0</v>
      </c>
      <c r="M133" s="27">
        <f t="shared" si="53"/>
        <v>0</v>
      </c>
      <c r="N133" s="27">
        <f t="shared" si="54"/>
        <v>0</v>
      </c>
      <c r="P133" s="72" t="s">
        <v>123</v>
      </c>
      <c r="Q133" s="44">
        <f t="shared" si="79"/>
        <v>370579.21011312469</v>
      </c>
      <c r="R133" s="44">
        <f t="shared" si="48"/>
        <v>1885.3851867947192</v>
      </c>
      <c r="S133" s="44">
        <f t="shared" si="80"/>
        <v>1895.6148132052808</v>
      </c>
      <c r="T133" s="44">
        <f t="shared" si="81"/>
        <v>0</v>
      </c>
      <c r="U133" s="43">
        <f t="shared" si="55"/>
        <v>368683.59529991943</v>
      </c>
      <c r="W133" s="72" t="s">
        <v>123</v>
      </c>
      <c r="X133" s="44">
        <f t="shared" si="65"/>
        <v>366605.37812966725</v>
      </c>
      <c r="Y133" s="44">
        <f t="shared" si="49"/>
        <v>1865.1676361281975</v>
      </c>
      <c r="Z133" s="44">
        <f t="shared" si="66"/>
        <v>1018.8323638718025</v>
      </c>
      <c r="AA133" s="44">
        <f t="shared" si="67"/>
        <v>0</v>
      </c>
      <c r="AB133" s="43">
        <f t="shared" si="56"/>
        <v>365586.54576579545</v>
      </c>
      <c r="AD133" s="72" t="s">
        <v>123</v>
      </c>
      <c r="AE133" s="44">
        <f t="shared" si="68"/>
        <v>731654.73607538</v>
      </c>
      <c r="AF133" s="44">
        <f t="shared" si="50"/>
        <v>3806.6091611154698</v>
      </c>
      <c r="AG133" s="44">
        <f t="shared" si="69"/>
        <v>2235.3908388845302</v>
      </c>
      <c r="AH133" s="44">
        <f t="shared" si="70"/>
        <v>0</v>
      </c>
      <c r="AI133" s="43">
        <f t="shared" si="57"/>
        <v>729419.34523649549</v>
      </c>
      <c r="AK133" s="101">
        <f t="shared" si="77"/>
        <v>2037</v>
      </c>
      <c r="AL133" s="101">
        <f t="shared" si="51"/>
        <v>11</v>
      </c>
      <c r="AM133" s="118">
        <f t="shared" si="71"/>
        <v>9711.1771862143905</v>
      </c>
      <c r="AN133" s="100">
        <f t="shared" si="72"/>
        <v>9562.7681162403769</v>
      </c>
      <c r="AO133" s="100">
        <f t="shared" si="73"/>
        <v>19527.144997295123</v>
      </c>
      <c r="AP133" s="100">
        <f t="shared" si="74"/>
        <v>19273.945302454769</v>
      </c>
      <c r="AQ133" s="1">
        <f t="shared" si="75"/>
        <v>33325</v>
      </c>
      <c r="AR133" s="100">
        <f t="shared" si="58"/>
        <v>734270.14106571488</v>
      </c>
      <c r="AS133" s="100">
        <f t="shared" si="59"/>
        <v>38801.090299749892</v>
      </c>
      <c r="AT133" s="100">
        <f t="shared" si="76"/>
        <v>24733.909700250111</v>
      </c>
      <c r="AU133" s="1">
        <f t="shared" si="60"/>
        <v>63535</v>
      </c>
      <c r="AV133" s="100">
        <f t="shared" si="61"/>
        <v>1463689.4863022105</v>
      </c>
    </row>
    <row r="134" spans="4:48">
      <c r="D134" s="39">
        <f t="shared" si="62"/>
        <v>126</v>
      </c>
      <c r="E134" s="40">
        <f t="shared" si="78"/>
        <v>2037</v>
      </c>
      <c r="F134" s="35">
        <f t="shared" si="82"/>
        <v>50039</v>
      </c>
      <c r="G134" s="36">
        <f t="shared" si="47"/>
        <v>12</v>
      </c>
      <c r="H134" s="41">
        <f t="shared" si="83"/>
        <v>31</v>
      </c>
      <c r="I134" s="37" t="s">
        <v>123</v>
      </c>
      <c r="J134" s="27">
        <f t="shared" si="63"/>
        <v>0</v>
      </c>
      <c r="K134" s="27">
        <f t="shared" si="52"/>
        <v>0</v>
      </c>
      <c r="L134" s="27">
        <f t="shared" si="64"/>
        <v>0</v>
      </c>
      <c r="M134" s="27">
        <f t="shared" si="53"/>
        <v>0</v>
      </c>
      <c r="N134" s="27">
        <f t="shared" si="54"/>
        <v>0</v>
      </c>
      <c r="P134" s="72" t="s">
        <v>123</v>
      </c>
      <c r="Q134" s="44">
        <f t="shared" si="79"/>
        <v>368683.59529991943</v>
      </c>
      <c r="R134" s="44">
        <f t="shared" si="48"/>
        <v>1938.2656192356583</v>
      </c>
      <c r="S134" s="44">
        <f t="shared" si="80"/>
        <v>1842.7343807643417</v>
      </c>
      <c r="T134" s="44">
        <f t="shared" si="81"/>
        <v>0</v>
      </c>
      <c r="U134" s="43">
        <f t="shared" si="55"/>
        <v>366840.86091915506</v>
      </c>
      <c r="W134" s="72" t="s">
        <v>123</v>
      </c>
      <c r="X134" s="44">
        <f t="shared" si="65"/>
        <v>365586.54576579545</v>
      </c>
      <c r="Y134" s="44">
        <f t="shared" si="49"/>
        <v>1921.9836237533832</v>
      </c>
      <c r="Z134" s="44">
        <f t="shared" si="66"/>
        <v>962.0163762466168</v>
      </c>
      <c r="AA134" s="44">
        <f t="shared" si="67"/>
        <v>0</v>
      </c>
      <c r="AB134" s="43">
        <f t="shared" si="56"/>
        <v>364624.52938954881</v>
      </c>
      <c r="AD134" s="72" t="s">
        <v>123</v>
      </c>
      <c r="AE134" s="44">
        <f t="shared" si="68"/>
        <v>729419.34523649549</v>
      </c>
      <c r="AF134" s="44">
        <f t="shared" si="50"/>
        <v>3921.4783045413014</v>
      </c>
      <c r="AG134" s="44">
        <f t="shared" si="69"/>
        <v>2120.5216954586986</v>
      </c>
      <c r="AH134" s="44">
        <f t="shared" si="70"/>
        <v>0</v>
      </c>
      <c r="AI134" s="43">
        <f t="shared" si="57"/>
        <v>727298.82354103681</v>
      </c>
      <c r="AK134" s="101">
        <f t="shared" si="77"/>
        <v>2037</v>
      </c>
      <c r="AL134" s="101">
        <f t="shared" si="51"/>
        <v>12</v>
      </c>
      <c r="AM134" s="118">
        <f t="shared" si="71"/>
        <v>11649.442805450049</v>
      </c>
      <c r="AN134" s="100">
        <f t="shared" si="72"/>
        <v>11484.751739993761</v>
      </c>
      <c r="AO134" s="100">
        <f t="shared" si="73"/>
        <v>23448.623301836426</v>
      </c>
      <c r="AP134" s="100">
        <f t="shared" si="74"/>
        <v>23134.19454544381</v>
      </c>
      <c r="AQ134" s="1">
        <f t="shared" si="75"/>
        <v>39990</v>
      </c>
      <c r="AR134" s="100">
        <f t="shared" si="58"/>
        <v>731465.39030870388</v>
      </c>
      <c r="AS134" s="100">
        <f t="shared" si="59"/>
        <v>46582.817847280239</v>
      </c>
      <c r="AT134" s="100">
        <f t="shared" si="76"/>
        <v>29659.182152719768</v>
      </c>
      <c r="AU134" s="1">
        <f t="shared" si="60"/>
        <v>76242</v>
      </c>
      <c r="AV134" s="100">
        <f t="shared" si="61"/>
        <v>1458764.2138497406</v>
      </c>
    </row>
    <row r="135" spans="4:48">
      <c r="D135" s="39">
        <f t="shared" si="62"/>
        <v>127</v>
      </c>
      <c r="E135" s="40">
        <f t="shared" si="78"/>
        <v>2037</v>
      </c>
      <c r="F135" s="35">
        <f t="shared" si="82"/>
        <v>50070</v>
      </c>
      <c r="G135" s="36">
        <f t="shared" si="47"/>
        <v>1</v>
      </c>
      <c r="H135" s="41">
        <f t="shared" si="83"/>
        <v>31</v>
      </c>
      <c r="I135" s="37" t="s">
        <v>123</v>
      </c>
      <c r="J135" s="27">
        <f t="shared" si="63"/>
        <v>0</v>
      </c>
      <c r="K135" s="27">
        <f t="shared" si="52"/>
        <v>0</v>
      </c>
      <c r="L135" s="27">
        <f t="shared" si="64"/>
        <v>0</v>
      </c>
      <c r="M135" s="27">
        <f t="shared" si="53"/>
        <v>0</v>
      </c>
      <c r="N135" s="27">
        <f t="shared" si="54"/>
        <v>0</v>
      </c>
      <c r="P135" s="72" t="s">
        <v>123</v>
      </c>
      <c r="Q135" s="44">
        <f t="shared" si="79"/>
        <v>366840.86091915506</v>
      </c>
      <c r="R135" s="44">
        <f t="shared" si="48"/>
        <v>1928.5778849801825</v>
      </c>
      <c r="S135" s="44">
        <f t="shared" si="80"/>
        <v>1852.4221150198175</v>
      </c>
      <c r="T135" s="44">
        <f t="shared" si="81"/>
        <v>0</v>
      </c>
      <c r="U135" s="43">
        <f t="shared" si="55"/>
        <v>364988.43880413525</v>
      </c>
      <c r="W135" s="72" t="s">
        <v>123</v>
      </c>
      <c r="X135" s="44">
        <f t="shared" si="65"/>
        <v>364624.52938954881</v>
      </c>
      <c r="Y135" s="44">
        <f t="shared" si="49"/>
        <v>1916.9260532756309</v>
      </c>
      <c r="Z135" s="44">
        <f t="shared" si="66"/>
        <v>967.07394672436908</v>
      </c>
      <c r="AA135" s="44">
        <f t="shared" si="67"/>
        <v>0</v>
      </c>
      <c r="AB135" s="43">
        <f t="shared" si="56"/>
        <v>363657.45544282446</v>
      </c>
      <c r="AD135" s="72" t="s">
        <v>123</v>
      </c>
      <c r="AE135" s="44">
        <f t="shared" si="68"/>
        <v>727298.82354103681</v>
      </c>
      <c r="AF135" s="44">
        <f t="shared" si="50"/>
        <v>3910.0780313276064</v>
      </c>
      <c r="AG135" s="44">
        <f t="shared" si="69"/>
        <v>2131.9219686723936</v>
      </c>
      <c r="AH135" s="44">
        <f t="shared" si="70"/>
        <v>0</v>
      </c>
      <c r="AI135" s="43">
        <f t="shared" si="57"/>
        <v>725166.90157236438</v>
      </c>
      <c r="AK135" s="101">
        <f t="shared" si="77"/>
        <v>2037</v>
      </c>
      <c r="AL135" s="101">
        <f t="shared" si="51"/>
        <v>1</v>
      </c>
      <c r="AM135" s="118">
        <f t="shared" si="71"/>
        <v>13578.020690430232</v>
      </c>
      <c r="AN135" s="100">
        <f t="shared" si="72"/>
        <v>13401.677793269391</v>
      </c>
      <c r="AO135" s="100">
        <f t="shared" si="73"/>
        <v>27358.701333164034</v>
      </c>
      <c r="AP135" s="100">
        <f t="shared" si="74"/>
        <v>26979.698483699623</v>
      </c>
      <c r="AQ135" s="1">
        <f t="shared" si="75"/>
        <v>46655</v>
      </c>
      <c r="AR135" s="100">
        <f t="shared" si="58"/>
        <v>728645.89424695971</v>
      </c>
      <c r="AS135" s="100">
        <f t="shared" si="59"/>
        <v>54338.399816863661</v>
      </c>
      <c r="AT135" s="100">
        <f t="shared" si="76"/>
        <v>34610.600183136346</v>
      </c>
      <c r="AU135" s="1">
        <f t="shared" si="60"/>
        <v>88949</v>
      </c>
      <c r="AV135" s="100">
        <f t="shared" si="61"/>
        <v>1453812.795819324</v>
      </c>
    </row>
    <row r="136" spans="4:48">
      <c r="D136" s="39">
        <f t="shared" si="62"/>
        <v>128</v>
      </c>
      <c r="E136" s="40">
        <f t="shared" si="78"/>
        <v>2037</v>
      </c>
      <c r="F136" s="35">
        <f t="shared" si="82"/>
        <v>50099</v>
      </c>
      <c r="G136" s="36">
        <f t="shared" si="47"/>
        <v>2</v>
      </c>
      <c r="H136" s="41">
        <f t="shared" si="83"/>
        <v>28</v>
      </c>
      <c r="I136" s="37" t="s">
        <v>123</v>
      </c>
      <c r="J136" s="27">
        <f t="shared" si="63"/>
        <v>0</v>
      </c>
      <c r="K136" s="27">
        <f t="shared" si="52"/>
        <v>0</v>
      </c>
      <c r="L136" s="27">
        <f t="shared" si="64"/>
        <v>0</v>
      </c>
      <c r="M136" s="27">
        <f t="shared" si="53"/>
        <v>0</v>
      </c>
      <c r="N136" s="27">
        <f t="shared" si="54"/>
        <v>0</v>
      </c>
      <c r="P136" s="72" t="s">
        <v>123</v>
      </c>
      <c r="Q136" s="44">
        <f t="shared" si="79"/>
        <v>364988.43880413525</v>
      </c>
      <c r="R136" s="44">
        <f t="shared" si="48"/>
        <v>1733.1451017406223</v>
      </c>
      <c r="S136" s="44">
        <f t="shared" si="80"/>
        <v>2047.8548982593777</v>
      </c>
      <c r="T136" s="44">
        <f t="shared" si="81"/>
        <v>0</v>
      </c>
      <c r="U136" s="43">
        <f t="shared" si="55"/>
        <v>362940.58390587586</v>
      </c>
      <c r="W136" s="72" t="s">
        <v>123</v>
      </c>
      <c r="X136" s="44">
        <f t="shared" si="65"/>
        <v>363657.45544282446</v>
      </c>
      <c r="Y136" s="44">
        <f t="shared" si="49"/>
        <v>1726.8249363657626</v>
      </c>
      <c r="Z136" s="44">
        <f t="shared" si="66"/>
        <v>1157.1750636342374</v>
      </c>
      <c r="AA136" s="44">
        <f t="shared" si="67"/>
        <v>0</v>
      </c>
      <c r="AB136" s="43">
        <f t="shared" si="56"/>
        <v>362500.28037919023</v>
      </c>
      <c r="AD136" s="72" t="s">
        <v>123</v>
      </c>
      <c r="AE136" s="44">
        <f t="shared" si="68"/>
        <v>725166.90157236438</v>
      </c>
      <c r="AF136" s="44">
        <f t="shared" si="50"/>
        <v>3521.3310036900234</v>
      </c>
      <c r="AG136" s="44">
        <f t="shared" si="69"/>
        <v>2520.6689963099766</v>
      </c>
      <c r="AH136" s="44">
        <f t="shared" si="70"/>
        <v>0</v>
      </c>
      <c r="AI136" s="43">
        <f t="shared" si="57"/>
        <v>722646.2325760544</v>
      </c>
      <c r="AK136" s="101">
        <f t="shared" si="77"/>
        <v>2037</v>
      </c>
      <c r="AL136" s="101">
        <f t="shared" si="51"/>
        <v>2</v>
      </c>
      <c r="AM136" s="118">
        <f t="shared" si="71"/>
        <v>15311.165792170854</v>
      </c>
      <c r="AN136" s="100">
        <f t="shared" si="72"/>
        <v>15128.502729635155</v>
      </c>
      <c r="AO136" s="100">
        <f t="shared" si="73"/>
        <v>30880.032336854056</v>
      </c>
      <c r="AP136" s="100">
        <f t="shared" si="74"/>
        <v>30439.668521806008</v>
      </c>
      <c r="AQ136" s="1">
        <f t="shared" si="75"/>
        <v>53320</v>
      </c>
      <c r="AR136" s="100">
        <f t="shared" si="58"/>
        <v>725440.86428506603</v>
      </c>
      <c r="AS136" s="100">
        <f t="shared" si="59"/>
        <v>61319.700858660064</v>
      </c>
      <c r="AT136" s="100">
        <f t="shared" si="76"/>
        <v>40336.299141339943</v>
      </c>
      <c r="AU136" s="1">
        <f t="shared" si="60"/>
        <v>101656</v>
      </c>
      <c r="AV136" s="100">
        <f t="shared" si="61"/>
        <v>1448087.0968611203</v>
      </c>
    </row>
    <row r="137" spans="4:48">
      <c r="D137" s="39">
        <f t="shared" si="62"/>
        <v>129</v>
      </c>
      <c r="E137" s="40">
        <f t="shared" si="78"/>
        <v>2037</v>
      </c>
      <c r="F137" s="35">
        <f t="shared" si="82"/>
        <v>50129</v>
      </c>
      <c r="G137" s="36">
        <f t="shared" ref="G137:G200" si="84">MONTH(F137)</f>
        <v>3</v>
      </c>
      <c r="H137" s="41">
        <f t="shared" si="83"/>
        <v>31</v>
      </c>
      <c r="I137" s="37" t="s">
        <v>123</v>
      </c>
      <c r="J137" s="27">
        <f t="shared" si="63"/>
        <v>0</v>
      </c>
      <c r="K137" s="27">
        <f t="shared" si="52"/>
        <v>0</v>
      </c>
      <c r="L137" s="27">
        <f t="shared" si="64"/>
        <v>0</v>
      </c>
      <c r="M137" s="27">
        <f t="shared" si="53"/>
        <v>0</v>
      </c>
      <c r="N137" s="27">
        <f t="shared" si="54"/>
        <v>0</v>
      </c>
      <c r="P137" s="72" t="s">
        <v>123</v>
      </c>
      <c r="Q137" s="44">
        <f t="shared" si="79"/>
        <v>362940.58390587586</v>
      </c>
      <c r="R137" s="44">
        <f t="shared" ref="R137:R200" si="85">(IF(P137="PI",Q137,IF(ISNUMBER(U136),U136,Q137))*$R$3/365*$H137*IF(Q137&gt;0,1,0))</f>
        <v>1908.0731135807812</v>
      </c>
      <c r="S137" s="44">
        <f t="shared" si="80"/>
        <v>1872.9268864192188</v>
      </c>
      <c r="T137" s="44">
        <f t="shared" si="81"/>
        <v>0</v>
      </c>
      <c r="U137" s="43">
        <f t="shared" si="55"/>
        <v>361067.65701945662</v>
      </c>
      <c r="W137" s="72" t="s">
        <v>123</v>
      </c>
      <c r="X137" s="44">
        <f t="shared" si="65"/>
        <v>362500.28037919023</v>
      </c>
      <c r="Y137" s="44">
        <f t="shared" ref="Y137:Y200" si="86">(IF(W137="PI",X137,IF(ISNUMBER(AB136),AB136,X137))*$Y$3/365*$H137*IF(X137&gt;0,1,0))</f>
        <v>1905.7583233414468</v>
      </c>
      <c r="Z137" s="44">
        <f t="shared" si="66"/>
        <v>978.24167665855316</v>
      </c>
      <c r="AA137" s="44">
        <f t="shared" si="67"/>
        <v>0</v>
      </c>
      <c r="AB137" s="43">
        <f t="shared" si="56"/>
        <v>361522.03870253166</v>
      </c>
      <c r="AD137" s="72" t="s">
        <v>123</v>
      </c>
      <c r="AE137" s="44">
        <f t="shared" si="68"/>
        <v>722646.2325760544</v>
      </c>
      <c r="AF137" s="44">
        <f t="shared" ref="AF137:AF200" si="87">(IF(AD137="PI",AE137,IF(ISNUMBER(AI136),AI136,AE137))*$AF$3/365*$H137*IF(AE137&gt;0,1,0))</f>
        <v>3885.0649374903878</v>
      </c>
      <c r="AG137" s="44">
        <f t="shared" si="69"/>
        <v>2156.9350625096122</v>
      </c>
      <c r="AH137" s="44">
        <f t="shared" si="70"/>
        <v>0</v>
      </c>
      <c r="AI137" s="43">
        <f t="shared" si="57"/>
        <v>720489.29751354479</v>
      </c>
      <c r="AK137" s="101">
        <f t="shared" si="77"/>
        <v>2037</v>
      </c>
      <c r="AL137" s="101">
        <f t="shared" ref="AL137:AL200" si="88">G137</f>
        <v>3</v>
      </c>
      <c r="AM137" s="118">
        <f t="shared" si="71"/>
        <v>17219.238905751634</v>
      </c>
      <c r="AN137" s="100">
        <f t="shared" si="72"/>
        <v>17034.261052976603</v>
      </c>
      <c r="AO137" s="100">
        <f t="shared" si="73"/>
        <v>34765.097274344444</v>
      </c>
      <c r="AP137" s="100">
        <f t="shared" si="74"/>
        <v>34253.499958728236</v>
      </c>
      <c r="AQ137" s="1">
        <f t="shared" si="75"/>
        <v>59985</v>
      </c>
      <c r="AR137" s="100">
        <f t="shared" si="58"/>
        <v>722589.69572198833</v>
      </c>
      <c r="AS137" s="100">
        <f t="shared" si="59"/>
        <v>69018.59723307268</v>
      </c>
      <c r="AT137" s="100">
        <f t="shared" si="76"/>
        <v>45344.402766927327</v>
      </c>
      <c r="AU137" s="1">
        <f t="shared" si="60"/>
        <v>114363</v>
      </c>
      <c r="AV137" s="100">
        <f t="shared" si="61"/>
        <v>1443078.9932355331</v>
      </c>
    </row>
    <row r="138" spans="4:48">
      <c r="D138" s="39">
        <f t="shared" si="62"/>
        <v>130</v>
      </c>
      <c r="E138" s="40">
        <f t="shared" si="78"/>
        <v>2037</v>
      </c>
      <c r="F138" s="35">
        <f t="shared" si="82"/>
        <v>50160</v>
      </c>
      <c r="G138" s="36">
        <f t="shared" si="84"/>
        <v>4</v>
      </c>
      <c r="H138" s="41">
        <f t="shared" si="83"/>
        <v>30</v>
      </c>
      <c r="I138" s="37" t="s">
        <v>123</v>
      </c>
      <c r="J138" s="27">
        <f t="shared" si="63"/>
        <v>0</v>
      </c>
      <c r="K138" s="27">
        <f t="shared" ref="K138:K201" si="89">(IF(I138="PI",J138,IF(ISNUMBER(N137),N137,J138))*$K$3/365*$H138*IF(J138&gt;0,1,0))</f>
        <v>0</v>
      </c>
      <c r="L138" s="27">
        <f t="shared" si="64"/>
        <v>0</v>
      </c>
      <c r="M138" s="27">
        <f t="shared" ref="M138:M201" si="90">IF(I138="IO",$K$6-K138+IF(ISNUMBER(M137),M137,0),IF(ISNUMBER(M137),M137,0))</f>
        <v>0</v>
      </c>
      <c r="N138" s="27">
        <f t="shared" ref="N138:N201" si="91">(J138+K138-$K$6-IF(I138="PI",0,M138))*IF(J138&gt;0,1,0)</f>
        <v>0</v>
      </c>
      <c r="P138" s="72" t="s">
        <v>123</v>
      </c>
      <c r="Q138" s="44">
        <f t="shared" si="79"/>
        <v>361067.65701945662</v>
      </c>
      <c r="R138" s="44">
        <f t="shared" si="85"/>
        <v>1836.9935317400846</v>
      </c>
      <c r="S138" s="44">
        <f t="shared" si="80"/>
        <v>1944.0064682599154</v>
      </c>
      <c r="T138" s="44">
        <f t="shared" si="81"/>
        <v>0</v>
      </c>
      <c r="U138" s="43">
        <f t="shared" ref="U138:U201" si="92">(Q138+R138-$R$6-IF(P138="PI",0,T138))*IF(Q138&gt;0,1,0)</f>
        <v>359123.65055119671</v>
      </c>
      <c r="W138" s="72" t="s">
        <v>123</v>
      </c>
      <c r="X138" s="44">
        <f t="shared" si="65"/>
        <v>361522.03870253166</v>
      </c>
      <c r="Y138" s="44">
        <f t="shared" si="86"/>
        <v>1839.3052763578116</v>
      </c>
      <c r="Z138" s="44">
        <f t="shared" si="66"/>
        <v>1044.6947236421884</v>
      </c>
      <c r="AA138" s="44">
        <f t="shared" si="67"/>
        <v>0</v>
      </c>
      <c r="AB138" s="43">
        <f t="shared" ref="AB138:AB201" si="93">(X138+Y138-$Y$6-IF(W138="PI",0,AA138))*IF(X138&gt;0,1,0)</f>
        <v>360477.34397888946</v>
      </c>
      <c r="AD138" s="72" t="s">
        <v>123</v>
      </c>
      <c r="AE138" s="44">
        <f t="shared" si="68"/>
        <v>720489.29751354479</v>
      </c>
      <c r="AF138" s="44">
        <f t="shared" si="87"/>
        <v>3748.5182903512919</v>
      </c>
      <c r="AG138" s="44">
        <f t="shared" si="69"/>
        <v>2293.4817096487081</v>
      </c>
      <c r="AH138" s="44">
        <f t="shared" si="70"/>
        <v>0</v>
      </c>
      <c r="AI138" s="43">
        <f t="shared" ref="AI138:AI201" si="94">(AE138+AF138-$AF$6-IF(AD138="PI",0,AH138))*IF(AE138&gt;0,1,0)</f>
        <v>718195.81580389605</v>
      </c>
      <c r="AK138" s="101">
        <f t="shared" si="77"/>
        <v>2037</v>
      </c>
      <c r="AL138" s="101">
        <f t="shared" si="88"/>
        <v>4</v>
      </c>
      <c r="AM138" s="118">
        <f t="shared" si="71"/>
        <v>19056.232437491719</v>
      </c>
      <c r="AN138" s="100">
        <f t="shared" si="72"/>
        <v>18873.566329334415</v>
      </c>
      <c r="AO138" s="100">
        <f t="shared" si="73"/>
        <v>38513.615564695734</v>
      </c>
      <c r="AP138" s="100">
        <f t="shared" si="74"/>
        <v>37929.798766826134</v>
      </c>
      <c r="AQ138" s="1">
        <f t="shared" si="75"/>
        <v>66650</v>
      </c>
      <c r="AR138" s="100">
        <f t="shared" ref="AR138:AR201" si="95">N138+U138+AB138</f>
        <v>719600.99453008617</v>
      </c>
      <c r="AS138" s="100">
        <f t="shared" ref="AS138:AS201" si="96">AP138+AO138</f>
        <v>76443.414331521868</v>
      </c>
      <c r="AT138" s="100">
        <f t="shared" si="76"/>
        <v>50626.585668478147</v>
      </c>
      <c r="AU138" s="1">
        <f t="shared" ref="AU138:AU201" si="97">AS138+AT138</f>
        <v>127070.00000000001</v>
      </c>
      <c r="AV138" s="100">
        <f t="shared" ref="AV138:AV201" si="98">N138+U138+AB138+AI138</f>
        <v>1437796.8103339821</v>
      </c>
    </row>
    <row r="139" spans="4:48">
      <c r="D139" s="39">
        <f t="shared" ref="D139:D202" si="99">D138+1</f>
        <v>131</v>
      </c>
      <c r="E139" s="40">
        <f t="shared" si="78"/>
        <v>2037</v>
      </c>
      <c r="F139" s="35">
        <f t="shared" si="82"/>
        <v>50190</v>
      </c>
      <c r="G139" s="36">
        <f t="shared" si="84"/>
        <v>5</v>
      </c>
      <c r="H139" s="41">
        <f t="shared" si="83"/>
        <v>31</v>
      </c>
      <c r="I139" s="37" t="s">
        <v>123</v>
      </c>
      <c r="J139" s="27">
        <f t="shared" ref="J139:J202" si="100">IF(I139="PI",IF(N138&lt;=0,0,N138),(IF(I139="IO",J138,"")))*IF(N138&lt;=0,0,1)</f>
        <v>0</v>
      </c>
      <c r="K139" s="27">
        <f t="shared" si="89"/>
        <v>0</v>
      </c>
      <c r="L139" s="27">
        <f t="shared" ref="L139:L202" si="101">IF(I139="IO",0,$K$6-K139)*IF(J139&gt;0,1,0)</f>
        <v>0</v>
      </c>
      <c r="M139" s="27">
        <f t="shared" si="90"/>
        <v>0</v>
      </c>
      <c r="N139" s="27">
        <f t="shared" si="91"/>
        <v>0</v>
      </c>
      <c r="P139" s="72" t="s">
        <v>123</v>
      </c>
      <c r="Q139" s="44">
        <f t="shared" si="79"/>
        <v>359123.65055119671</v>
      </c>
      <c r="R139" s="44">
        <f t="shared" si="85"/>
        <v>1888.0065014868255</v>
      </c>
      <c r="S139" s="44">
        <f t="shared" si="80"/>
        <v>1892.9934985131745</v>
      </c>
      <c r="T139" s="44">
        <f t="shared" si="81"/>
        <v>0</v>
      </c>
      <c r="U139" s="43">
        <f t="shared" si="92"/>
        <v>357230.65705268353</v>
      </c>
      <c r="W139" s="72" t="s">
        <v>123</v>
      </c>
      <c r="X139" s="44">
        <f t="shared" ref="X139:X202" si="102">IF(W139="PI",IF(AB138&lt;=0,0,AB138),(IF(W139="IO",X138,"")))*IF(AB138&lt;=0,0,1)</f>
        <v>360477.34397888946</v>
      </c>
      <c r="Y139" s="44">
        <f t="shared" si="86"/>
        <v>1895.1232201673724</v>
      </c>
      <c r="Z139" s="44">
        <f t="shared" ref="Z139:Z202" si="103">IF(W139="IO",0,$Y$6-Y139)*IF(X139&gt;0,1,0)</f>
        <v>988.87677983262756</v>
      </c>
      <c r="AA139" s="44">
        <f t="shared" ref="AA139:AA202" si="104">IF(W139="IO",$Y$6-Y139+IF(ISNUMBER(AA138),AA138,0),IF(ISNUMBER(AA138),AA138,0))</f>
        <v>0</v>
      </c>
      <c r="AB139" s="43">
        <f t="shared" si="93"/>
        <v>359488.46719905682</v>
      </c>
      <c r="AD139" s="72" t="s">
        <v>123</v>
      </c>
      <c r="AE139" s="44">
        <f t="shared" ref="AE139:AE202" si="105">IF(AD139="PI",IF(AI138&lt;=0,0,AI138),(IF(AD139="IO",AE138,"")))*IF(AI138&lt;=0,0,1)</f>
        <v>718195.81580389605</v>
      </c>
      <c r="AF139" s="44">
        <f t="shared" si="87"/>
        <v>3861.1387653479046</v>
      </c>
      <c r="AG139" s="44">
        <f t="shared" ref="AG139:AG202" si="106">IF(AD139="IO",0,$AF$6-AF139)*IF(AE139&gt;0,1,0)</f>
        <v>2180.8612346520954</v>
      </c>
      <c r="AH139" s="44">
        <f t="shared" ref="AH139:AH202" si="107">IF(AD139="IO",$AF$6-AF139+IF(ISNUMBER(AH138),AH138,0),IF(ISNUMBER(AH138),AH138,0))</f>
        <v>0</v>
      </c>
      <c r="AI139" s="43">
        <f t="shared" si="94"/>
        <v>716014.95456924394</v>
      </c>
      <c r="AK139" s="101">
        <f t="shared" si="77"/>
        <v>2037</v>
      </c>
      <c r="AL139" s="101">
        <f t="shared" si="88"/>
        <v>5</v>
      </c>
      <c r="AM139" s="118">
        <f t="shared" ref="AM139:AM202" si="108">IF($AK139=$AK138,R139+AM138,R139)</f>
        <v>20944.238938978546</v>
      </c>
      <c r="AN139" s="100">
        <f t="shared" ref="AN139:AN202" si="109">IF($AK139=$AK138,Y139+AN138,Y139)</f>
        <v>20768.689549501789</v>
      </c>
      <c r="AO139" s="100">
        <f t="shared" ref="AO139:AO202" si="110">IF($AK139=$AK138,AF139+AO138,AF139)</f>
        <v>42374.754330043637</v>
      </c>
      <c r="AP139" s="100">
        <f t="shared" ref="AP139:AP202" si="111">AM139+AN139</f>
        <v>41712.928488480335</v>
      </c>
      <c r="AQ139" s="1">
        <f t="shared" ref="AQ139:AQ202" si="112">IF(AK139=AK138,AQ138,0)+
IF(J139&gt;0,$K$6,0)+
IF(Q139&gt;0,$R$6,0)+
IF(X139&gt;0,$Y$6,0)</f>
        <v>73315</v>
      </c>
      <c r="AR139" s="100">
        <f t="shared" si="95"/>
        <v>716719.12425174029</v>
      </c>
      <c r="AS139" s="100">
        <f t="shared" si="96"/>
        <v>84087.682818523972</v>
      </c>
      <c r="AT139" s="100">
        <f t="shared" ref="AT139:AT202" si="113">IF(AK139=AK138,AT138,0)+
IF(J139&gt;0,L139,0)+
IF(Q139&gt;0,S139,0)+
IF(X139&gt;0,Z139,0)+
IF(AE139&gt;0,AG139,0)</f>
        <v>55689.31718147605</v>
      </c>
      <c r="AU139" s="1">
        <f t="shared" si="97"/>
        <v>139777.00000000003</v>
      </c>
      <c r="AV139" s="100">
        <f t="shared" si="98"/>
        <v>1432734.0788209843</v>
      </c>
    </row>
    <row r="140" spans="4:48">
      <c r="D140" s="39">
        <f t="shared" si="99"/>
        <v>132</v>
      </c>
      <c r="E140" s="40">
        <f t="shared" si="78"/>
        <v>2037</v>
      </c>
      <c r="F140" s="35">
        <f t="shared" si="82"/>
        <v>50221</v>
      </c>
      <c r="G140" s="36">
        <f t="shared" si="84"/>
        <v>6</v>
      </c>
      <c r="H140" s="41">
        <f t="shared" si="83"/>
        <v>30</v>
      </c>
      <c r="I140" s="37" t="s">
        <v>123</v>
      </c>
      <c r="J140" s="27">
        <f t="shared" si="100"/>
        <v>0</v>
      </c>
      <c r="K140" s="27">
        <f t="shared" si="89"/>
        <v>0</v>
      </c>
      <c r="L140" s="27">
        <f t="shared" si="101"/>
        <v>0</v>
      </c>
      <c r="M140" s="27">
        <f t="shared" si="90"/>
        <v>0</v>
      </c>
      <c r="N140" s="27">
        <f t="shared" si="91"/>
        <v>0</v>
      </c>
      <c r="P140" s="72" t="s">
        <v>123</v>
      </c>
      <c r="Q140" s="44">
        <f t="shared" si="79"/>
        <v>357230.65705268353</v>
      </c>
      <c r="R140" s="44">
        <f t="shared" si="85"/>
        <v>1817.4721373885843</v>
      </c>
      <c r="S140" s="44">
        <f t="shared" si="80"/>
        <v>1963.5278626114157</v>
      </c>
      <c r="T140" s="44">
        <f t="shared" si="81"/>
        <v>0</v>
      </c>
      <c r="U140" s="43">
        <f t="shared" si="92"/>
        <v>355267.12919007213</v>
      </c>
      <c r="W140" s="72" t="s">
        <v>123</v>
      </c>
      <c r="X140" s="44">
        <f t="shared" si="102"/>
        <v>359488.46719905682</v>
      </c>
      <c r="Y140" s="44">
        <f t="shared" si="86"/>
        <v>1828.9591331195852</v>
      </c>
      <c r="Z140" s="44">
        <f t="shared" si="103"/>
        <v>1055.0408668804148</v>
      </c>
      <c r="AA140" s="44">
        <f t="shared" si="104"/>
        <v>0</v>
      </c>
      <c r="AB140" s="43">
        <f t="shared" si="93"/>
        <v>358433.42633217643</v>
      </c>
      <c r="AD140" s="72" t="s">
        <v>123</v>
      </c>
      <c r="AE140" s="44">
        <f t="shared" si="105"/>
        <v>716014.95456924394</v>
      </c>
      <c r="AF140" s="44">
        <f t="shared" si="87"/>
        <v>3725.239448567107</v>
      </c>
      <c r="AG140" s="44">
        <f t="shared" si="106"/>
        <v>2316.760551432893</v>
      </c>
      <c r="AH140" s="44">
        <f t="shared" si="107"/>
        <v>0</v>
      </c>
      <c r="AI140" s="43">
        <f t="shared" si="94"/>
        <v>713698.1940178111</v>
      </c>
      <c r="AK140" s="101">
        <f t="shared" si="77"/>
        <v>2037</v>
      </c>
      <c r="AL140" s="101">
        <f t="shared" si="88"/>
        <v>6</v>
      </c>
      <c r="AM140" s="118">
        <f t="shared" si="108"/>
        <v>22761.71107636713</v>
      </c>
      <c r="AN140" s="100">
        <f t="shared" si="109"/>
        <v>22597.648682621373</v>
      </c>
      <c r="AO140" s="100">
        <f t="shared" si="110"/>
        <v>46099.993778610748</v>
      </c>
      <c r="AP140" s="100">
        <f t="shared" si="111"/>
        <v>45359.359758988503</v>
      </c>
      <c r="AQ140" s="1">
        <f t="shared" si="112"/>
        <v>79980</v>
      </c>
      <c r="AR140" s="100">
        <f t="shared" si="95"/>
        <v>713700.55552224861</v>
      </c>
      <c r="AS140" s="100">
        <f t="shared" si="96"/>
        <v>91459.353537599251</v>
      </c>
      <c r="AT140" s="100">
        <f t="shared" si="113"/>
        <v>61024.646462400771</v>
      </c>
      <c r="AU140" s="1">
        <f t="shared" si="97"/>
        <v>152484.00000000003</v>
      </c>
      <c r="AV140" s="100">
        <f t="shared" si="98"/>
        <v>1427398.7495400598</v>
      </c>
    </row>
    <row r="141" spans="4:48">
      <c r="D141" s="39">
        <f t="shared" si="99"/>
        <v>133</v>
      </c>
      <c r="E141" s="40">
        <f t="shared" si="78"/>
        <v>2038</v>
      </c>
      <c r="F141" s="35">
        <f t="shared" si="82"/>
        <v>50251</v>
      </c>
      <c r="G141" s="36">
        <f t="shared" si="84"/>
        <v>7</v>
      </c>
      <c r="H141" s="41">
        <f t="shared" si="83"/>
        <v>31</v>
      </c>
      <c r="I141" s="37" t="s">
        <v>123</v>
      </c>
      <c r="J141" s="27">
        <f t="shared" si="100"/>
        <v>0</v>
      </c>
      <c r="K141" s="27">
        <f t="shared" si="89"/>
        <v>0</v>
      </c>
      <c r="L141" s="27">
        <f t="shared" si="101"/>
        <v>0</v>
      </c>
      <c r="M141" s="27">
        <f t="shared" si="90"/>
        <v>0</v>
      </c>
      <c r="N141" s="27">
        <f t="shared" si="91"/>
        <v>0</v>
      </c>
      <c r="P141" s="72" t="s">
        <v>123</v>
      </c>
      <c r="Q141" s="44">
        <f t="shared" si="79"/>
        <v>355267.12919007213</v>
      </c>
      <c r="R141" s="44">
        <f t="shared" si="85"/>
        <v>1867.7317649392585</v>
      </c>
      <c r="S141" s="44">
        <f t="shared" si="80"/>
        <v>1913.2682350607415</v>
      </c>
      <c r="T141" s="44">
        <f t="shared" si="81"/>
        <v>0</v>
      </c>
      <c r="U141" s="43">
        <f t="shared" si="92"/>
        <v>353353.86095501139</v>
      </c>
      <c r="W141" s="72" t="s">
        <v>123</v>
      </c>
      <c r="X141" s="44">
        <f t="shared" si="102"/>
        <v>358433.42633217643</v>
      </c>
      <c r="Y141" s="44">
        <f t="shared" si="86"/>
        <v>1884.3778131200368</v>
      </c>
      <c r="Z141" s="44">
        <f t="shared" si="103"/>
        <v>999.62218687996324</v>
      </c>
      <c r="AA141" s="44">
        <f t="shared" si="104"/>
        <v>0</v>
      </c>
      <c r="AB141" s="43">
        <f t="shared" si="93"/>
        <v>357433.80414529645</v>
      </c>
      <c r="AD141" s="72" t="s">
        <v>123</v>
      </c>
      <c r="AE141" s="44">
        <f t="shared" si="105"/>
        <v>713698.1940178111</v>
      </c>
      <c r="AF141" s="44">
        <f t="shared" si="87"/>
        <v>3836.9588112908236</v>
      </c>
      <c r="AG141" s="44">
        <f t="shared" si="106"/>
        <v>2205.0411887091764</v>
      </c>
      <c r="AH141" s="44">
        <f t="shared" si="107"/>
        <v>0</v>
      </c>
      <c r="AI141" s="43">
        <f t="shared" si="94"/>
        <v>711493.15282910189</v>
      </c>
      <c r="AK141" s="101">
        <f t="shared" si="77"/>
        <v>2038</v>
      </c>
      <c r="AL141" s="101">
        <f t="shared" si="88"/>
        <v>7</v>
      </c>
      <c r="AM141" s="118">
        <f t="shared" si="108"/>
        <v>1867.7317649392585</v>
      </c>
      <c r="AN141" s="100">
        <f t="shared" si="109"/>
        <v>1884.3778131200368</v>
      </c>
      <c r="AO141" s="100">
        <f t="shared" si="110"/>
        <v>3836.9588112908236</v>
      </c>
      <c r="AP141" s="100">
        <f t="shared" si="111"/>
        <v>3752.109578059295</v>
      </c>
      <c r="AQ141" s="1">
        <f t="shared" si="112"/>
        <v>6665</v>
      </c>
      <c r="AR141" s="100">
        <f t="shared" si="95"/>
        <v>710787.6651003079</v>
      </c>
      <c r="AS141" s="100">
        <f t="shared" si="96"/>
        <v>7589.0683893501191</v>
      </c>
      <c r="AT141" s="100">
        <f t="shared" si="113"/>
        <v>5117.9316106498809</v>
      </c>
      <c r="AU141" s="1">
        <f t="shared" si="97"/>
        <v>12707</v>
      </c>
      <c r="AV141" s="100">
        <f t="shared" si="98"/>
        <v>1422280.8179294099</v>
      </c>
    </row>
    <row r="142" spans="4:48">
      <c r="D142" s="39">
        <f t="shared" si="99"/>
        <v>134</v>
      </c>
      <c r="E142" s="40">
        <f t="shared" si="78"/>
        <v>2038</v>
      </c>
      <c r="F142" s="35">
        <f t="shared" si="82"/>
        <v>50282</v>
      </c>
      <c r="G142" s="36">
        <f t="shared" si="84"/>
        <v>8</v>
      </c>
      <c r="H142" s="41">
        <f t="shared" si="83"/>
        <v>31</v>
      </c>
      <c r="I142" s="37" t="s">
        <v>123</v>
      </c>
      <c r="J142" s="27">
        <f t="shared" si="100"/>
        <v>0</v>
      </c>
      <c r="K142" s="27">
        <f t="shared" si="89"/>
        <v>0</v>
      </c>
      <c r="L142" s="27">
        <f t="shared" si="101"/>
        <v>0</v>
      </c>
      <c r="M142" s="27">
        <f t="shared" si="90"/>
        <v>0</v>
      </c>
      <c r="N142" s="27">
        <f t="shared" si="91"/>
        <v>0</v>
      </c>
      <c r="P142" s="72" t="s">
        <v>123</v>
      </c>
      <c r="Q142" s="44">
        <f t="shared" si="79"/>
        <v>353353.86095501139</v>
      </c>
      <c r="R142" s="44">
        <f t="shared" si="85"/>
        <v>1857.6732158536201</v>
      </c>
      <c r="S142" s="44">
        <f t="shared" si="80"/>
        <v>1923.3267841463799</v>
      </c>
      <c r="T142" s="44">
        <f t="shared" si="81"/>
        <v>0</v>
      </c>
      <c r="U142" s="43">
        <f t="shared" si="92"/>
        <v>351430.53417086502</v>
      </c>
      <c r="W142" s="72" t="s">
        <v>123</v>
      </c>
      <c r="X142" s="44">
        <f t="shared" si="102"/>
        <v>357433.80414529645</v>
      </c>
      <c r="Y142" s="44">
        <f t="shared" si="86"/>
        <v>1879.1225391079706</v>
      </c>
      <c r="Z142" s="44">
        <f t="shared" si="103"/>
        <v>1004.8774608920294</v>
      </c>
      <c r="AA142" s="44">
        <f t="shared" si="104"/>
        <v>0</v>
      </c>
      <c r="AB142" s="43">
        <f t="shared" si="93"/>
        <v>356428.92668440443</v>
      </c>
      <c r="AD142" s="72" t="s">
        <v>123</v>
      </c>
      <c r="AE142" s="44">
        <f t="shared" si="105"/>
        <v>711493.15282910189</v>
      </c>
      <c r="AF142" s="44">
        <f t="shared" si="87"/>
        <v>3825.104147387799</v>
      </c>
      <c r="AG142" s="44">
        <f t="shared" si="106"/>
        <v>2216.895852612201</v>
      </c>
      <c r="AH142" s="44">
        <f t="shared" si="107"/>
        <v>0</v>
      </c>
      <c r="AI142" s="43">
        <f t="shared" si="94"/>
        <v>709276.25697648968</v>
      </c>
      <c r="AK142" s="101">
        <f t="shared" si="77"/>
        <v>2038</v>
      </c>
      <c r="AL142" s="101">
        <f t="shared" si="88"/>
        <v>8</v>
      </c>
      <c r="AM142" s="118">
        <f t="shared" si="108"/>
        <v>3725.4049807928786</v>
      </c>
      <c r="AN142" s="100">
        <f t="shared" si="109"/>
        <v>3763.5003522280076</v>
      </c>
      <c r="AO142" s="100">
        <f t="shared" si="110"/>
        <v>7662.0629586786226</v>
      </c>
      <c r="AP142" s="100">
        <f t="shared" si="111"/>
        <v>7488.9053330208862</v>
      </c>
      <c r="AQ142" s="1">
        <f t="shared" si="112"/>
        <v>13330</v>
      </c>
      <c r="AR142" s="100">
        <f t="shared" si="95"/>
        <v>707859.46085526946</v>
      </c>
      <c r="AS142" s="100">
        <f t="shared" si="96"/>
        <v>15150.968291699508</v>
      </c>
      <c r="AT142" s="100">
        <f t="shared" si="113"/>
        <v>10263.031708300492</v>
      </c>
      <c r="AU142" s="1">
        <f t="shared" si="97"/>
        <v>25414</v>
      </c>
      <c r="AV142" s="100">
        <f t="shared" si="98"/>
        <v>1417135.7178317592</v>
      </c>
    </row>
    <row r="143" spans="4:48">
      <c r="D143" s="39">
        <f t="shared" si="99"/>
        <v>135</v>
      </c>
      <c r="E143" s="40">
        <f t="shared" si="78"/>
        <v>2038</v>
      </c>
      <c r="F143" s="35">
        <f t="shared" si="82"/>
        <v>50313</v>
      </c>
      <c r="G143" s="36">
        <f t="shared" si="84"/>
        <v>9</v>
      </c>
      <c r="H143" s="41">
        <f t="shared" si="83"/>
        <v>30</v>
      </c>
      <c r="I143" s="37" t="s">
        <v>123</v>
      </c>
      <c r="J143" s="27">
        <f t="shared" si="100"/>
        <v>0</v>
      </c>
      <c r="K143" s="27">
        <f t="shared" si="89"/>
        <v>0</v>
      </c>
      <c r="L143" s="27">
        <f t="shared" si="101"/>
        <v>0</v>
      </c>
      <c r="M143" s="27">
        <f t="shared" si="90"/>
        <v>0</v>
      </c>
      <c r="N143" s="27">
        <f t="shared" si="91"/>
        <v>0</v>
      </c>
      <c r="P143" s="72" t="s">
        <v>123</v>
      </c>
      <c r="Q143" s="44">
        <f t="shared" si="79"/>
        <v>351430.53417086502</v>
      </c>
      <c r="R143" s="44">
        <f t="shared" si="85"/>
        <v>1787.9630190556063</v>
      </c>
      <c r="S143" s="44">
        <f t="shared" si="80"/>
        <v>1993.0369809443937</v>
      </c>
      <c r="T143" s="44">
        <f t="shared" si="81"/>
        <v>0</v>
      </c>
      <c r="U143" s="43">
        <f t="shared" si="92"/>
        <v>349437.49718992063</v>
      </c>
      <c r="W143" s="72" t="s">
        <v>123</v>
      </c>
      <c r="X143" s="44">
        <f t="shared" si="102"/>
        <v>356428.92668440443</v>
      </c>
      <c r="Y143" s="44">
        <f t="shared" si="86"/>
        <v>1813.393196857367</v>
      </c>
      <c r="Z143" s="44">
        <f t="shared" si="103"/>
        <v>1070.606803142633</v>
      </c>
      <c r="AA143" s="44">
        <f t="shared" si="104"/>
        <v>0</v>
      </c>
      <c r="AB143" s="43">
        <f t="shared" si="93"/>
        <v>355358.31988126179</v>
      </c>
      <c r="AD143" s="72" t="s">
        <v>123</v>
      </c>
      <c r="AE143" s="44">
        <f t="shared" si="105"/>
        <v>709276.25697648968</v>
      </c>
      <c r="AF143" s="44">
        <f t="shared" si="87"/>
        <v>3690.1797588995992</v>
      </c>
      <c r="AG143" s="44">
        <f t="shared" si="106"/>
        <v>2351.8202411004008</v>
      </c>
      <c r="AH143" s="44">
        <f t="shared" si="107"/>
        <v>0</v>
      </c>
      <c r="AI143" s="43">
        <f t="shared" si="94"/>
        <v>706924.43673538929</v>
      </c>
      <c r="AK143" s="101">
        <f t="shared" si="77"/>
        <v>2038</v>
      </c>
      <c r="AL143" s="101">
        <f t="shared" si="88"/>
        <v>9</v>
      </c>
      <c r="AM143" s="118">
        <f t="shared" si="108"/>
        <v>5513.3679998484849</v>
      </c>
      <c r="AN143" s="100">
        <f t="shared" si="109"/>
        <v>5576.8935490853746</v>
      </c>
      <c r="AO143" s="100">
        <f t="shared" si="110"/>
        <v>11352.242717578221</v>
      </c>
      <c r="AP143" s="100">
        <f t="shared" si="111"/>
        <v>11090.26154893386</v>
      </c>
      <c r="AQ143" s="1">
        <f t="shared" si="112"/>
        <v>19995</v>
      </c>
      <c r="AR143" s="100">
        <f t="shared" si="95"/>
        <v>704795.81707118242</v>
      </c>
      <c r="AS143" s="100">
        <f t="shared" si="96"/>
        <v>22442.504266512082</v>
      </c>
      <c r="AT143" s="100">
        <f t="shared" si="113"/>
        <v>15678.49573348792</v>
      </c>
      <c r="AU143" s="1">
        <f t="shared" si="97"/>
        <v>38121</v>
      </c>
      <c r="AV143" s="100">
        <f t="shared" si="98"/>
        <v>1411720.2538065717</v>
      </c>
    </row>
    <row r="144" spans="4:48">
      <c r="D144" s="39">
        <f t="shared" si="99"/>
        <v>136</v>
      </c>
      <c r="E144" s="40">
        <f t="shared" si="78"/>
        <v>2038</v>
      </c>
      <c r="F144" s="35">
        <f t="shared" si="82"/>
        <v>50343</v>
      </c>
      <c r="G144" s="36">
        <f t="shared" si="84"/>
        <v>10</v>
      </c>
      <c r="H144" s="41">
        <f t="shared" si="83"/>
        <v>31</v>
      </c>
      <c r="I144" s="37" t="s">
        <v>123</v>
      </c>
      <c r="J144" s="27">
        <f t="shared" si="100"/>
        <v>0</v>
      </c>
      <c r="K144" s="27">
        <f t="shared" si="89"/>
        <v>0</v>
      </c>
      <c r="L144" s="27">
        <f t="shared" si="101"/>
        <v>0</v>
      </c>
      <c r="M144" s="27">
        <f t="shared" si="90"/>
        <v>0</v>
      </c>
      <c r="N144" s="27">
        <f t="shared" si="91"/>
        <v>0</v>
      </c>
      <c r="P144" s="72" t="s">
        <v>123</v>
      </c>
      <c r="Q144" s="44">
        <f t="shared" si="79"/>
        <v>349437.49718992063</v>
      </c>
      <c r="R144" s="44">
        <f t="shared" si="85"/>
        <v>1837.0838722129827</v>
      </c>
      <c r="S144" s="44">
        <f t="shared" si="80"/>
        <v>1943.9161277870173</v>
      </c>
      <c r="T144" s="44">
        <f t="shared" si="81"/>
        <v>0</v>
      </c>
      <c r="U144" s="43">
        <f t="shared" si="92"/>
        <v>347493.5810621336</v>
      </c>
      <c r="W144" s="72" t="s">
        <v>123</v>
      </c>
      <c r="X144" s="44">
        <f t="shared" si="102"/>
        <v>355358.31988126179</v>
      </c>
      <c r="Y144" s="44">
        <f t="shared" si="86"/>
        <v>1868.211178137406</v>
      </c>
      <c r="Z144" s="44">
        <f t="shared" si="103"/>
        <v>1015.788821862594</v>
      </c>
      <c r="AA144" s="44">
        <f t="shared" si="104"/>
        <v>0</v>
      </c>
      <c r="AB144" s="43">
        <f t="shared" si="93"/>
        <v>354342.53105939919</v>
      </c>
      <c r="AD144" s="72" t="s">
        <v>123</v>
      </c>
      <c r="AE144" s="44">
        <f t="shared" si="105"/>
        <v>706924.43673538929</v>
      </c>
      <c r="AF144" s="44">
        <f t="shared" si="87"/>
        <v>3800.5419786461766</v>
      </c>
      <c r="AG144" s="44">
        <f t="shared" si="106"/>
        <v>2241.4580213538234</v>
      </c>
      <c r="AH144" s="44">
        <f t="shared" si="107"/>
        <v>0</v>
      </c>
      <c r="AI144" s="43">
        <f t="shared" si="94"/>
        <v>704682.97871403547</v>
      </c>
      <c r="AK144" s="101">
        <f t="shared" si="77"/>
        <v>2038</v>
      </c>
      <c r="AL144" s="101">
        <f t="shared" si="88"/>
        <v>10</v>
      </c>
      <c r="AM144" s="118">
        <f t="shared" si="108"/>
        <v>7350.4518720614678</v>
      </c>
      <c r="AN144" s="100">
        <f t="shared" si="109"/>
        <v>7445.1047272227806</v>
      </c>
      <c r="AO144" s="100">
        <f t="shared" si="110"/>
        <v>15152.784696224398</v>
      </c>
      <c r="AP144" s="100">
        <f t="shared" si="111"/>
        <v>14795.556599284249</v>
      </c>
      <c r="AQ144" s="1">
        <f t="shared" si="112"/>
        <v>26660</v>
      </c>
      <c r="AR144" s="100">
        <f t="shared" si="95"/>
        <v>701836.11212153279</v>
      </c>
      <c r="AS144" s="100">
        <f t="shared" si="96"/>
        <v>29948.341295508646</v>
      </c>
      <c r="AT144" s="100">
        <f t="shared" si="113"/>
        <v>20879.658704491358</v>
      </c>
      <c r="AU144" s="1">
        <f t="shared" si="97"/>
        <v>50828</v>
      </c>
      <c r="AV144" s="100">
        <f t="shared" si="98"/>
        <v>1406519.0908355683</v>
      </c>
    </row>
    <row r="145" spans="4:48">
      <c r="D145" s="39">
        <f t="shared" si="99"/>
        <v>137</v>
      </c>
      <c r="E145" s="40">
        <f t="shared" si="78"/>
        <v>2038</v>
      </c>
      <c r="F145" s="35">
        <f t="shared" si="82"/>
        <v>50374</v>
      </c>
      <c r="G145" s="36">
        <f t="shared" si="84"/>
        <v>11</v>
      </c>
      <c r="H145" s="41">
        <f t="shared" si="83"/>
        <v>30</v>
      </c>
      <c r="I145" s="37" t="s">
        <v>123</v>
      </c>
      <c r="J145" s="27">
        <f t="shared" si="100"/>
        <v>0</v>
      </c>
      <c r="K145" s="27">
        <f t="shared" si="89"/>
        <v>0</v>
      </c>
      <c r="L145" s="27">
        <f t="shared" si="101"/>
        <v>0</v>
      </c>
      <c r="M145" s="27">
        <f t="shared" si="90"/>
        <v>0</v>
      </c>
      <c r="N145" s="27">
        <f t="shared" si="91"/>
        <v>0</v>
      </c>
      <c r="P145" s="72" t="s">
        <v>123</v>
      </c>
      <c r="Q145" s="44">
        <f t="shared" si="79"/>
        <v>347493.5810621336</v>
      </c>
      <c r="R145" s="44">
        <f t="shared" si="85"/>
        <v>1767.9330959791289</v>
      </c>
      <c r="S145" s="44">
        <f t="shared" si="80"/>
        <v>2013.0669040208711</v>
      </c>
      <c r="T145" s="44">
        <f t="shared" si="81"/>
        <v>0</v>
      </c>
      <c r="U145" s="43">
        <f t="shared" si="92"/>
        <v>345480.51415811275</v>
      </c>
      <c r="W145" s="72" t="s">
        <v>123</v>
      </c>
      <c r="X145" s="44">
        <f t="shared" si="102"/>
        <v>354342.53105939919</v>
      </c>
      <c r="Y145" s="44">
        <f t="shared" si="86"/>
        <v>1802.7783018556281</v>
      </c>
      <c r="Z145" s="44">
        <f t="shared" si="103"/>
        <v>1081.2216981443719</v>
      </c>
      <c r="AA145" s="44">
        <f t="shared" si="104"/>
        <v>0</v>
      </c>
      <c r="AB145" s="43">
        <f t="shared" si="93"/>
        <v>353261.3093612548</v>
      </c>
      <c r="AD145" s="72" t="s">
        <v>123</v>
      </c>
      <c r="AE145" s="44">
        <f t="shared" si="105"/>
        <v>704682.97871403547</v>
      </c>
      <c r="AF145" s="44">
        <f t="shared" si="87"/>
        <v>3666.2821276108307</v>
      </c>
      <c r="AG145" s="44">
        <f t="shared" si="106"/>
        <v>2375.7178723891693</v>
      </c>
      <c r="AH145" s="44">
        <f t="shared" si="107"/>
        <v>0</v>
      </c>
      <c r="AI145" s="43">
        <f t="shared" si="94"/>
        <v>702307.26084164635</v>
      </c>
      <c r="AK145" s="101">
        <f t="shared" si="77"/>
        <v>2038</v>
      </c>
      <c r="AL145" s="101">
        <f t="shared" si="88"/>
        <v>11</v>
      </c>
      <c r="AM145" s="118">
        <f t="shared" si="108"/>
        <v>9118.3849680405965</v>
      </c>
      <c r="AN145" s="100">
        <f t="shared" si="109"/>
        <v>9247.8830290784081</v>
      </c>
      <c r="AO145" s="100">
        <f t="shared" si="110"/>
        <v>18819.06682383523</v>
      </c>
      <c r="AP145" s="100">
        <f t="shared" si="111"/>
        <v>18366.267997119005</v>
      </c>
      <c r="AQ145" s="1">
        <f t="shared" si="112"/>
        <v>33325</v>
      </c>
      <c r="AR145" s="100">
        <f t="shared" si="95"/>
        <v>698741.82351936749</v>
      </c>
      <c r="AS145" s="100">
        <f t="shared" si="96"/>
        <v>37185.334820954231</v>
      </c>
      <c r="AT145" s="100">
        <f t="shared" si="113"/>
        <v>26349.665179045769</v>
      </c>
      <c r="AU145" s="1">
        <f t="shared" si="97"/>
        <v>63535</v>
      </c>
      <c r="AV145" s="100">
        <f t="shared" si="98"/>
        <v>1401049.084361014</v>
      </c>
    </row>
    <row r="146" spans="4:48">
      <c r="D146" s="39">
        <f t="shared" si="99"/>
        <v>138</v>
      </c>
      <c r="E146" s="40">
        <f t="shared" si="78"/>
        <v>2038</v>
      </c>
      <c r="F146" s="35">
        <f t="shared" si="82"/>
        <v>50404</v>
      </c>
      <c r="G146" s="36">
        <f t="shared" si="84"/>
        <v>12</v>
      </c>
      <c r="H146" s="41">
        <f t="shared" si="83"/>
        <v>31</v>
      </c>
      <c r="I146" s="37" t="s">
        <v>123</v>
      </c>
      <c r="J146" s="27">
        <f t="shared" si="100"/>
        <v>0</v>
      </c>
      <c r="K146" s="27">
        <f t="shared" si="89"/>
        <v>0</v>
      </c>
      <c r="L146" s="27">
        <f t="shared" si="101"/>
        <v>0</v>
      </c>
      <c r="M146" s="27">
        <f t="shared" si="90"/>
        <v>0</v>
      </c>
      <c r="N146" s="27">
        <f t="shared" si="91"/>
        <v>0</v>
      </c>
      <c r="P146" s="72" t="s">
        <v>123</v>
      </c>
      <c r="Q146" s="44">
        <f t="shared" si="79"/>
        <v>345480.51415811275</v>
      </c>
      <c r="R146" s="44">
        <f t="shared" si="85"/>
        <v>1816.2809825150753</v>
      </c>
      <c r="S146" s="44">
        <f t="shared" si="80"/>
        <v>1964.7190174849247</v>
      </c>
      <c r="T146" s="44">
        <f t="shared" si="81"/>
        <v>0</v>
      </c>
      <c r="U146" s="43">
        <f t="shared" si="92"/>
        <v>343515.79514062783</v>
      </c>
      <c r="W146" s="72" t="s">
        <v>123</v>
      </c>
      <c r="X146" s="44">
        <f t="shared" si="102"/>
        <v>353261.3093612548</v>
      </c>
      <c r="Y146" s="44">
        <f t="shared" si="86"/>
        <v>1857.1866480364708</v>
      </c>
      <c r="Z146" s="44">
        <f t="shared" si="103"/>
        <v>1026.8133519635292</v>
      </c>
      <c r="AA146" s="44">
        <f t="shared" si="104"/>
        <v>0</v>
      </c>
      <c r="AB146" s="43">
        <f t="shared" si="93"/>
        <v>352234.49600929127</v>
      </c>
      <c r="AD146" s="72" t="s">
        <v>123</v>
      </c>
      <c r="AE146" s="44">
        <f t="shared" si="105"/>
        <v>702307.26084164635</v>
      </c>
      <c r="AF146" s="44">
        <f t="shared" si="87"/>
        <v>3775.7192820535961</v>
      </c>
      <c r="AG146" s="44">
        <f t="shared" si="106"/>
        <v>2266.2807179464039</v>
      </c>
      <c r="AH146" s="44">
        <f t="shared" si="107"/>
        <v>0</v>
      </c>
      <c r="AI146" s="43">
        <f t="shared" si="94"/>
        <v>700040.98012369999</v>
      </c>
      <c r="AK146" s="101">
        <f t="shared" si="77"/>
        <v>2038</v>
      </c>
      <c r="AL146" s="101">
        <f t="shared" si="88"/>
        <v>12</v>
      </c>
      <c r="AM146" s="118">
        <f t="shared" si="108"/>
        <v>10934.665950555671</v>
      </c>
      <c r="AN146" s="100">
        <f t="shared" si="109"/>
        <v>11105.06967711488</v>
      </c>
      <c r="AO146" s="100">
        <f t="shared" si="110"/>
        <v>22594.786105888827</v>
      </c>
      <c r="AP146" s="100">
        <f t="shared" si="111"/>
        <v>22039.73562767055</v>
      </c>
      <c r="AQ146" s="1">
        <f t="shared" si="112"/>
        <v>39990</v>
      </c>
      <c r="AR146" s="100">
        <f t="shared" si="95"/>
        <v>695750.29114991915</v>
      </c>
      <c r="AS146" s="100">
        <f t="shared" si="96"/>
        <v>44634.521733559377</v>
      </c>
      <c r="AT146" s="100">
        <f t="shared" si="113"/>
        <v>31607.478266440627</v>
      </c>
      <c r="AU146" s="1">
        <f t="shared" si="97"/>
        <v>76242</v>
      </c>
      <c r="AV146" s="100">
        <f t="shared" si="98"/>
        <v>1395791.271273619</v>
      </c>
    </row>
    <row r="147" spans="4:48">
      <c r="D147" s="39">
        <f t="shared" si="99"/>
        <v>139</v>
      </c>
      <c r="E147" s="40">
        <f t="shared" si="78"/>
        <v>2038</v>
      </c>
      <c r="F147" s="35">
        <f t="shared" si="82"/>
        <v>50435</v>
      </c>
      <c r="G147" s="36">
        <f t="shared" si="84"/>
        <v>1</v>
      </c>
      <c r="H147" s="41">
        <f t="shared" si="83"/>
        <v>31</v>
      </c>
      <c r="I147" s="37" t="s">
        <v>123</v>
      </c>
      <c r="J147" s="27">
        <f t="shared" si="100"/>
        <v>0</v>
      </c>
      <c r="K147" s="27">
        <f t="shared" si="89"/>
        <v>0</v>
      </c>
      <c r="L147" s="27">
        <f t="shared" si="101"/>
        <v>0</v>
      </c>
      <c r="M147" s="27">
        <f t="shared" si="90"/>
        <v>0</v>
      </c>
      <c r="N147" s="27">
        <f t="shared" si="91"/>
        <v>0</v>
      </c>
      <c r="P147" s="72" t="s">
        <v>123</v>
      </c>
      <c r="Q147" s="44">
        <f t="shared" si="79"/>
        <v>343515.79514062783</v>
      </c>
      <c r="R147" s="44">
        <f t="shared" si="85"/>
        <v>1805.9519432749335</v>
      </c>
      <c r="S147" s="44">
        <f t="shared" si="80"/>
        <v>1975.0480567250665</v>
      </c>
      <c r="T147" s="44">
        <f t="shared" si="81"/>
        <v>0</v>
      </c>
      <c r="U147" s="43">
        <f t="shared" si="92"/>
        <v>341540.74708390277</v>
      </c>
      <c r="W147" s="72" t="s">
        <v>123</v>
      </c>
      <c r="X147" s="44">
        <f t="shared" si="102"/>
        <v>352234.49600929127</v>
      </c>
      <c r="Y147" s="44">
        <f t="shared" si="86"/>
        <v>1851.788422992408</v>
      </c>
      <c r="Z147" s="44">
        <f t="shared" si="103"/>
        <v>1032.211577007592</v>
      </c>
      <c r="AA147" s="44">
        <f t="shared" si="104"/>
        <v>0</v>
      </c>
      <c r="AB147" s="43">
        <f t="shared" si="93"/>
        <v>351202.28443228366</v>
      </c>
      <c r="AD147" s="72" t="s">
        <v>123</v>
      </c>
      <c r="AE147" s="44">
        <f t="shared" si="105"/>
        <v>700040.98012369999</v>
      </c>
      <c r="AF147" s="44">
        <f t="shared" si="87"/>
        <v>3763.5353843746198</v>
      </c>
      <c r="AG147" s="44">
        <f t="shared" si="106"/>
        <v>2278.4646156253802</v>
      </c>
      <c r="AH147" s="44">
        <f t="shared" si="107"/>
        <v>0</v>
      </c>
      <c r="AI147" s="43">
        <f t="shared" si="94"/>
        <v>697762.51550807466</v>
      </c>
      <c r="AK147" s="101">
        <f t="shared" si="77"/>
        <v>2038</v>
      </c>
      <c r="AL147" s="101">
        <f t="shared" si="88"/>
        <v>1</v>
      </c>
      <c r="AM147" s="118">
        <f t="shared" si="108"/>
        <v>12740.617893830604</v>
      </c>
      <c r="AN147" s="100">
        <f t="shared" si="109"/>
        <v>12956.858100107287</v>
      </c>
      <c r="AO147" s="100">
        <f t="shared" si="110"/>
        <v>26358.321490263446</v>
      </c>
      <c r="AP147" s="100">
        <f t="shared" si="111"/>
        <v>25697.475993937893</v>
      </c>
      <c r="AQ147" s="1">
        <f t="shared" si="112"/>
        <v>46655</v>
      </c>
      <c r="AR147" s="100">
        <f t="shared" si="95"/>
        <v>692743.03151618643</v>
      </c>
      <c r="AS147" s="100">
        <f t="shared" si="96"/>
        <v>52055.797484201335</v>
      </c>
      <c r="AT147" s="100">
        <f t="shared" si="113"/>
        <v>36893.202515798665</v>
      </c>
      <c r="AU147" s="1">
        <f t="shared" si="97"/>
        <v>88949</v>
      </c>
      <c r="AV147" s="100">
        <f t="shared" si="98"/>
        <v>1390505.5470242612</v>
      </c>
    </row>
    <row r="148" spans="4:48">
      <c r="D148" s="39">
        <f t="shared" si="99"/>
        <v>140</v>
      </c>
      <c r="E148" s="40">
        <f t="shared" si="78"/>
        <v>2038</v>
      </c>
      <c r="F148" s="35">
        <f t="shared" si="82"/>
        <v>50464</v>
      </c>
      <c r="G148" s="36">
        <f t="shared" si="84"/>
        <v>2</v>
      </c>
      <c r="H148" s="41">
        <f t="shared" si="83"/>
        <v>28</v>
      </c>
      <c r="I148" s="37" t="s">
        <v>123</v>
      </c>
      <c r="J148" s="27">
        <f t="shared" si="100"/>
        <v>0</v>
      </c>
      <c r="K148" s="27">
        <f t="shared" si="89"/>
        <v>0</v>
      </c>
      <c r="L148" s="27">
        <f t="shared" si="101"/>
        <v>0</v>
      </c>
      <c r="M148" s="27">
        <f t="shared" si="90"/>
        <v>0</v>
      </c>
      <c r="N148" s="27">
        <f t="shared" si="91"/>
        <v>0</v>
      </c>
      <c r="P148" s="72" t="s">
        <v>123</v>
      </c>
      <c r="Q148" s="44">
        <f t="shared" si="79"/>
        <v>341540.74708390277</v>
      </c>
      <c r="R148" s="44">
        <f t="shared" si="85"/>
        <v>1621.8038982077269</v>
      </c>
      <c r="S148" s="44">
        <f t="shared" si="80"/>
        <v>2159.1961017922731</v>
      </c>
      <c r="T148" s="44">
        <f t="shared" si="81"/>
        <v>0</v>
      </c>
      <c r="U148" s="43">
        <f t="shared" si="92"/>
        <v>339381.55098211049</v>
      </c>
      <c r="W148" s="72" t="s">
        <v>123</v>
      </c>
      <c r="X148" s="44">
        <f t="shared" si="102"/>
        <v>351202.28443228366</v>
      </c>
      <c r="Y148" s="44">
        <f t="shared" si="86"/>
        <v>1667.6816421316</v>
      </c>
      <c r="Z148" s="44">
        <f t="shared" si="103"/>
        <v>1216.3183578684</v>
      </c>
      <c r="AA148" s="44">
        <f t="shared" si="104"/>
        <v>0</v>
      </c>
      <c r="AB148" s="43">
        <f t="shared" si="93"/>
        <v>349985.96607441525</v>
      </c>
      <c r="AD148" s="72" t="s">
        <v>123</v>
      </c>
      <c r="AE148" s="44">
        <f t="shared" si="105"/>
        <v>697762.51550807466</v>
      </c>
      <c r="AF148" s="44">
        <f t="shared" si="87"/>
        <v>3388.2583081822227</v>
      </c>
      <c r="AG148" s="44">
        <f t="shared" si="106"/>
        <v>2653.7416918177773</v>
      </c>
      <c r="AH148" s="44">
        <f t="shared" si="107"/>
        <v>0</v>
      </c>
      <c r="AI148" s="43">
        <f t="shared" si="94"/>
        <v>695108.7738162569</v>
      </c>
      <c r="AK148" s="101">
        <f t="shared" si="77"/>
        <v>2038</v>
      </c>
      <c r="AL148" s="101">
        <f t="shared" si="88"/>
        <v>2</v>
      </c>
      <c r="AM148" s="118">
        <f t="shared" si="108"/>
        <v>14362.421792038331</v>
      </c>
      <c r="AN148" s="100">
        <f t="shared" si="109"/>
        <v>14624.539742238887</v>
      </c>
      <c r="AO148" s="100">
        <f t="shared" si="110"/>
        <v>29746.579798445669</v>
      </c>
      <c r="AP148" s="100">
        <f t="shared" si="111"/>
        <v>28986.961534277216</v>
      </c>
      <c r="AQ148" s="1">
        <f t="shared" si="112"/>
        <v>53320</v>
      </c>
      <c r="AR148" s="100">
        <f t="shared" si="95"/>
        <v>689367.51705652568</v>
      </c>
      <c r="AS148" s="100">
        <f t="shared" si="96"/>
        <v>58733.541332722889</v>
      </c>
      <c r="AT148" s="100">
        <f t="shared" si="113"/>
        <v>42922.458667277111</v>
      </c>
      <c r="AU148" s="1">
        <f t="shared" si="97"/>
        <v>101656</v>
      </c>
      <c r="AV148" s="100">
        <f t="shared" si="98"/>
        <v>1384476.2908727825</v>
      </c>
    </row>
    <row r="149" spans="4:48">
      <c r="D149" s="39">
        <f t="shared" si="99"/>
        <v>141</v>
      </c>
      <c r="E149" s="40">
        <f t="shared" si="78"/>
        <v>2038</v>
      </c>
      <c r="F149" s="35">
        <f t="shared" si="82"/>
        <v>50494</v>
      </c>
      <c r="G149" s="36">
        <f t="shared" si="84"/>
        <v>3</v>
      </c>
      <c r="H149" s="41">
        <f t="shared" si="83"/>
        <v>31</v>
      </c>
      <c r="I149" s="37" t="s">
        <v>123</v>
      </c>
      <c r="J149" s="27">
        <f t="shared" si="100"/>
        <v>0</v>
      </c>
      <c r="K149" s="27">
        <f t="shared" si="89"/>
        <v>0</v>
      </c>
      <c r="L149" s="27">
        <f t="shared" si="101"/>
        <v>0</v>
      </c>
      <c r="M149" s="27">
        <f t="shared" si="90"/>
        <v>0</v>
      </c>
      <c r="N149" s="27">
        <f t="shared" si="91"/>
        <v>0</v>
      </c>
      <c r="P149" s="72" t="s">
        <v>123</v>
      </c>
      <c r="Q149" s="44">
        <f t="shared" si="79"/>
        <v>339381.55098211049</v>
      </c>
      <c r="R149" s="44">
        <f t="shared" si="85"/>
        <v>1784.2171456974568</v>
      </c>
      <c r="S149" s="44">
        <f t="shared" si="80"/>
        <v>1996.7828543025432</v>
      </c>
      <c r="T149" s="44">
        <f t="shared" si="81"/>
        <v>0</v>
      </c>
      <c r="U149" s="43">
        <f t="shared" si="92"/>
        <v>337384.76812780794</v>
      </c>
      <c r="W149" s="72" t="s">
        <v>123</v>
      </c>
      <c r="X149" s="44">
        <f t="shared" si="102"/>
        <v>349985.96607441525</v>
      </c>
      <c r="Y149" s="44">
        <f t="shared" si="86"/>
        <v>1839.9673158909463</v>
      </c>
      <c r="Z149" s="44">
        <f t="shared" si="103"/>
        <v>1044.0326841090537</v>
      </c>
      <c r="AA149" s="44">
        <f t="shared" si="104"/>
        <v>0</v>
      </c>
      <c r="AB149" s="43">
        <f t="shared" si="93"/>
        <v>348941.93339030619</v>
      </c>
      <c r="AD149" s="72" t="s">
        <v>123</v>
      </c>
      <c r="AE149" s="44">
        <f t="shared" si="105"/>
        <v>695108.7738162569</v>
      </c>
      <c r="AF149" s="44">
        <f t="shared" si="87"/>
        <v>3737.0190324921668</v>
      </c>
      <c r="AG149" s="44">
        <f t="shared" si="106"/>
        <v>2304.9809675078332</v>
      </c>
      <c r="AH149" s="44">
        <f t="shared" si="107"/>
        <v>0</v>
      </c>
      <c r="AI149" s="43">
        <f t="shared" si="94"/>
        <v>692803.79284874909</v>
      </c>
      <c r="AK149" s="101">
        <f t="shared" si="77"/>
        <v>2038</v>
      </c>
      <c r="AL149" s="101">
        <f t="shared" si="88"/>
        <v>3</v>
      </c>
      <c r="AM149" s="118">
        <f t="shared" si="108"/>
        <v>16146.638937735788</v>
      </c>
      <c r="AN149" s="100">
        <f t="shared" si="109"/>
        <v>16464.507058129835</v>
      </c>
      <c r="AO149" s="100">
        <f t="shared" si="110"/>
        <v>33483.598830937837</v>
      </c>
      <c r="AP149" s="100">
        <f t="shared" si="111"/>
        <v>32611.145995865623</v>
      </c>
      <c r="AQ149" s="1">
        <f t="shared" si="112"/>
        <v>59985</v>
      </c>
      <c r="AR149" s="100">
        <f t="shared" si="95"/>
        <v>686326.70151811419</v>
      </c>
      <c r="AS149" s="100">
        <f t="shared" si="96"/>
        <v>66094.744826803464</v>
      </c>
      <c r="AT149" s="100">
        <f t="shared" si="113"/>
        <v>48268.255173196543</v>
      </c>
      <c r="AU149" s="1">
        <f t="shared" si="97"/>
        <v>114363</v>
      </c>
      <c r="AV149" s="100">
        <f t="shared" si="98"/>
        <v>1379130.4943668633</v>
      </c>
    </row>
    <row r="150" spans="4:48">
      <c r="D150" s="39">
        <f t="shared" si="99"/>
        <v>142</v>
      </c>
      <c r="E150" s="40">
        <f t="shared" si="78"/>
        <v>2038</v>
      </c>
      <c r="F150" s="35">
        <f t="shared" si="82"/>
        <v>50525</v>
      </c>
      <c r="G150" s="36">
        <f t="shared" si="84"/>
        <v>4</v>
      </c>
      <c r="H150" s="41">
        <f t="shared" si="83"/>
        <v>30</v>
      </c>
      <c r="I150" s="37" t="s">
        <v>123</v>
      </c>
      <c r="J150" s="27">
        <f t="shared" si="100"/>
        <v>0</v>
      </c>
      <c r="K150" s="27">
        <f t="shared" si="89"/>
        <v>0</v>
      </c>
      <c r="L150" s="27">
        <f t="shared" si="101"/>
        <v>0</v>
      </c>
      <c r="M150" s="27">
        <f t="shared" si="90"/>
        <v>0</v>
      </c>
      <c r="N150" s="27">
        <f t="shared" si="91"/>
        <v>0</v>
      </c>
      <c r="P150" s="72" t="s">
        <v>123</v>
      </c>
      <c r="Q150" s="44">
        <f t="shared" si="79"/>
        <v>337384.76812780794</v>
      </c>
      <c r="R150" s="44">
        <f t="shared" si="85"/>
        <v>1716.5027792146284</v>
      </c>
      <c r="S150" s="44">
        <f t="shared" si="80"/>
        <v>2064.4972207853716</v>
      </c>
      <c r="T150" s="44">
        <f t="shared" si="81"/>
        <v>0</v>
      </c>
      <c r="U150" s="43">
        <f t="shared" si="92"/>
        <v>335320.27090702258</v>
      </c>
      <c r="W150" s="72" t="s">
        <v>123</v>
      </c>
      <c r="X150" s="44">
        <f t="shared" si="102"/>
        <v>348941.93339030619</v>
      </c>
      <c r="Y150" s="44">
        <f t="shared" si="86"/>
        <v>1775.3018364542427</v>
      </c>
      <c r="Z150" s="44">
        <f t="shared" si="103"/>
        <v>1108.6981635457573</v>
      </c>
      <c r="AA150" s="44">
        <f t="shared" si="104"/>
        <v>0</v>
      </c>
      <c r="AB150" s="43">
        <f t="shared" si="93"/>
        <v>347833.23522676044</v>
      </c>
      <c r="AD150" s="72" t="s">
        <v>123</v>
      </c>
      <c r="AE150" s="44">
        <f t="shared" si="105"/>
        <v>692803.79284874909</v>
      </c>
      <c r="AF150" s="44">
        <f t="shared" si="87"/>
        <v>3604.4778153966422</v>
      </c>
      <c r="AG150" s="44">
        <f t="shared" si="106"/>
        <v>2437.5221846033578</v>
      </c>
      <c r="AH150" s="44">
        <f t="shared" si="107"/>
        <v>0</v>
      </c>
      <c r="AI150" s="43">
        <f t="shared" si="94"/>
        <v>690366.2706641457</v>
      </c>
      <c r="AK150" s="101">
        <f t="shared" si="77"/>
        <v>2038</v>
      </c>
      <c r="AL150" s="101">
        <f t="shared" si="88"/>
        <v>4</v>
      </c>
      <c r="AM150" s="118">
        <f t="shared" si="108"/>
        <v>17863.141716950417</v>
      </c>
      <c r="AN150" s="100">
        <f t="shared" si="109"/>
        <v>18239.808894584079</v>
      </c>
      <c r="AO150" s="100">
        <f t="shared" si="110"/>
        <v>37088.076646334477</v>
      </c>
      <c r="AP150" s="100">
        <f t="shared" si="111"/>
        <v>36102.950611534499</v>
      </c>
      <c r="AQ150" s="1">
        <f t="shared" si="112"/>
        <v>66650</v>
      </c>
      <c r="AR150" s="100">
        <f t="shared" si="95"/>
        <v>683153.50613378303</v>
      </c>
      <c r="AS150" s="100">
        <f t="shared" si="96"/>
        <v>73191.027257868976</v>
      </c>
      <c r="AT150" s="100">
        <f t="shared" si="113"/>
        <v>53878.972742131031</v>
      </c>
      <c r="AU150" s="1">
        <f t="shared" si="97"/>
        <v>127070</v>
      </c>
      <c r="AV150" s="100">
        <f t="shared" si="98"/>
        <v>1373519.7767979288</v>
      </c>
    </row>
    <row r="151" spans="4:48">
      <c r="D151" s="39">
        <f t="shared" si="99"/>
        <v>143</v>
      </c>
      <c r="E151" s="40">
        <f t="shared" si="78"/>
        <v>2038</v>
      </c>
      <c r="F151" s="35">
        <f t="shared" si="82"/>
        <v>50555</v>
      </c>
      <c r="G151" s="36">
        <f t="shared" si="84"/>
        <v>5</v>
      </c>
      <c r="H151" s="41">
        <f t="shared" si="83"/>
        <v>31</v>
      </c>
      <c r="I151" s="37" t="s">
        <v>123</v>
      </c>
      <c r="J151" s="27">
        <f t="shared" si="100"/>
        <v>0</v>
      </c>
      <c r="K151" s="27">
        <f t="shared" si="89"/>
        <v>0</v>
      </c>
      <c r="L151" s="27">
        <f t="shared" si="101"/>
        <v>0</v>
      </c>
      <c r="M151" s="27">
        <f t="shared" si="90"/>
        <v>0</v>
      </c>
      <c r="N151" s="27">
        <f t="shared" si="91"/>
        <v>0</v>
      </c>
      <c r="P151" s="72" t="s">
        <v>123</v>
      </c>
      <c r="Q151" s="44">
        <f t="shared" si="79"/>
        <v>335320.27090702258</v>
      </c>
      <c r="R151" s="44">
        <f t="shared" si="85"/>
        <v>1762.8659392972208</v>
      </c>
      <c r="S151" s="44">
        <f t="shared" si="80"/>
        <v>2018.1340607027792</v>
      </c>
      <c r="T151" s="44">
        <f t="shared" si="81"/>
        <v>0</v>
      </c>
      <c r="U151" s="43">
        <f t="shared" si="92"/>
        <v>333302.13684631983</v>
      </c>
      <c r="W151" s="72" t="s">
        <v>123</v>
      </c>
      <c r="X151" s="44">
        <f t="shared" si="102"/>
        <v>347833.23522676044</v>
      </c>
      <c r="Y151" s="44">
        <f t="shared" si="86"/>
        <v>1828.6498495250153</v>
      </c>
      <c r="Z151" s="44">
        <f t="shared" si="103"/>
        <v>1055.3501504749847</v>
      </c>
      <c r="AA151" s="44">
        <f t="shared" si="104"/>
        <v>0</v>
      </c>
      <c r="AB151" s="43">
        <f t="shared" si="93"/>
        <v>346777.88507628546</v>
      </c>
      <c r="AD151" s="72" t="s">
        <v>123</v>
      </c>
      <c r="AE151" s="44">
        <f t="shared" si="105"/>
        <v>690366.2706641457</v>
      </c>
      <c r="AF151" s="44">
        <f t="shared" si="87"/>
        <v>3711.522555956858</v>
      </c>
      <c r="AG151" s="44">
        <f t="shared" si="106"/>
        <v>2330.477444043142</v>
      </c>
      <c r="AH151" s="44">
        <f t="shared" si="107"/>
        <v>0</v>
      </c>
      <c r="AI151" s="43">
        <f t="shared" si="94"/>
        <v>688035.79322010255</v>
      </c>
      <c r="AK151" s="101">
        <f t="shared" ref="AK151:AK214" si="114">E151</f>
        <v>2038</v>
      </c>
      <c r="AL151" s="101">
        <f t="shared" si="88"/>
        <v>5</v>
      </c>
      <c r="AM151" s="118">
        <f t="shared" si="108"/>
        <v>19626.007656247639</v>
      </c>
      <c r="AN151" s="100">
        <f t="shared" si="109"/>
        <v>20068.458744109095</v>
      </c>
      <c r="AO151" s="100">
        <f t="shared" si="110"/>
        <v>40799.599202291334</v>
      </c>
      <c r="AP151" s="100">
        <f t="shared" si="111"/>
        <v>39694.46640035673</v>
      </c>
      <c r="AQ151" s="1">
        <f t="shared" si="112"/>
        <v>73315</v>
      </c>
      <c r="AR151" s="100">
        <f t="shared" si="95"/>
        <v>680080.02192260535</v>
      </c>
      <c r="AS151" s="100">
        <f t="shared" si="96"/>
        <v>80494.065602648072</v>
      </c>
      <c r="AT151" s="100">
        <f t="shared" si="113"/>
        <v>59282.934397351943</v>
      </c>
      <c r="AU151" s="1">
        <f t="shared" si="97"/>
        <v>139777</v>
      </c>
      <c r="AV151" s="100">
        <f t="shared" si="98"/>
        <v>1368115.8151427079</v>
      </c>
    </row>
    <row r="152" spans="4:48">
      <c r="D152" s="39">
        <f t="shared" si="99"/>
        <v>144</v>
      </c>
      <c r="E152" s="40">
        <f t="shared" si="78"/>
        <v>2038</v>
      </c>
      <c r="F152" s="35">
        <f t="shared" si="82"/>
        <v>50586</v>
      </c>
      <c r="G152" s="36">
        <f t="shared" si="84"/>
        <v>6</v>
      </c>
      <c r="H152" s="41">
        <f t="shared" si="83"/>
        <v>30</v>
      </c>
      <c r="I152" s="37" t="s">
        <v>123</v>
      </c>
      <c r="J152" s="27">
        <f t="shared" si="100"/>
        <v>0</v>
      </c>
      <c r="K152" s="27">
        <f t="shared" si="89"/>
        <v>0</v>
      </c>
      <c r="L152" s="27">
        <f t="shared" si="101"/>
        <v>0</v>
      </c>
      <c r="M152" s="27">
        <f t="shared" si="90"/>
        <v>0</v>
      </c>
      <c r="N152" s="27">
        <f t="shared" si="91"/>
        <v>0</v>
      </c>
      <c r="P152" s="72" t="s">
        <v>123</v>
      </c>
      <c r="Q152" s="44">
        <f t="shared" si="79"/>
        <v>333302.13684631983</v>
      </c>
      <c r="R152" s="44">
        <f t="shared" si="85"/>
        <v>1695.7316934893586</v>
      </c>
      <c r="S152" s="44">
        <f t="shared" si="80"/>
        <v>2085.2683065106412</v>
      </c>
      <c r="T152" s="44">
        <f t="shared" si="81"/>
        <v>0</v>
      </c>
      <c r="U152" s="43">
        <f t="shared" si="92"/>
        <v>331216.86853980919</v>
      </c>
      <c r="W152" s="72" t="s">
        <v>123</v>
      </c>
      <c r="X152" s="44">
        <f t="shared" si="102"/>
        <v>346777.88507628546</v>
      </c>
      <c r="Y152" s="44">
        <f t="shared" si="86"/>
        <v>1764.2918701004439</v>
      </c>
      <c r="Z152" s="44">
        <f t="shared" si="103"/>
        <v>1119.7081298995561</v>
      </c>
      <c r="AA152" s="44">
        <f t="shared" si="104"/>
        <v>0</v>
      </c>
      <c r="AB152" s="43">
        <f t="shared" si="93"/>
        <v>345658.17694638588</v>
      </c>
      <c r="AD152" s="72" t="s">
        <v>123</v>
      </c>
      <c r="AE152" s="44">
        <f t="shared" si="105"/>
        <v>688035.79322010255</v>
      </c>
      <c r="AF152" s="44">
        <f t="shared" si="87"/>
        <v>3579.6711543149986</v>
      </c>
      <c r="AG152" s="44">
        <f t="shared" si="106"/>
        <v>2462.3288456850014</v>
      </c>
      <c r="AH152" s="44">
        <f t="shared" si="107"/>
        <v>0</v>
      </c>
      <c r="AI152" s="43">
        <f t="shared" si="94"/>
        <v>685573.46437441756</v>
      </c>
      <c r="AK152" s="101">
        <f t="shared" si="114"/>
        <v>2038</v>
      </c>
      <c r="AL152" s="101">
        <f t="shared" si="88"/>
        <v>6</v>
      </c>
      <c r="AM152" s="118">
        <f t="shared" si="108"/>
        <v>21321.739349736996</v>
      </c>
      <c r="AN152" s="100">
        <f t="shared" si="109"/>
        <v>21832.750614209541</v>
      </c>
      <c r="AO152" s="100">
        <f t="shared" si="110"/>
        <v>44379.270356606336</v>
      </c>
      <c r="AP152" s="100">
        <f t="shared" si="111"/>
        <v>43154.489963946537</v>
      </c>
      <c r="AQ152" s="1">
        <f t="shared" si="112"/>
        <v>79980</v>
      </c>
      <c r="AR152" s="100">
        <f t="shared" si="95"/>
        <v>676875.04548619501</v>
      </c>
      <c r="AS152" s="100">
        <f t="shared" si="96"/>
        <v>87533.760320552872</v>
      </c>
      <c r="AT152" s="100">
        <f t="shared" si="113"/>
        <v>64950.239679447135</v>
      </c>
      <c r="AU152" s="1">
        <f t="shared" si="97"/>
        <v>152484</v>
      </c>
      <c r="AV152" s="100">
        <f t="shared" si="98"/>
        <v>1362448.5098606125</v>
      </c>
    </row>
    <row r="153" spans="4:48">
      <c r="D153" s="39">
        <f t="shared" si="99"/>
        <v>145</v>
      </c>
      <c r="E153" s="40">
        <f t="shared" si="78"/>
        <v>2039</v>
      </c>
      <c r="F153" s="35">
        <f t="shared" si="82"/>
        <v>50616</v>
      </c>
      <c r="G153" s="36">
        <f t="shared" si="84"/>
        <v>7</v>
      </c>
      <c r="H153" s="41">
        <f t="shared" si="83"/>
        <v>31</v>
      </c>
      <c r="I153" s="37" t="s">
        <v>123</v>
      </c>
      <c r="J153" s="27">
        <f t="shared" si="100"/>
        <v>0</v>
      </c>
      <c r="K153" s="27">
        <f t="shared" si="89"/>
        <v>0</v>
      </c>
      <c r="L153" s="27">
        <f t="shared" si="101"/>
        <v>0</v>
      </c>
      <c r="M153" s="27">
        <f t="shared" si="90"/>
        <v>0</v>
      </c>
      <c r="N153" s="27">
        <f t="shared" si="91"/>
        <v>0</v>
      </c>
      <c r="P153" s="72" t="s">
        <v>123</v>
      </c>
      <c r="Q153" s="44">
        <f t="shared" si="79"/>
        <v>331216.86853980919</v>
      </c>
      <c r="R153" s="44">
        <f t="shared" si="85"/>
        <v>1741.2932850439445</v>
      </c>
      <c r="S153" s="44">
        <f t="shared" si="80"/>
        <v>2039.7067149560555</v>
      </c>
      <c r="T153" s="44">
        <f t="shared" si="81"/>
        <v>0</v>
      </c>
      <c r="U153" s="43">
        <f t="shared" si="92"/>
        <v>329177.16182485316</v>
      </c>
      <c r="W153" s="72" t="s">
        <v>123</v>
      </c>
      <c r="X153" s="44">
        <f t="shared" si="102"/>
        <v>345658.17694638588</v>
      </c>
      <c r="Y153" s="44">
        <f t="shared" si="86"/>
        <v>1817.2150020340271</v>
      </c>
      <c r="Z153" s="44">
        <f t="shared" si="103"/>
        <v>1066.7849979659729</v>
      </c>
      <c r="AA153" s="44">
        <f t="shared" si="104"/>
        <v>0</v>
      </c>
      <c r="AB153" s="43">
        <f t="shared" si="93"/>
        <v>344591.39194841991</v>
      </c>
      <c r="AD153" s="72" t="s">
        <v>123</v>
      </c>
      <c r="AE153" s="44">
        <f t="shared" si="105"/>
        <v>685573.46437441756</v>
      </c>
      <c r="AF153" s="44">
        <f t="shared" si="87"/>
        <v>3685.7556414847108</v>
      </c>
      <c r="AG153" s="44">
        <f t="shared" si="106"/>
        <v>2356.2443585152892</v>
      </c>
      <c r="AH153" s="44">
        <f t="shared" si="107"/>
        <v>0</v>
      </c>
      <c r="AI153" s="43">
        <f t="shared" si="94"/>
        <v>683217.22001590231</v>
      </c>
      <c r="AK153" s="101">
        <f t="shared" si="114"/>
        <v>2039</v>
      </c>
      <c r="AL153" s="101">
        <f t="shared" si="88"/>
        <v>7</v>
      </c>
      <c r="AM153" s="118">
        <f t="shared" si="108"/>
        <v>1741.2932850439445</v>
      </c>
      <c r="AN153" s="100">
        <f t="shared" si="109"/>
        <v>1817.2150020340271</v>
      </c>
      <c r="AO153" s="100">
        <f t="shared" si="110"/>
        <v>3685.7556414847108</v>
      </c>
      <c r="AP153" s="100">
        <f t="shared" si="111"/>
        <v>3558.5082870779715</v>
      </c>
      <c r="AQ153" s="1">
        <f t="shared" si="112"/>
        <v>6665</v>
      </c>
      <c r="AR153" s="100">
        <f t="shared" si="95"/>
        <v>673768.55377327302</v>
      </c>
      <c r="AS153" s="100">
        <f t="shared" si="96"/>
        <v>7244.2639285626828</v>
      </c>
      <c r="AT153" s="100">
        <f t="shared" si="113"/>
        <v>5462.7360714373172</v>
      </c>
      <c r="AU153" s="1">
        <f t="shared" si="97"/>
        <v>12707</v>
      </c>
      <c r="AV153" s="100">
        <f t="shared" si="98"/>
        <v>1356985.7737891753</v>
      </c>
    </row>
    <row r="154" spans="4:48">
      <c r="D154" s="39">
        <f t="shared" si="99"/>
        <v>146</v>
      </c>
      <c r="E154" s="40">
        <f t="shared" si="78"/>
        <v>2039</v>
      </c>
      <c r="F154" s="35">
        <f t="shared" si="82"/>
        <v>50647</v>
      </c>
      <c r="G154" s="36">
        <f t="shared" si="84"/>
        <v>8</v>
      </c>
      <c r="H154" s="41">
        <f t="shared" si="83"/>
        <v>31</v>
      </c>
      <c r="I154" s="37" t="s">
        <v>123</v>
      </c>
      <c r="J154" s="27">
        <f t="shared" si="100"/>
        <v>0</v>
      </c>
      <c r="K154" s="27">
        <f t="shared" si="89"/>
        <v>0</v>
      </c>
      <c r="L154" s="27">
        <f t="shared" si="101"/>
        <v>0</v>
      </c>
      <c r="M154" s="27">
        <f t="shared" si="90"/>
        <v>0</v>
      </c>
      <c r="N154" s="27">
        <f t="shared" si="91"/>
        <v>0</v>
      </c>
      <c r="P154" s="72" t="s">
        <v>123</v>
      </c>
      <c r="Q154" s="44">
        <f t="shared" si="79"/>
        <v>329177.16182485316</v>
      </c>
      <c r="R154" s="44">
        <f t="shared" si="85"/>
        <v>1730.5700159608509</v>
      </c>
      <c r="S154" s="44">
        <f t="shared" si="80"/>
        <v>2050.4299840391491</v>
      </c>
      <c r="T154" s="44">
        <f t="shared" si="81"/>
        <v>0</v>
      </c>
      <c r="U154" s="43">
        <f t="shared" si="92"/>
        <v>327126.731840814</v>
      </c>
      <c r="W154" s="72" t="s">
        <v>123</v>
      </c>
      <c r="X154" s="44">
        <f t="shared" si="102"/>
        <v>344591.39194841991</v>
      </c>
      <c r="Y154" s="44">
        <f t="shared" si="86"/>
        <v>1811.6066356433505</v>
      </c>
      <c r="Z154" s="44">
        <f t="shared" si="103"/>
        <v>1072.3933643566495</v>
      </c>
      <c r="AA154" s="44">
        <f t="shared" si="104"/>
        <v>0</v>
      </c>
      <c r="AB154" s="43">
        <f t="shared" si="93"/>
        <v>343518.99858406326</v>
      </c>
      <c r="AD154" s="72" t="s">
        <v>123</v>
      </c>
      <c r="AE154" s="44">
        <f t="shared" si="105"/>
        <v>683217.22001590231</v>
      </c>
      <c r="AF154" s="44">
        <f t="shared" si="87"/>
        <v>3673.0880844854928</v>
      </c>
      <c r="AG154" s="44">
        <f t="shared" si="106"/>
        <v>2368.9119155145072</v>
      </c>
      <c r="AH154" s="44">
        <f t="shared" si="107"/>
        <v>0</v>
      </c>
      <c r="AI154" s="43">
        <f t="shared" si="94"/>
        <v>680848.3081003878</v>
      </c>
      <c r="AK154" s="101">
        <f t="shared" si="114"/>
        <v>2039</v>
      </c>
      <c r="AL154" s="101">
        <f t="shared" si="88"/>
        <v>8</v>
      </c>
      <c r="AM154" s="118">
        <f t="shared" si="108"/>
        <v>3471.8633010047952</v>
      </c>
      <c r="AN154" s="100">
        <f t="shared" si="109"/>
        <v>3628.8216376773776</v>
      </c>
      <c r="AO154" s="100">
        <f t="shared" si="110"/>
        <v>7358.8437259702041</v>
      </c>
      <c r="AP154" s="100">
        <f t="shared" si="111"/>
        <v>7100.6849386821723</v>
      </c>
      <c r="AQ154" s="1">
        <f t="shared" si="112"/>
        <v>13330</v>
      </c>
      <c r="AR154" s="100">
        <f t="shared" si="95"/>
        <v>670645.73042487726</v>
      </c>
      <c r="AS154" s="100">
        <f t="shared" si="96"/>
        <v>14459.528664652376</v>
      </c>
      <c r="AT154" s="100">
        <f t="shared" si="113"/>
        <v>10954.471335347622</v>
      </c>
      <c r="AU154" s="1">
        <f t="shared" si="97"/>
        <v>25414</v>
      </c>
      <c r="AV154" s="100">
        <f t="shared" si="98"/>
        <v>1351494.0385252652</v>
      </c>
    </row>
    <row r="155" spans="4:48">
      <c r="D155" s="39">
        <f t="shared" si="99"/>
        <v>147</v>
      </c>
      <c r="E155" s="40">
        <f t="shared" si="78"/>
        <v>2039</v>
      </c>
      <c r="F155" s="35">
        <f t="shared" si="82"/>
        <v>50678</v>
      </c>
      <c r="G155" s="36">
        <f t="shared" si="84"/>
        <v>9</v>
      </c>
      <c r="H155" s="41">
        <f t="shared" si="83"/>
        <v>30</v>
      </c>
      <c r="I155" s="37" t="s">
        <v>123</v>
      </c>
      <c r="J155" s="27">
        <f t="shared" si="100"/>
        <v>0</v>
      </c>
      <c r="K155" s="27">
        <f t="shared" si="89"/>
        <v>0</v>
      </c>
      <c r="L155" s="27">
        <f t="shared" si="101"/>
        <v>0</v>
      </c>
      <c r="M155" s="27">
        <f t="shared" si="90"/>
        <v>0</v>
      </c>
      <c r="N155" s="27">
        <f t="shared" si="91"/>
        <v>0</v>
      </c>
      <c r="P155" s="72" t="s">
        <v>123</v>
      </c>
      <c r="Q155" s="44">
        <f t="shared" si="79"/>
        <v>327126.731840814</v>
      </c>
      <c r="R155" s="44">
        <f t="shared" si="85"/>
        <v>1664.3132630914838</v>
      </c>
      <c r="S155" s="44">
        <f t="shared" si="80"/>
        <v>2116.6867369085162</v>
      </c>
      <c r="T155" s="44">
        <f t="shared" si="81"/>
        <v>0</v>
      </c>
      <c r="U155" s="43">
        <f t="shared" si="92"/>
        <v>325010.04510390549</v>
      </c>
      <c r="W155" s="72" t="s">
        <v>123</v>
      </c>
      <c r="X155" s="44">
        <f t="shared" si="102"/>
        <v>343518.99858406326</v>
      </c>
      <c r="Y155" s="44">
        <f t="shared" si="86"/>
        <v>1747.7117270427548</v>
      </c>
      <c r="Z155" s="44">
        <f t="shared" si="103"/>
        <v>1136.2882729572452</v>
      </c>
      <c r="AA155" s="44">
        <f t="shared" si="104"/>
        <v>0</v>
      </c>
      <c r="AB155" s="43">
        <f t="shared" si="93"/>
        <v>342382.710311106</v>
      </c>
      <c r="AD155" s="72" t="s">
        <v>123</v>
      </c>
      <c r="AE155" s="44">
        <f t="shared" si="105"/>
        <v>680848.3081003878</v>
      </c>
      <c r="AF155" s="44">
        <f t="shared" si="87"/>
        <v>3542.2765399524283</v>
      </c>
      <c r="AG155" s="44">
        <f t="shared" si="106"/>
        <v>2499.7234600475717</v>
      </c>
      <c r="AH155" s="44">
        <f t="shared" si="107"/>
        <v>0</v>
      </c>
      <c r="AI155" s="43">
        <f t="shared" si="94"/>
        <v>678348.58464034018</v>
      </c>
      <c r="AK155" s="101">
        <f t="shared" si="114"/>
        <v>2039</v>
      </c>
      <c r="AL155" s="101">
        <f t="shared" si="88"/>
        <v>9</v>
      </c>
      <c r="AM155" s="118">
        <f t="shared" si="108"/>
        <v>5136.1765640962785</v>
      </c>
      <c r="AN155" s="100">
        <f t="shared" si="109"/>
        <v>5376.5333647201323</v>
      </c>
      <c r="AO155" s="100">
        <f t="shared" si="110"/>
        <v>10901.120265922633</v>
      </c>
      <c r="AP155" s="100">
        <f t="shared" si="111"/>
        <v>10512.70992881641</v>
      </c>
      <c r="AQ155" s="1">
        <f t="shared" si="112"/>
        <v>19995</v>
      </c>
      <c r="AR155" s="100">
        <f t="shared" si="95"/>
        <v>667392.75541501143</v>
      </c>
      <c r="AS155" s="100">
        <f t="shared" si="96"/>
        <v>21413.830194739043</v>
      </c>
      <c r="AT155" s="100">
        <f t="shared" si="113"/>
        <v>16707.169805260954</v>
      </c>
      <c r="AU155" s="1">
        <f t="shared" si="97"/>
        <v>38121</v>
      </c>
      <c r="AV155" s="100">
        <f t="shared" si="98"/>
        <v>1345741.3400553516</v>
      </c>
    </row>
    <row r="156" spans="4:48">
      <c r="D156" s="39">
        <f t="shared" si="99"/>
        <v>148</v>
      </c>
      <c r="E156" s="40">
        <f t="shared" si="78"/>
        <v>2039</v>
      </c>
      <c r="F156" s="35">
        <f t="shared" si="82"/>
        <v>50708</v>
      </c>
      <c r="G156" s="36">
        <f t="shared" si="84"/>
        <v>10</v>
      </c>
      <c r="H156" s="41">
        <f t="shared" si="83"/>
        <v>31</v>
      </c>
      <c r="I156" s="37" t="s">
        <v>123</v>
      </c>
      <c r="J156" s="27">
        <f t="shared" si="100"/>
        <v>0</v>
      </c>
      <c r="K156" s="27">
        <f t="shared" si="89"/>
        <v>0</v>
      </c>
      <c r="L156" s="27">
        <f t="shared" si="101"/>
        <v>0</v>
      </c>
      <c r="M156" s="27">
        <f t="shared" si="90"/>
        <v>0</v>
      </c>
      <c r="N156" s="27">
        <f t="shared" si="91"/>
        <v>0</v>
      </c>
      <c r="P156" s="72" t="s">
        <v>123</v>
      </c>
      <c r="Q156" s="44">
        <f t="shared" si="79"/>
        <v>325010.04510390549</v>
      </c>
      <c r="R156" s="44">
        <f t="shared" si="85"/>
        <v>1708.6623987668061</v>
      </c>
      <c r="S156" s="44">
        <f t="shared" si="80"/>
        <v>2072.3376012331937</v>
      </c>
      <c r="T156" s="44">
        <f t="shared" si="81"/>
        <v>0</v>
      </c>
      <c r="U156" s="43">
        <f t="shared" si="92"/>
        <v>322937.70750267227</v>
      </c>
      <c r="W156" s="72" t="s">
        <v>123</v>
      </c>
      <c r="X156" s="44">
        <f t="shared" si="102"/>
        <v>342382.710311106</v>
      </c>
      <c r="Y156" s="44">
        <f t="shared" si="86"/>
        <v>1799.9950214136472</v>
      </c>
      <c r="Z156" s="44">
        <f t="shared" si="103"/>
        <v>1084.0049785863528</v>
      </c>
      <c r="AA156" s="44">
        <f t="shared" si="104"/>
        <v>0</v>
      </c>
      <c r="AB156" s="43">
        <f t="shared" si="93"/>
        <v>341298.70533251966</v>
      </c>
      <c r="AD156" s="72" t="s">
        <v>123</v>
      </c>
      <c r="AE156" s="44">
        <f t="shared" si="105"/>
        <v>678348.58464034018</v>
      </c>
      <c r="AF156" s="44">
        <f t="shared" si="87"/>
        <v>3646.9135003828474</v>
      </c>
      <c r="AG156" s="44">
        <f t="shared" si="106"/>
        <v>2395.0864996171526</v>
      </c>
      <c r="AH156" s="44">
        <f t="shared" si="107"/>
        <v>0</v>
      </c>
      <c r="AI156" s="43">
        <f t="shared" si="94"/>
        <v>675953.49814072298</v>
      </c>
      <c r="AK156" s="101">
        <f t="shared" si="114"/>
        <v>2039</v>
      </c>
      <c r="AL156" s="101">
        <f t="shared" si="88"/>
        <v>10</v>
      </c>
      <c r="AM156" s="118">
        <f t="shared" si="108"/>
        <v>6844.8389628630848</v>
      </c>
      <c r="AN156" s="100">
        <f t="shared" si="109"/>
        <v>7176.5283861337793</v>
      </c>
      <c r="AO156" s="100">
        <f t="shared" si="110"/>
        <v>14548.03376630548</v>
      </c>
      <c r="AP156" s="100">
        <f t="shared" si="111"/>
        <v>14021.367348996864</v>
      </c>
      <c r="AQ156" s="1">
        <f t="shared" si="112"/>
        <v>26660</v>
      </c>
      <c r="AR156" s="100">
        <f t="shared" si="95"/>
        <v>664236.41283519194</v>
      </c>
      <c r="AS156" s="100">
        <f t="shared" si="96"/>
        <v>28569.401115302346</v>
      </c>
      <c r="AT156" s="100">
        <f t="shared" si="113"/>
        <v>22258.598884697651</v>
      </c>
      <c r="AU156" s="1">
        <f t="shared" si="97"/>
        <v>50828</v>
      </c>
      <c r="AV156" s="100">
        <f t="shared" si="98"/>
        <v>1340189.9109759149</v>
      </c>
    </row>
    <row r="157" spans="4:48">
      <c r="D157" s="39">
        <f t="shared" si="99"/>
        <v>149</v>
      </c>
      <c r="E157" s="40">
        <f t="shared" si="78"/>
        <v>2039</v>
      </c>
      <c r="F157" s="35">
        <f t="shared" si="82"/>
        <v>50739</v>
      </c>
      <c r="G157" s="36">
        <f t="shared" si="84"/>
        <v>11</v>
      </c>
      <c r="H157" s="41">
        <f t="shared" si="83"/>
        <v>30</v>
      </c>
      <c r="I157" s="37" t="s">
        <v>123</v>
      </c>
      <c r="J157" s="27">
        <f t="shared" si="100"/>
        <v>0</v>
      </c>
      <c r="K157" s="27">
        <f t="shared" si="89"/>
        <v>0</v>
      </c>
      <c r="L157" s="27">
        <f t="shared" si="101"/>
        <v>0</v>
      </c>
      <c r="M157" s="27">
        <f t="shared" si="90"/>
        <v>0</v>
      </c>
      <c r="N157" s="27">
        <f t="shared" si="91"/>
        <v>0</v>
      </c>
      <c r="P157" s="72" t="s">
        <v>123</v>
      </c>
      <c r="Q157" s="44">
        <f t="shared" si="79"/>
        <v>322937.70750267227</v>
      </c>
      <c r="R157" s="44">
        <f t="shared" si="85"/>
        <v>1643.0008844724996</v>
      </c>
      <c r="S157" s="44">
        <f t="shared" si="80"/>
        <v>2137.9991155275002</v>
      </c>
      <c r="T157" s="44">
        <f t="shared" si="81"/>
        <v>0</v>
      </c>
      <c r="U157" s="43">
        <f t="shared" si="92"/>
        <v>320799.70838714478</v>
      </c>
      <c r="W157" s="72" t="s">
        <v>123</v>
      </c>
      <c r="X157" s="44">
        <f t="shared" si="102"/>
        <v>341298.70533251966</v>
      </c>
      <c r="Y157" s="44">
        <f t="shared" si="86"/>
        <v>1736.4156049383262</v>
      </c>
      <c r="Z157" s="44">
        <f t="shared" si="103"/>
        <v>1147.5843950616738</v>
      </c>
      <c r="AA157" s="44">
        <f t="shared" si="104"/>
        <v>0</v>
      </c>
      <c r="AB157" s="43">
        <f t="shared" si="93"/>
        <v>340151.12093745801</v>
      </c>
      <c r="AD157" s="72" t="s">
        <v>123</v>
      </c>
      <c r="AE157" s="44">
        <f t="shared" si="105"/>
        <v>675953.49814072298</v>
      </c>
      <c r="AF157" s="44">
        <f t="shared" si="87"/>
        <v>3516.810117723925</v>
      </c>
      <c r="AG157" s="44">
        <f t="shared" si="106"/>
        <v>2525.189882276075</v>
      </c>
      <c r="AH157" s="44">
        <f t="shared" si="107"/>
        <v>0</v>
      </c>
      <c r="AI157" s="43">
        <f t="shared" si="94"/>
        <v>673428.30825844686</v>
      </c>
      <c r="AK157" s="101">
        <f t="shared" si="114"/>
        <v>2039</v>
      </c>
      <c r="AL157" s="101">
        <f t="shared" si="88"/>
        <v>11</v>
      </c>
      <c r="AM157" s="118">
        <f t="shared" si="108"/>
        <v>8487.8398473355846</v>
      </c>
      <c r="AN157" s="100">
        <f t="shared" si="109"/>
        <v>8912.9439910721048</v>
      </c>
      <c r="AO157" s="100">
        <f t="shared" si="110"/>
        <v>18064.843884029404</v>
      </c>
      <c r="AP157" s="100">
        <f t="shared" si="111"/>
        <v>17400.783838407689</v>
      </c>
      <c r="AQ157" s="1">
        <f t="shared" si="112"/>
        <v>33325</v>
      </c>
      <c r="AR157" s="100">
        <f t="shared" si="95"/>
        <v>660950.82932460285</v>
      </c>
      <c r="AS157" s="100">
        <f t="shared" si="96"/>
        <v>35465.627722437093</v>
      </c>
      <c r="AT157" s="100">
        <f t="shared" si="113"/>
        <v>28069.372277562899</v>
      </c>
      <c r="AU157" s="1">
        <f t="shared" si="97"/>
        <v>63534.999999999993</v>
      </c>
      <c r="AV157" s="100">
        <f t="shared" si="98"/>
        <v>1334379.1375830497</v>
      </c>
    </row>
    <row r="158" spans="4:48">
      <c r="D158" s="39">
        <f t="shared" si="99"/>
        <v>150</v>
      </c>
      <c r="E158" s="40">
        <f t="shared" si="78"/>
        <v>2039</v>
      </c>
      <c r="F158" s="35">
        <f t="shared" si="82"/>
        <v>50769</v>
      </c>
      <c r="G158" s="36">
        <f t="shared" si="84"/>
        <v>12</v>
      </c>
      <c r="H158" s="41">
        <f t="shared" si="83"/>
        <v>31</v>
      </c>
      <c r="I158" s="37" t="s">
        <v>123</v>
      </c>
      <c r="J158" s="27">
        <f t="shared" si="100"/>
        <v>0</v>
      </c>
      <c r="K158" s="27">
        <f t="shared" si="89"/>
        <v>0</v>
      </c>
      <c r="L158" s="27">
        <f t="shared" si="101"/>
        <v>0</v>
      </c>
      <c r="M158" s="27">
        <f t="shared" si="90"/>
        <v>0</v>
      </c>
      <c r="N158" s="27">
        <f t="shared" si="91"/>
        <v>0</v>
      </c>
      <c r="P158" s="72" t="s">
        <v>123</v>
      </c>
      <c r="Q158" s="44">
        <f t="shared" si="79"/>
        <v>320799.70838714478</v>
      </c>
      <c r="R158" s="44">
        <f t="shared" si="85"/>
        <v>1686.5275628057316</v>
      </c>
      <c r="S158" s="44">
        <f t="shared" si="80"/>
        <v>2094.4724371942684</v>
      </c>
      <c r="T158" s="44">
        <f t="shared" si="81"/>
        <v>0</v>
      </c>
      <c r="U158" s="43">
        <f t="shared" si="92"/>
        <v>318705.23594995053</v>
      </c>
      <c r="W158" s="72" t="s">
        <v>123</v>
      </c>
      <c r="X158" s="44">
        <f t="shared" si="102"/>
        <v>340151.12093745801</v>
      </c>
      <c r="Y158" s="44">
        <f t="shared" si="86"/>
        <v>1788.2629752517482</v>
      </c>
      <c r="Z158" s="44">
        <f t="shared" si="103"/>
        <v>1095.7370247482518</v>
      </c>
      <c r="AA158" s="44">
        <f t="shared" si="104"/>
        <v>0</v>
      </c>
      <c r="AB158" s="43">
        <f t="shared" si="93"/>
        <v>339055.38391270977</v>
      </c>
      <c r="AD158" s="72" t="s">
        <v>123</v>
      </c>
      <c r="AE158" s="44">
        <f t="shared" si="105"/>
        <v>673428.30825844686</v>
      </c>
      <c r="AF158" s="44">
        <f t="shared" si="87"/>
        <v>3620.4612857412335</v>
      </c>
      <c r="AG158" s="44">
        <f t="shared" si="106"/>
        <v>2421.5387142587665</v>
      </c>
      <c r="AH158" s="44">
        <f t="shared" si="107"/>
        <v>0</v>
      </c>
      <c r="AI158" s="43">
        <f t="shared" si="94"/>
        <v>671006.76954418805</v>
      </c>
      <c r="AK158" s="101">
        <f t="shared" si="114"/>
        <v>2039</v>
      </c>
      <c r="AL158" s="101">
        <f t="shared" si="88"/>
        <v>12</v>
      </c>
      <c r="AM158" s="118">
        <f t="shared" si="108"/>
        <v>10174.367410141316</v>
      </c>
      <c r="AN158" s="100">
        <f t="shared" si="109"/>
        <v>10701.206966323853</v>
      </c>
      <c r="AO158" s="100">
        <f t="shared" si="110"/>
        <v>21685.305169770636</v>
      </c>
      <c r="AP158" s="100">
        <f t="shared" si="111"/>
        <v>20875.574376465171</v>
      </c>
      <c r="AQ158" s="1">
        <f t="shared" si="112"/>
        <v>39990</v>
      </c>
      <c r="AR158" s="100">
        <f t="shared" si="95"/>
        <v>657760.6198626603</v>
      </c>
      <c r="AS158" s="100">
        <f t="shared" si="96"/>
        <v>42560.87954623581</v>
      </c>
      <c r="AT158" s="100">
        <f t="shared" si="113"/>
        <v>33681.120453764182</v>
      </c>
      <c r="AU158" s="1">
        <f t="shared" si="97"/>
        <v>76242</v>
      </c>
      <c r="AV158" s="100">
        <f t="shared" si="98"/>
        <v>1328767.3894068482</v>
      </c>
    </row>
    <row r="159" spans="4:48">
      <c r="D159" s="39">
        <f t="shared" si="99"/>
        <v>151</v>
      </c>
      <c r="E159" s="40">
        <f t="shared" si="78"/>
        <v>2039</v>
      </c>
      <c r="F159" s="35">
        <f t="shared" si="82"/>
        <v>50800</v>
      </c>
      <c r="G159" s="36">
        <f t="shared" si="84"/>
        <v>1</v>
      </c>
      <c r="H159" s="41">
        <f t="shared" si="83"/>
        <v>31</v>
      </c>
      <c r="I159" s="37" t="s">
        <v>123</v>
      </c>
      <c r="J159" s="27">
        <f t="shared" si="100"/>
        <v>0</v>
      </c>
      <c r="K159" s="27">
        <f t="shared" si="89"/>
        <v>0</v>
      </c>
      <c r="L159" s="27">
        <f t="shared" si="101"/>
        <v>0</v>
      </c>
      <c r="M159" s="27">
        <f t="shared" si="90"/>
        <v>0</v>
      </c>
      <c r="N159" s="27">
        <f t="shared" si="91"/>
        <v>0</v>
      </c>
      <c r="P159" s="72" t="s">
        <v>123</v>
      </c>
      <c r="Q159" s="44">
        <f t="shared" si="79"/>
        <v>318705.23594995053</v>
      </c>
      <c r="R159" s="44">
        <f t="shared" si="85"/>
        <v>1675.5163760667399</v>
      </c>
      <c r="S159" s="44">
        <f t="shared" si="80"/>
        <v>2105.4836239332599</v>
      </c>
      <c r="T159" s="44">
        <f t="shared" si="81"/>
        <v>0</v>
      </c>
      <c r="U159" s="43">
        <f t="shared" si="92"/>
        <v>316599.75232601725</v>
      </c>
      <c r="W159" s="72" t="s">
        <v>123</v>
      </c>
      <c r="X159" s="44">
        <f t="shared" si="102"/>
        <v>339055.38391270977</v>
      </c>
      <c r="Y159" s="44">
        <f t="shared" si="86"/>
        <v>1782.5024005208186</v>
      </c>
      <c r="Z159" s="44">
        <f t="shared" si="103"/>
        <v>1101.4975994791814</v>
      </c>
      <c r="AA159" s="44">
        <f t="shared" si="104"/>
        <v>0</v>
      </c>
      <c r="AB159" s="43">
        <f t="shared" si="93"/>
        <v>337953.88631323061</v>
      </c>
      <c r="AD159" s="72" t="s">
        <v>123</v>
      </c>
      <c r="AE159" s="44">
        <f t="shared" si="105"/>
        <v>671006.76954418805</v>
      </c>
      <c r="AF159" s="44">
        <f t="shared" si="87"/>
        <v>3607.4426955522194</v>
      </c>
      <c r="AG159" s="44">
        <f t="shared" si="106"/>
        <v>2434.5573044477806</v>
      </c>
      <c r="AH159" s="44">
        <f t="shared" si="107"/>
        <v>0</v>
      </c>
      <c r="AI159" s="43">
        <f t="shared" si="94"/>
        <v>668572.2122397403</v>
      </c>
      <c r="AK159" s="101">
        <f t="shared" si="114"/>
        <v>2039</v>
      </c>
      <c r="AL159" s="101">
        <f t="shared" si="88"/>
        <v>1</v>
      </c>
      <c r="AM159" s="118">
        <f t="shared" si="108"/>
        <v>11849.883786208056</v>
      </c>
      <c r="AN159" s="100">
        <f t="shared" si="109"/>
        <v>12483.709366844671</v>
      </c>
      <c r="AO159" s="100">
        <f t="shared" si="110"/>
        <v>25292.747865322854</v>
      </c>
      <c r="AP159" s="100">
        <f t="shared" si="111"/>
        <v>24333.593153052727</v>
      </c>
      <c r="AQ159" s="1">
        <f t="shared" si="112"/>
        <v>46655</v>
      </c>
      <c r="AR159" s="100">
        <f t="shared" si="95"/>
        <v>654553.63863924786</v>
      </c>
      <c r="AS159" s="100">
        <f t="shared" si="96"/>
        <v>49626.341018375577</v>
      </c>
      <c r="AT159" s="100">
        <f t="shared" si="113"/>
        <v>39322.658981624401</v>
      </c>
      <c r="AU159" s="1">
        <f t="shared" si="97"/>
        <v>88948.999999999971</v>
      </c>
      <c r="AV159" s="100">
        <f t="shared" si="98"/>
        <v>1323125.8508789882</v>
      </c>
    </row>
    <row r="160" spans="4:48">
      <c r="D160" s="39">
        <f t="shared" si="99"/>
        <v>152</v>
      </c>
      <c r="E160" s="40">
        <f t="shared" si="78"/>
        <v>2039</v>
      </c>
      <c r="F160" s="35">
        <f t="shared" si="82"/>
        <v>50829</v>
      </c>
      <c r="G160" s="36">
        <f t="shared" si="84"/>
        <v>2</v>
      </c>
      <c r="H160" s="41">
        <f t="shared" si="83"/>
        <v>28</v>
      </c>
      <c r="I160" s="37" t="s">
        <v>123</v>
      </c>
      <c r="J160" s="27">
        <f t="shared" si="100"/>
        <v>0</v>
      </c>
      <c r="K160" s="27">
        <f t="shared" si="89"/>
        <v>0</v>
      </c>
      <c r="L160" s="27">
        <f t="shared" si="101"/>
        <v>0</v>
      </c>
      <c r="M160" s="27">
        <f t="shared" si="90"/>
        <v>0</v>
      </c>
      <c r="N160" s="27">
        <f t="shared" si="91"/>
        <v>0</v>
      </c>
      <c r="P160" s="72" t="s">
        <v>123</v>
      </c>
      <c r="Q160" s="44">
        <f t="shared" si="79"/>
        <v>316599.75232601725</v>
      </c>
      <c r="R160" s="44">
        <f t="shared" si="85"/>
        <v>1503.3717554286386</v>
      </c>
      <c r="S160" s="44">
        <f t="shared" si="80"/>
        <v>2277.6282445713614</v>
      </c>
      <c r="T160" s="44">
        <f t="shared" si="81"/>
        <v>0</v>
      </c>
      <c r="U160" s="43">
        <f t="shared" si="92"/>
        <v>314322.12408144586</v>
      </c>
      <c r="W160" s="72" t="s">
        <v>123</v>
      </c>
      <c r="X160" s="44">
        <f t="shared" si="102"/>
        <v>337953.88631323061</v>
      </c>
      <c r="Y160" s="44">
        <f t="shared" si="86"/>
        <v>1604.7717144057297</v>
      </c>
      <c r="Z160" s="44">
        <f t="shared" si="103"/>
        <v>1279.2282855942703</v>
      </c>
      <c r="AA160" s="44">
        <f t="shared" si="104"/>
        <v>0</v>
      </c>
      <c r="AB160" s="43">
        <f t="shared" si="93"/>
        <v>336674.65802763635</v>
      </c>
      <c r="AD160" s="72" t="s">
        <v>123</v>
      </c>
      <c r="AE160" s="44">
        <f t="shared" si="105"/>
        <v>668572.2122397403</v>
      </c>
      <c r="AF160" s="44">
        <f t="shared" si="87"/>
        <v>3246.513394448536</v>
      </c>
      <c r="AG160" s="44">
        <f t="shared" si="106"/>
        <v>2795.486605551464</v>
      </c>
      <c r="AH160" s="44">
        <f t="shared" si="107"/>
        <v>0</v>
      </c>
      <c r="AI160" s="43">
        <f t="shared" si="94"/>
        <v>665776.72563418886</v>
      </c>
      <c r="AK160" s="101">
        <f t="shared" si="114"/>
        <v>2039</v>
      </c>
      <c r="AL160" s="101">
        <f t="shared" si="88"/>
        <v>2</v>
      </c>
      <c r="AM160" s="118">
        <f t="shared" si="108"/>
        <v>13353.255541636696</v>
      </c>
      <c r="AN160" s="100">
        <f t="shared" si="109"/>
        <v>14088.4810812504</v>
      </c>
      <c r="AO160" s="100">
        <f t="shared" si="110"/>
        <v>28539.261259771389</v>
      </c>
      <c r="AP160" s="100">
        <f t="shared" si="111"/>
        <v>27441.736622887096</v>
      </c>
      <c r="AQ160" s="1">
        <f t="shared" si="112"/>
        <v>53320</v>
      </c>
      <c r="AR160" s="100">
        <f t="shared" si="95"/>
        <v>650996.78210908221</v>
      </c>
      <c r="AS160" s="100">
        <f t="shared" si="96"/>
        <v>55980.997882658485</v>
      </c>
      <c r="AT160" s="100">
        <f t="shared" si="113"/>
        <v>45675.002117341493</v>
      </c>
      <c r="AU160" s="1">
        <f t="shared" si="97"/>
        <v>101655.99999999997</v>
      </c>
      <c r="AV160" s="100">
        <f t="shared" si="98"/>
        <v>1316773.5077432711</v>
      </c>
    </row>
    <row r="161" spans="4:48">
      <c r="D161" s="39">
        <f t="shared" si="99"/>
        <v>153</v>
      </c>
      <c r="E161" s="40">
        <f t="shared" si="78"/>
        <v>2039</v>
      </c>
      <c r="F161" s="35">
        <f t="shared" si="82"/>
        <v>50859</v>
      </c>
      <c r="G161" s="36">
        <f t="shared" si="84"/>
        <v>3</v>
      </c>
      <c r="H161" s="41">
        <f t="shared" si="83"/>
        <v>31</v>
      </c>
      <c r="I161" s="37" t="s">
        <v>123</v>
      </c>
      <c r="J161" s="27">
        <f t="shared" si="100"/>
        <v>0</v>
      </c>
      <c r="K161" s="27">
        <f t="shared" si="89"/>
        <v>0</v>
      </c>
      <c r="L161" s="27">
        <f t="shared" si="101"/>
        <v>0</v>
      </c>
      <c r="M161" s="27">
        <f t="shared" si="90"/>
        <v>0</v>
      </c>
      <c r="N161" s="27">
        <f t="shared" si="91"/>
        <v>0</v>
      </c>
      <c r="P161" s="72" t="s">
        <v>123</v>
      </c>
      <c r="Q161" s="44">
        <f t="shared" si="79"/>
        <v>314322.12408144586</v>
      </c>
      <c r="R161" s="44">
        <f t="shared" si="85"/>
        <v>1652.4732161640725</v>
      </c>
      <c r="S161" s="44">
        <f t="shared" si="80"/>
        <v>2128.5267838359277</v>
      </c>
      <c r="T161" s="44">
        <f t="shared" si="81"/>
        <v>0</v>
      </c>
      <c r="U161" s="43">
        <f t="shared" si="92"/>
        <v>312193.59729760996</v>
      </c>
      <c r="W161" s="72" t="s">
        <v>123</v>
      </c>
      <c r="X161" s="44">
        <f t="shared" si="102"/>
        <v>336674.65802763635</v>
      </c>
      <c r="Y161" s="44">
        <f t="shared" si="86"/>
        <v>1769.9863049020039</v>
      </c>
      <c r="Z161" s="44">
        <f t="shared" si="103"/>
        <v>1114.0136950979961</v>
      </c>
      <c r="AA161" s="44">
        <f t="shared" si="104"/>
        <v>0</v>
      </c>
      <c r="AB161" s="43">
        <f t="shared" si="93"/>
        <v>335560.64433253836</v>
      </c>
      <c r="AD161" s="72" t="s">
        <v>123</v>
      </c>
      <c r="AE161" s="44">
        <f t="shared" si="105"/>
        <v>665776.72563418886</v>
      </c>
      <c r="AF161" s="44">
        <f t="shared" si="87"/>
        <v>3579.3251197588183</v>
      </c>
      <c r="AG161" s="44">
        <f t="shared" si="106"/>
        <v>2462.6748802411817</v>
      </c>
      <c r="AH161" s="44">
        <f t="shared" si="107"/>
        <v>0</v>
      </c>
      <c r="AI161" s="43">
        <f t="shared" si="94"/>
        <v>663314.0507539477</v>
      </c>
      <c r="AK161" s="101">
        <f t="shared" si="114"/>
        <v>2039</v>
      </c>
      <c r="AL161" s="101">
        <f t="shared" si="88"/>
        <v>3</v>
      </c>
      <c r="AM161" s="118">
        <f t="shared" si="108"/>
        <v>15005.728757800769</v>
      </c>
      <c r="AN161" s="100">
        <f t="shared" si="109"/>
        <v>15858.467386152404</v>
      </c>
      <c r="AO161" s="100">
        <f t="shared" si="110"/>
        <v>32118.586379530207</v>
      </c>
      <c r="AP161" s="100">
        <f t="shared" si="111"/>
        <v>30864.196143953173</v>
      </c>
      <c r="AQ161" s="1">
        <f t="shared" si="112"/>
        <v>59985</v>
      </c>
      <c r="AR161" s="100">
        <f t="shared" si="95"/>
        <v>647754.24163014838</v>
      </c>
      <c r="AS161" s="100">
        <f t="shared" si="96"/>
        <v>62982.78252348338</v>
      </c>
      <c r="AT161" s="100">
        <f t="shared" si="113"/>
        <v>51380.217476516598</v>
      </c>
      <c r="AU161" s="1">
        <f t="shared" si="97"/>
        <v>114362.99999999997</v>
      </c>
      <c r="AV161" s="100">
        <f t="shared" si="98"/>
        <v>1311068.292384096</v>
      </c>
    </row>
    <row r="162" spans="4:48">
      <c r="D162" s="39">
        <f t="shared" si="99"/>
        <v>154</v>
      </c>
      <c r="E162" s="40">
        <f t="shared" si="78"/>
        <v>2039</v>
      </c>
      <c r="F162" s="35">
        <f t="shared" si="82"/>
        <v>50890</v>
      </c>
      <c r="G162" s="36">
        <f t="shared" si="84"/>
        <v>4</v>
      </c>
      <c r="H162" s="41">
        <f t="shared" si="83"/>
        <v>30</v>
      </c>
      <c r="I162" s="37" t="s">
        <v>123</v>
      </c>
      <c r="J162" s="27">
        <f t="shared" si="100"/>
        <v>0</v>
      </c>
      <c r="K162" s="27">
        <f t="shared" si="89"/>
        <v>0</v>
      </c>
      <c r="L162" s="27">
        <f t="shared" si="101"/>
        <v>0</v>
      </c>
      <c r="M162" s="27">
        <f t="shared" si="90"/>
        <v>0</v>
      </c>
      <c r="N162" s="27">
        <f t="shared" si="91"/>
        <v>0</v>
      </c>
      <c r="P162" s="72" t="s">
        <v>123</v>
      </c>
      <c r="Q162" s="44">
        <f t="shared" si="79"/>
        <v>312193.59729760996</v>
      </c>
      <c r="R162" s="44">
        <f t="shared" si="85"/>
        <v>1588.3383840593472</v>
      </c>
      <c r="S162" s="44">
        <f t="shared" si="80"/>
        <v>2192.6616159406531</v>
      </c>
      <c r="T162" s="44">
        <f t="shared" si="81"/>
        <v>0</v>
      </c>
      <c r="U162" s="43">
        <f t="shared" si="92"/>
        <v>310000.93568166933</v>
      </c>
      <c r="W162" s="72" t="s">
        <v>123</v>
      </c>
      <c r="X162" s="44">
        <f t="shared" si="102"/>
        <v>335560.64433253836</v>
      </c>
      <c r="Y162" s="44">
        <f t="shared" si="86"/>
        <v>1707.2222370562295</v>
      </c>
      <c r="Z162" s="44">
        <f t="shared" si="103"/>
        <v>1176.7777629437705</v>
      </c>
      <c r="AA162" s="44">
        <f t="shared" si="104"/>
        <v>0</v>
      </c>
      <c r="AB162" s="43">
        <f t="shared" si="93"/>
        <v>334383.8665695946</v>
      </c>
      <c r="AD162" s="72" t="s">
        <v>123</v>
      </c>
      <c r="AE162" s="44">
        <f t="shared" si="105"/>
        <v>663314.0507539477</v>
      </c>
      <c r="AF162" s="44">
        <f t="shared" si="87"/>
        <v>3451.0503626897166</v>
      </c>
      <c r="AG162" s="44">
        <f t="shared" si="106"/>
        <v>2590.9496373102834</v>
      </c>
      <c r="AH162" s="44">
        <f t="shared" si="107"/>
        <v>0</v>
      </c>
      <c r="AI162" s="43">
        <f t="shared" si="94"/>
        <v>660723.10111663747</v>
      </c>
      <c r="AK162" s="101">
        <f t="shared" si="114"/>
        <v>2039</v>
      </c>
      <c r="AL162" s="101">
        <f t="shared" si="88"/>
        <v>4</v>
      </c>
      <c r="AM162" s="118">
        <f t="shared" si="108"/>
        <v>16594.067141860116</v>
      </c>
      <c r="AN162" s="100">
        <f t="shared" si="109"/>
        <v>17565.689623208633</v>
      </c>
      <c r="AO162" s="100">
        <f t="shared" si="110"/>
        <v>35569.636742219926</v>
      </c>
      <c r="AP162" s="100">
        <f t="shared" si="111"/>
        <v>34159.756765068749</v>
      </c>
      <c r="AQ162" s="1">
        <f t="shared" si="112"/>
        <v>66650</v>
      </c>
      <c r="AR162" s="100">
        <f t="shared" si="95"/>
        <v>644384.80225126399</v>
      </c>
      <c r="AS162" s="100">
        <f t="shared" si="96"/>
        <v>69729.393507288682</v>
      </c>
      <c r="AT162" s="100">
        <f t="shared" si="113"/>
        <v>57340.606492711304</v>
      </c>
      <c r="AU162" s="1">
        <f t="shared" si="97"/>
        <v>127069.99999999999</v>
      </c>
      <c r="AV162" s="100">
        <f t="shared" si="98"/>
        <v>1305107.9033679015</v>
      </c>
    </row>
    <row r="163" spans="4:48">
      <c r="D163" s="39">
        <f t="shared" si="99"/>
        <v>155</v>
      </c>
      <c r="E163" s="40">
        <f t="shared" si="78"/>
        <v>2039</v>
      </c>
      <c r="F163" s="35">
        <f t="shared" si="82"/>
        <v>50920</v>
      </c>
      <c r="G163" s="36">
        <f t="shared" si="84"/>
        <v>5</v>
      </c>
      <c r="H163" s="41">
        <f t="shared" si="83"/>
        <v>31</v>
      </c>
      <c r="I163" s="37" t="s">
        <v>123</v>
      </c>
      <c r="J163" s="27">
        <f t="shared" si="100"/>
        <v>0</v>
      </c>
      <c r="K163" s="27">
        <f t="shared" si="89"/>
        <v>0</v>
      </c>
      <c r="L163" s="27">
        <f t="shared" si="101"/>
        <v>0</v>
      </c>
      <c r="M163" s="27">
        <f t="shared" si="90"/>
        <v>0</v>
      </c>
      <c r="N163" s="27">
        <f t="shared" si="91"/>
        <v>0</v>
      </c>
      <c r="P163" s="72" t="s">
        <v>123</v>
      </c>
      <c r="Q163" s="44">
        <f t="shared" si="79"/>
        <v>310000.93568166933</v>
      </c>
      <c r="R163" s="44">
        <f t="shared" si="85"/>
        <v>1629.755604053576</v>
      </c>
      <c r="S163" s="44">
        <f t="shared" si="80"/>
        <v>2151.244395946424</v>
      </c>
      <c r="T163" s="44">
        <f t="shared" si="81"/>
        <v>0</v>
      </c>
      <c r="U163" s="43">
        <f t="shared" si="92"/>
        <v>307849.69128572289</v>
      </c>
      <c r="W163" s="72" t="s">
        <v>123</v>
      </c>
      <c r="X163" s="44">
        <f t="shared" si="102"/>
        <v>334383.8665695946</v>
      </c>
      <c r="Y163" s="44">
        <f t="shared" si="86"/>
        <v>1757.9430179736853</v>
      </c>
      <c r="Z163" s="44">
        <f t="shared" si="103"/>
        <v>1126.0569820263147</v>
      </c>
      <c r="AA163" s="44">
        <f t="shared" si="104"/>
        <v>0</v>
      </c>
      <c r="AB163" s="43">
        <f t="shared" si="93"/>
        <v>333257.80958756828</v>
      </c>
      <c r="AD163" s="72" t="s">
        <v>123</v>
      </c>
      <c r="AE163" s="44">
        <f t="shared" si="105"/>
        <v>660723.10111663747</v>
      </c>
      <c r="AF163" s="44">
        <f t="shared" si="87"/>
        <v>3552.1560036196652</v>
      </c>
      <c r="AG163" s="44">
        <f t="shared" si="106"/>
        <v>2489.8439963803348</v>
      </c>
      <c r="AH163" s="44">
        <f t="shared" si="107"/>
        <v>0</v>
      </c>
      <c r="AI163" s="43">
        <f t="shared" si="94"/>
        <v>658233.25712025713</v>
      </c>
      <c r="AK163" s="101">
        <f t="shared" si="114"/>
        <v>2039</v>
      </c>
      <c r="AL163" s="101">
        <f t="shared" si="88"/>
        <v>5</v>
      </c>
      <c r="AM163" s="118">
        <f t="shared" si="108"/>
        <v>18223.822745913691</v>
      </c>
      <c r="AN163" s="100">
        <f t="shared" si="109"/>
        <v>19323.632641182317</v>
      </c>
      <c r="AO163" s="100">
        <f t="shared" si="110"/>
        <v>39121.792745839593</v>
      </c>
      <c r="AP163" s="100">
        <f t="shared" si="111"/>
        <v>37547.455387096008</v>
      </c>
      <c r="AQ163" s="1">
        <f t="shared" si="112"/>
        <v>73315</v>
      </c>
      <c r="AR163" s="100">
        <f t="shared" si="95"/>
        <v>641107.50087329117</v>
      </c>
      <c r="AS163" s="100">
        <f t="shared" si="96"/>
        <v>76669.248132935609</v>
      </c>
      <c r="AT163" s="100">
        <f t="shared" si="113"/>
        <v>63107.751867064369</v>
      </c>
      <c r="AU163" s="1">
        <f t="shared" si="97"/>
        <v>139776.99999999997</v>
      </c>
      <c r="AV163" s="100">
        <f t="shared" si="98"/>
        <v>1299340.7579935482</v>
      </c>
    </row>
    <row r="164" spans="4:48">
      <c r="D164" s="39">
        <f t="shared" si="99"/>
        <v>156</v>
      </c>
      <c r="E164" s="40">
        <f t="shared" si="78"/>
        <v>2039</v>
      </c>
      <c r="F164" s="35">
        <f t="shared" si="82"/>
        <v>50951</v>
      </c>
      <c r="G164" s="36">
        <f t="shared" si="84"/>
        <v>6</v>
      </c>
      <c r="H164" s="41">
        <f t="shared" si="83"/>
        <v>30</v>
      </c>
      <c r="I164" s="37" t="s">
        <v>123</v>
      </c>
      <c r="J164" s="27">
        <f t="shared" si="100"/>
        <v>0</v>
      </c>
      <c r="K164" s="27">
        <f t="shared" si="89"/>
        <v>0</v>
      </c>
      <c r="L164" s="27">
        <f t="shared" si="101"/>
        <v>0</v>
      </c>
      <c r="M164" s="27">
        <f t="shared" si="90"/>
        <v>0</v>
      </c>
      <c r="N164" s="27">
        <f t="shared" si="91"/>
        <v>0</v>
      </c>
      <c r="P164" s="72" t="s">
        <v>123</v>
      </c>
      <c r="Q164" s="44">
        <f t="shared" si="79"/>
        <v>307849.69128572289</v>
      </c>
      <c r="R164" s="44">
        <f t="shared" si="85"/>
        <v>1566.2380184043488</v>
      </c>
      <c r="S164" s="44">
        <f t="shared" si="80"/>
        <v>2214.7619815956514</v>
      </c>
      <c r="T164" s="44">
        <f t="shared" si="81"/>
        <v>0</v>
      </c>
      <c r="U164" s="43">
        <f t="shared" si="92"/>
        <v>305634.92930412723</v>
      </c>
      <c r="W164" s="72" t="s">
        <v>123</v>
      </c>
      <c r="X164" s="44">
        <f t="shared" si="102"/>
        <v>333257.80958756828</v>
      </c>
      <c r="Y164" s="44">
        <f t="shared" si="86"/>
        <v>1695.5061709701761</v>
      </c>
      <c r="Z164" s="44">
        <f t="shared" si="103"/>
        <v>1188.4938290298239</v>
      </c>
      <c r="AA164" s="44">
        <f t="shared" si="104"/>
        <v>0</v>
      </c>
      <c r="AB164" s="43">
        <f t="shared" si="93"/>
        <v>332069.31575853843</v>
      </c>
      <c r="AD164" s="72" t="s">
        <v>123</v>
      </c>
      <c r="AE164" s="44">
        <f t="shared" si="105"/>
        <v>658233.25712025713</v>
      </c>
      <c r="AF164" s="44">
        <f t="shared" si="87"/>
        <v>3424.6163158119675</v>
      </c>
      <c r="AG164" s="44">
        <f t="shared" si="106"/>
        <v>2617.3836841880325</v>
      </c>
      <c r="AH164" s="44">
        <f t="shared" si="107"/>
        <v>0</v>
      </c>
      <c r="AI164" s="43">
        <f t="shared" si="94"/>
        <v>655615.87343606912</v>
      </c>
      <c r="AK164" s="101">
        <f t="shared" si="114"/>
        <v>2039</v>
      </c>
      <c r="AL164" s="101">
        <f t="shared" si="88"/>
        <v>6</v>
      </c>
      <c r="AM164" s="118">
        <f t="shared" si="108"/>
        <v>19790.060764318041</v>
      </c>
      <c r="AN164" s="100">
        <f t="shared" si="109"/>
        <v>21019.138812152494</v>
      </c>
      <c r="AO164" s="100">
        <f t="shared" si="110"/>
        <v>42546.40906165156</v>
      </c>
      <c r="AP164" s="100">
        <f t="shared" si="111"/>
        <v>40809.199576470535</v>
      </c>
      <c r="AQ164" s="1">
        <f t="shared" si="112"/>
        <v>79980</v>
      </c>
      <c r="AR164" s="100">
        <f t="shared" si="95"/>
        <v>637704.24506266566</v>
      </c>
      <c r="AS164" s="100">
        <f t="shared" si="96"/>
        <v>83355.608638122096</v>
      </c>
      <c r="AT164" s="100">
        <f t="shared" si="113"/>
        <v>69128.391361877875</v>
      </c>
      <c r="AU164" s="1">
        <f t="shared" si="97"/>
        <v>152483.99999999997</v>
      </c>
      <c r="AV164" s="100">
        <f t="shared" si="98"/>
        <v>1293320.1184987347</v>
      </c>
    </row>
    <row r="165" spans="4:48">
      <c r="D165" s="39">
        <f t="shared" si="99"/>
        <v>157</v>
      </c>
      <c r="E165" s="40">
        <f t="shared" si="78"/>
        <v>2040</v>
      </c>
      <c r="F165" s="35">
        <f t="shared" si="82"/>
        <v>50981</v>
      </c>
      <c r="G165" s="36">
        <f t="shared" si="84"/>
        <v>7</v>
      </c>
      <c r="H165" s="41">
        <f t="shared" si="83"/>
        <v>31</v>
      </c>
      <c r="I165" s="37" t="s">
        <v>123</v>
      </c>
      <c r="J165" s="27">
        <f t="shared" si="100"/>
        <v>0</v>
      </c>
      <c r="K165" s="27">
        <f t="shared" si="89"/>
        <v>0</v>
      </c>
      <c r="L165" s="27">
        <f t="shared" si="101"/>
        <v>0</v>
      </c>
      <c r="M165" s="27">
        <f t="shared" si="90"/>
        <v>0</v>
      </c>
      <c r="N165" s="27">
        <f t="shared" si="91"/>
        <v>0</v>
      </c>
      <c r="P165" s="72" t="s">
        <v>123</v>
      </c>
      <c r="Q165" s="44">
        <f t="shared" si="79"/>
        <v>305634.92930412723</v>
      </c>
      <c r="R165" s="44">
        <f t="shared" si="85"/>
        <v>1606.8023721690129</v>
      </c>
      <c r="S165" s="44">
        <f t="shared" si="80"/>
        <v>2174.1976278309871</v>
      </c>
      <c r="T165" s="44">
        <f t="shared" si="81"/>
        <v>0</v>
      </c>
      <c r="U165" s="43">
        <f t="shared" si="92"/>
        <v>303460.73167629627</v>
      </c>
      <c r="W165" s="72" t="s">
        <v>123</v>
      </c>
      <c r="X165" s="44">
        <f t="shared" si="102"/>
        <v>332069.31575853843</v>
      </c>
      <c r="Y165" s="44">
        <f t="shared" si="86"/>
        <v>1745.7748219426285</v>
      </c>
      <c r="Z165" s="44">
        <f t="shared" si="103"/>
        <v>1138.2251780573715</v>
      </c>
      <c r="AA165" s="44">
        <f t="shared" si="104"/>
        <v>0</v>
      </c>
      <c r="AB165" s="43">
        <f t="shared" si="93"/>
        <v>330931.09058048105</v>
      </c>
      <c r="AD165" s="72" t="s">
        <v>123</v>
      </c>
      <c r="AE165" s="44">
        <f t="shared" si="105"/>
        <v>655615.87343606912</v>
      </c>
      <c r="AF165" s="44">
        <f t="shared" si="87"/>
        <v>3524.6987080646531</v>
      </c>
      <c r="AG165" s="44">
        <f t="shared" si="106"/>
        <v>2517.3012919353469</v>
      </c>
      <c r="AH165" s="44">
        <f t="shared" si="107"/>
        <v>0</v>
      </c>
      <c r="AI165" s="43">
        <f t="shared" si="94"/>
        <v>653098.57214413374</v>
      </c>
      <c r="AK165" s="101">
        <f t="shared" si="114"/>
        <v>2040</v>
      </c>
      <c r="AL165" s="101">
        <f t="shared" si="88"/>
        <v>7</v>
      </c>
      <c r="AM165" s="118">
        <f t="shared" si="108"/>
        <v>1606.8023721690129</v>
      </c>
      <c r="AN165" s="100">
        <f t="shared" si="109"/>
        <v>1745.7748219426285</v>
      </c>
      <c r="AO165" s="100">
        <f t="shared" si="110"/>
        <v>3524.6987080646531</v>
      </c>
      <c r="AP165" s="100">
        <f t="shared" si="111"/>
        <v>3352.5771941116413</v>
      </c>
      <c r="AQ165" s="1">
        <f t="shared" si="112"/>
        <v>6665</v>
      </c>
      <c r="AR165" s="100">
        <f t="shared" si="95"/>
        <v>634391.82225677732</v>
      </c>
      <c r="AS165" s="100">
        <f t="shared" si="96"/>
        <v>6877.275902176294</v>
      </c>
      <c r="AT165" s="100">
        <f t="shared" si="113"/>
        <v>5829.724097823706</v>
      </c>
      <c r="AU165" s="1">
        <f t="shared" si="97"/>
        <v>12707</v>
      </c>
      <c r="AV165" s="100">
        <f t="shared" si="98"/>
        <v>1287490.3944009109</v>
      </c>
    </row>
    <row r="166" spans="4:48">
      <c r="D166" s="39">
        <f t="shared" si="99"/>
        <v>158</v>
      </c>
      <c r="E166" s="40">
        <f t="shared" si="78"/>
        <v>2040</v>
      </c>
      <c r="F166" s="35">
        <f t="shared" si="82"/>
        <v>51012</v>
      </c>
      <c r="G166" s="36">
        <f t="shared" si="84"/>
        <v>8</v>
      </c>
      <c r="H166" s="41">
        <f t="shared" si="83"/>
        <v>31</v>
      </c>
      <c r="I166" s="37" t="s">
        <v>123</v>
      </c>
      <c r="J166" s="27">
        <f t="shared" si="100"/>
        <v>0</v>
      </c>
      <c r="K166" s="27">
        <f t="shared" si="89"/>
        <v>0</v>
      </c>
      <c r="L166" s="27">
        <f t="shared" si="101"/>
        <v>0</v>
      </c>
      <c r="M166" s="27">
        <f t="shared" si="90"/>
        <v>0</v>
      </c>
      <c r="N166" s="27">
        <f t="shared" si="91"/>
        <v>0</v>
      </c>
      <c r="P166" s="72" t="s">
        <v>123</v>
      </c>
      <c r="Q166" s="44">
        <f t="shared" si="79"/>
        <v>303460.73167629627</v>
      </c>
      <c r="R166" s="44">
        <f t="shared" si="85"/>
        <v>1595.372049352452</v>
      </c>
      <c r="S166" s="44">
        <f t="shared" si="80"/>
        <v>2185.627950647548</v>
      </c>
      <c r="T166" s="44">
        <f t="shared" si="81"/>
        <v>0</v>
      </c>
      <c r="U166" s="43">
        <f t="shared" si="92"/>
        <v>301275.10372564872</v>
      </c>
      <c r="W166" s="72" t="s">
        <v>123</v>
      </c>
      <c r="X166" s="44">
        <f t="shared" si="102"/>
        <v>330931.09058048105</v>
      </c>
      <c r="Y166" s="44">
        <f t="shared" si="86"/>
        <v>1739.7908759311917</v>
      </c>
      <c r="Z166" s="44">
        <f t="shared" si="103"/>
        <v>1144.2091240688083</v>
      </c>
      <c r="AA166" s="44">
        <f t="shared" si="104"/>
        <v>0</v>
      </c>
      <c r="AB166" s="43">
        <f t="shared" si="93"/>
        <v>329786.88145641226</v>
      </c>
      <c r="AD166" s="72" t="s">
        <v>123</v>
      </c>
      <c r="AE166" s="44">
        <f t="shared" si="105"/>
        <v>653098.57214413374</v>
      </c>
      <c r="AF166" s="44">
        <f t="shared" si="87"/>
        <v>3511.165282516256</v>
      </c>
      <c r="AG166" s="44">
        <f t="shared" si="106"/>
        <v>2530.834717483744</v>
      </c>
      <c r="AH166" s="44">
        <f t="shared" si="107"/>
        <v>0</v>
      </c>
      <c r="AI166" s="43">
        <f t="shared" si="94"/>
        <v>650567.73742665001</v>
      </c>
      <c r="AK166" s="101">
        <f t="shared" si="114"/>
        <v>2040</v>
      </c>
      <c r="AL166" s="101">
        <f t="shared" si="88"/>
        <v>8</v>
      </c>
      <c r="AM166" s="118">
        <f t="shared" si="108"/>
        <v>3202.1744215214649</v>
      </c>
      <c r="AN166" s="100">
        <f t="shared" si="109"/>
        <v>3485.5656978738202</v>
      </c>
      <c r="AO166" s="100">
        <f t="shared" si="110"/>
        <v>7035.8639905809086</v>
      </c>
      <c r="AP166" s="100">
        <f t="shared" si="111"/>
        <v>6687.7401193952846</v>
      </c>
      <c r="AQ166" s="1">
        <f t="shared" si="112"/>
        <v>13330</v>
      </c>
      <c r="AR166" s="100">
        <f t="shared" si="95"/>
        <v>631061.98518206098</v>
      </c>
      <c r="AS166" s="100">
        <f t="shared" si="96"/>
        <v>13723.604109976193</v>
      </c>
      <c r="AT166" s="100">
        <f t="shared" si="113"/>
        <v>11690.395890023805</v>
      </c>
      <c r="AU166" s="1">
        <f t="shared" si="97"/>
        <v>25414</v>
      </c>
      <c r="AV166" s="100">
        <f t="shared" si="98"/>
        <v>1281629.7226087111</v>
      </c>
    </row>
    <row r="167" spans="4:48">
      <c r="D167" s="39">
        <f t="shared" si="99"/>
        <v>159</v>
      </c>
      <c r="E167" s="40">
        <f t="shared" si="78"/>
        <v>2040</v>
      </c>
      <c r="F167" s="35">
        <f t="shared" si="82"/>
        <v>51043</v>
      </c>
      <c r="G167" s="36">
        <f t="shared" si="84"/>
        <v>9</v>
      </c>
      <c r="H167" s="41">
        <f t="shared" si="83"/>
        <v>30</v>
      </c>
      <c r="I167" s="37" t="s">
        <v>123</v>
      </c>
      <c r="J167" s="27">
        <f t="shared" si="100"/>
        <v>0</v>
      </c>
      <c r="K167" s="27">
        <f t="shared" si="89"/>
        <v>0</v>
      </c>
      <c r="L167" s="27">
        <f t="shared" si="101"/>
        <v>0</v>
      </c>
      <c r="M167" s="27">
        <f t="shared" si="90"/>
        <v>0</v>
      </c>
      <c r="N167" s="27">
        <f t="shared" si="91"/>
        <v>0</v>
      </c>
      <c r="P167" s="72" t="s">
        <v>123</v>
      </c>
      <c r="Q167" s="44">
        <f t="shared" si="79"/>
        <v>301275.10372564872</v>
      </c>
      <c r="R167" s="44">
        <f t="shared" si="85"/>
        <v>1532.7886784069306</v>
      </c>
      <c r="S167" s="44">
        <f t="shared" si="80"/>
        <v>2248.2113215930694</v>
      </c>
      <c r="T167" s="44">
        <f t="shared" si="81"/>
        <v>0</v>
      </c>
      <c r="U167" s="43">
        <f t="shared" si="92"/>
        <v>299026.89240405563</v>
      </c>
      <c r="W167" s="72" t="s">
        <v>123</v>
      </c>
      <c r="X167" s="44">
        <f t="shared" si="102"/>
        <v>329786.88145641226</v>
      </c>
      <c r="Y167" s="44">
        <f t="shared" si="86"/>
        <v>1677.8472297659109</v>
      </c>
      <c r="Z167" s="44">
        <f t="shared" si="103"/>
        <v>1206.1527702340891</v>
      </c>
      <c r="AA167" s="44">
        <f t="shared" si="104"/>
        <v>0</v>
      </c>
      <c r="AB167" s="43">
        <f t="shared" si="93"/>
        <v>328580.72868617816</v>
      </c>
      <c r="AD167" s="72" t="s">
        <v>123</v>
      </c>
      <c r="AE167" s="44">
        <f t="shared" si="105"/>
        <v>650567.73742665001</v>
      </c>
      <c r="AF167" s="44">
        <f t="shared" si="87"/>
        <v>3384.7346119813924</v>
      </c>
      <c r="AG167" s="44">
        <f t="shared" si="106"/>
        <v>2657.2653880186076</v>
      </c>
      <c r="AH167" s="44">
        <f t="shared" si="107"/>
        <v>0</v>
      </c>
      <c r="AI167" s="43">
        <f t="shared" si="94"/>
        <v>647910.47203863144</v>
      </c>
      <c r="AK167" s="101">
        <f t="shared" si="114"/>
        <v>2040</v>
      </c>
      <c r="AL167" s="101">
        <f t="shared" si="88"/>
        <v>9</v>
      </c>
      <c r="AM167" s="118">
        <f t="shared" si="108"/>
        <v>4734.9630999283954</v>
      </c>
      <c r="AN167" s="100">
        <f t="shared" si="109"/>
        <v>5163.4129276397307</v>
      </c>
      <c r="AO167" s="100">
        <f t="shared" si="110"/>
        <v>10420.598602562301</v>
      </c>
      <c r="AP167" s="100">
        <f t="shared" si="111"/>
        <v>9898.376027568127</v>
      </c>
      <c r="AQ167" s="1">
        <f t="shared" si="112"/>
        <v>19995</v>
      </c>
      <c r="AR167" s="100">
        <f t="shared" si="95"/>
        <v>627607.62109023379</v>
      </c>
      <c r="AS167" s="100">
        <f t="shared" si="96"/>
        <v>20318.974630130426</v>
      </c>
      <c r="AT167" s="100">
        <f t="shared" si="113"/>
        <v>17802.025369869571</v>
      </c>
      <c r="AU167" s="1">
        <f t="shared" si="97"/>
        <v>38121</v>
      </c>
      <c r="AV167" s="100">
        <f t="shared" si="98"/>
        <v>1275518.0931288651</v>
      </c>
    </row>
    <row r="168" spans="4:48">
      <c r="D168" s="39">
        <f t="shared" si="99"/>
        <v>160</v>
      </c>
      <c r="E168" s="40">
        <f t="shared" si="78"/>
        <v>2040</v>
      </c>
      <c r="F168" s="35">
        <f t="shared" si="82"/>
        <v>51073</v>
      </c>
      <c r="G168" s="36">
        <f t="shared" si="84"/>
        <v>10</v>
      </c>
      <c r="H168" s="41">
        <f t="shared" si="83"/>
        <v>31</v>
      </c>
      <c r="I168" s="37" t="s">
        <v>123</v>
      </c>
      <c r="J168" s="27">
        <f t="shared" si="100"/>
        <v>0</v>
      </c>
      <c r="K168" s="27">
        <f t="shared" si="89"/>
        <v>0</v>
      </c>
      <c r="L168" s="27">
        <f t="shared" si="101"/>
        <v>0</v>
      </c>
      <c r="M168" s="27">
        <f t="shared" si="90"/>
        <v>0</v>
      </c>
      <c r="N168" s="27">
        <f t="shared" si="91"/>
        <v>0</v>
      </c>
      <c r="P168" s="72" t="s">
        <v>123</v>
      </c>
      <c r="Q168" s="44">
        <f t="shared" si="79"/>
        <v>299026.89240405563</v>
      </c>
      <c r="R168" s="44">
        <f t="shared" si="85"/>
        <v>1572.0622022853213</v>
      </c>
      <c r="S168" s="44">
        <f t="shared" si="80"/>
        <v>2208.9377977146787</v>
      </c>
      <c r="T168" s="44">
        <f t="shared" si="81"/>
        <v>0</v>
      </c>
      <c r="U168" s="43">
        <f t="shared" si="92"/>
        <v>296817.95460634097</v>
      </c>
      <c r="W168" s="72" t="s">
        <v>123</v>
      </c>
      <c r="X168" s="44">
        <f t="shared" si="102"/>
        <v>328580.72868617816</v>
      </c>
      <c r="Y168" s="44">
        <f t="shared" si="86"/>
        <v>1727.4344117148144</v>
      </c>
      <c r="Z168" s="44">
        <f t="shared" si="103"/>
        <v>1156.5655882851856</v>
      </c>
      <c r="AA168" s="44">
        <f t="shared" si="104"/>
        <v>0</v>
      </c>
      <c r="AB168" s="43">
        <f t="shared" si="93"/>
        <v>327424.163097893</v>
      </c>
      <c r="AD168" s="72" t="s">
        <v>123</v>
      </c>
      <c r="AE168" s="44">
        <f t="shared" si="105"/>
        <v>647910.47203863144</v>
      </c>
      <c r="AF168" s="44">
        <f t="shared" si="87"/>
        <v>3483.2732035107028</v>
      </c>
      <c r="AG168" s="44">
        <f t="shared" si="106"/>
        <v>2558.7267964892972</v>
      </c>
      <c r="AH168" s="44">
        <f t="shared" si="107"/>
        <v>0</v>
      </c>
      <c r="AI168" s="43">
        <f t="shared" si="94"/>
        <v>645351.74524214212</v>
      </c>
      <c r="AK168" s="101">
        <f t="shared" si="114"/>
        <v>2040</v>
      </c>
      <c r="AL168" s="101">
        <f t="shared" si="88"/>
        <v>10</v>
      </c>
      <c r="AM168" s="118">
        <f t="shared" si="108"/>
        <v>6307.0253022137167</v>
      </c>
      <c r="AN168" s="100">
        <f t="shared" si="109"/>
        <v>6890.8473393545446</v>
      </c>
      <c r="AO168" s="100">
        <f t="shared" si="110"/>
        <v>13903.871806073003</v>
      </c>
      <c r="AP168" s="100">
        <f t="shared" si="111"/>
        <v>13197.872641568261</v>
      </c>
      <c r="AQ168" s="1">
        <f t="shared" si="112"/>
        <v>26660</v>
      </c>
      <c r="AR168" s="100">
        <f t="shared" si="95"/>
        <v>624242.11770423397</v>
      </c>
      <c r="AS168" s="100">
        <f t="shared" si="96"/>
        <v>27101.744447641264</v>
      </c>
      <c r="AT168" s="100">
        <f t="shared" si="113"/>
        <v>23726.255552358733</v>
      </c>
      <c r="AU168" s="1">
        <f t="shared" si="97"/>
        <v>50828</v>
      </c>
      <c r="AV168" s="100">
        <f t="shared" si="98"/>
        <v>1269593.8629463762</v>
      </c>
    </row>
    <row r="169" spans="4:48">
      <c r="D169" s="39">
        <f t="shared" si="99"/>
        <v>161</v>
      </c>
      <c r="E169" s="40">
        <f t="shared" si="78"/>
        <v>2040</v>
      </c>
      <c r="F169" s="35">
        <f t="shared" si="82"/>
        <v>51104</v>
      </c>
      <c r="G169" s="36">
        <f t="shared" si="84"/>
        <v>11</v>
      </c>
      <c r="H169" s="41">
        <f t="shared" si="83"/>
        <v>30</v>
      </c>
      <c r="I169" s="37" t="s">
        <v>123</v>
      </c>
      <c r="J169" s="27">
        <f t="shared" si="100"/>
        <v>0</v>
      </c>
      <c r="K169" s="27">
        <f t="shared" si="89"/>
        <v>0</v>
      </c>
      <c r="L169" s="27">
        <f t="shared" si="101"/>
        <v>0</v>
      </c>
      <c r="M169" s="27">
        <f t="shared" si="90"/>
        <v>0</v>
      </c>
      <c r="N169" s="27">
        <f t="shared" si="91"/>
        <v>0</v>
      </c>
      <c r="P169" s="72" t="s">
        <v>123</v>
      </c>
      <c r="Q169" s="44">
        <f t="shared" si="79"/>
        <v>296817.95460634097</v>
      </c>
      <c r="R169" s="44">
        <f t="shared" si="85"/>
        <v>1510.1121690519869</v>
      </c>
      <c r="S169" s="44">
        <f t="shared" si="80"/>
        <v>2270.8878309480133</v>
      </c>
      <c r="T169" s="44">
        <f t="shared" si="81"/>
        <v>0</v>
      </c>
      <c r="U169" s="43">
        <f t="shared" si="92"/>
        <v>294547.06677539297</v>
      </c>
      <c r="W169" s="72" t="s">
        <v>123</v>
      </c>
      <c r="X169" s="44">
        <f t="shared" si="102"/>
        <v>327424.163097893</v>
      </c>
      <c r="Y169" s="44">
        <f t="shared" si="86"/>
        <v>1665.8264955418831</v>
      </c>
      <c r="Z169" s="44">
        <f t="shared" si="103"/>
        <v>1218.1735044581169</v>
      </c>
      <c r="AA169" s="44">
        <f t="shared" si="104"/>
        <v>0</v>
      </c>
      <c r="AB169" s="43">
        <f t="shared" si="93"/>
        <v>326205.9895934349</v>
      </c>
      <c r="AD169" s="72" t="s">
        <v>123</v>
      </c>
      <c r="AE169" s="44">
        <f t="shared" si="105"/>
        <v>645351.74524214212</v>
      </c>
      <c r="AF169" s="44">
        <f t="shared" si="87"/>
        <v>3357.597162232405</v>
      </c>
      <c r="AG169" s="44">
        <f t="shared" si="106"/>
        <v>2684.402837767595</v>
      </c>
      <c r="AH169" s="44">
        <f t="shared" si="107"/>
        <v>0</v>
      </c>
      <c r="AI169" s="43">
        <f t="shared" si="94"/>
        <v>642667.3424043745</v>
      </c>
      <c r="AK169" s="101">
        <f t="shared" si="114"/>
        <v>2040</v>
      </c>
      <c r="AL169" s="101">
        <f t="shared" si="88"/>
        <v>11</v>
      </c>
      <c r="AM169" s="118">
        <f t="shared" si="108"/>
        <v>7817.1374712657034</v>
      </c>
      <c r="AN169" s="100">
        <f t="shared" si="109"/>
        <v>8556.6738348964282</v>
      </c>
      <c r="AO169" s="100">
        <f t="shared" si="110"/>
        <v>17261.468968305409</v>
      </c>
      <c r="AP169" s="100">
        <f t="shared" si="111"/>
        <v>16373.811306162132</v>
      </c>
      <c r="AQ169" s="1">
        <f t="shared" si="112"/>
        <v>33325</v>
      </c>
      <c r="AR169" s="100">
        <f t="shared" si="95"/>
        <v>620753.05636882782</v>
      </c>
      <c r="AS169" s="100">
        <f t="shared" si="96"/>
        <v>33635.280274467543</v>
      </c>
      <c r="AT169" s="100">
        <f t="shared" si="113"/>
        <v>29899.719725532457</v>
      </c>
      <c r="AU169" s="1">
        <f t="shared" si="97"/>
        <v>63535</v>
      </c>
      <c r="AV169" s="100">
        <f t="shared" si="98"/>
        <v>1263420.3987732022</v>
      </c>
    </row>
    <row r="170" spans="4:48">
      <c r="D170" s="39">
        <f t="shared" si="99"/>
        <v>162</v>
      </c>
      <c r="E170" s="40">
        <f t="shared" si="78"/>
        <v>2040</v>
      </c>
      <c r="F170" s="35">
        <f t="shared" si="82"/>
        <v>51134</v>
      </c>
      <c r="G170" s="36">
        <f t="shared" si="84"/>
        <v>12</v>
      </c>
      <c r="H170" s="41">
        <f t="shared" si="83"/>
        <v>31</v>
      </c>
      <c r="I170" s="37" t="s">
        <v>123</v>
      </c>
      <c r="J170" s="27">
        <f t="shared" si="100"/>
        <v>0</v>
      </c>
      <c r="K170" s="27">
        <f t="shared" si="89"/>
        <v>0</v>
      </c>
      <c r="L170" s="27">
        <f t="shared" si="101"/>
        <v>0</v>
      </c>
      <c r="M170" s="27">
        <f t="shared" si="90"/>
        <v>0</v>
      </c>
      <c r="N170" s="27">
        <f t="shared" si="91"/>
        <v>0</v>
      </c>
      <c r="P170" s="72" t="s">
        <v>123</v>
      </c>
      <c r="Q170" s="44">
        <f t="shared" si="79"/>
        <v>294547.06677539297</v>
      </c>
      <c r="R170" s="44">
        <f t="shared" si="85"/>
        <v>1548.5105929734289</v>
      </c>
      <c r="S170" s="44">
        <f t="shared" si="80"/>
        <v>2232.4894070265709</v>
      </c>
      <c r="T170" s="44">
        <f t="shared" si="81"/>
        <v>0</v>
      </c>
      <c r="U170" s="43">
        <f t="shared" si="92"/>
        <v>292314.57736836642</v>
      </c>
      <c r="W170" s="72" t="s">
        <v>123</v>
      </c>
      <c r="X170" s="44">
        <f t="shared" si="102"/>
        <v>326205.9895934349</v>
      </c>
      <c r="Y170" s="44">
        <f t="shared" si="86"/>
        <v>1714.9497902214855</v>
      </c>
      <c r="Z170" s="44">
        <f t="shared" si="103"/>
        <v>1169.0502097785145</v>
      </c>
      <c r="AA170" s="44">
        <f t="shared" si="104"/>
        <v>0</v>
      </c>
      <c r="AB170" s="43">
        <f t="shared" si="93"/>
        <v>325036.93938365637</v>
      </c>
      <c r="AD170" s="72" t="s">
        <v>123</v>
      </c>
      <c r="AE170" s="44">
        <f t="shared" si="105"/>
        <v>642667.3424043745</v>
      </c>
      <c r="AF170" s="44">
        <f t="shared" si="87"/>
        <v>3455.0852767126139</v>
      </c>
      <c r="AG170" s="44">
        <f t="shared" si="106"/>
        <v>2586.9147232873861</v>
      </c>
      <c r="AH170" s="44">
        <f t="shared" si="107"/>
        <v>0</v>
      </c>
      <c r="AI170" s="43">
        <f t="shared" si="94"/>
        <v>640080.42768108717</v>
      </c>
      <c r="AK170" s="101">
        <f t="shared" si="114"/>
        <v>2040</v>
      </c>
      <c r="AL170" s="101">
        <f t="shared" si="88"/>
        <v>12</v>
      </c>
      <c r="AM170" s="118">
        <f t="shared" si="108"/>
        <v>9365.6480642391325</v>
      </c>
      <c r="AN170" s="100">
        <f t="shared" si="109"/>
        <v>10271.623625117914</v>
      </c>
      <c r="AO170" s="100">
        <f t="shared" si="110"/>
        <v>20716.554245018022</v>
      </c>
      <c r="AP170" s="100">
        <f t="shared" si="111"/>
        <v>19637.271689357047</v>
      </c>
      <c r="AQ170" s="1">
        <f t="shared" si="112"/>
        <v>39990</v>
      </c>
      <c r="AR170" s="100">
        <f t="shared" si="95"/>
        <v>617351.51675202278</v>
      </c>
      <c r="AS170" s="100">
        <f t="shared" si="96"/>
        <v>40353.825934375069</v>
      </c>
      <c r="AT170" s="100">
        <f t="shared" si="113"/>
        <v>35888.174065624931</v>
      </c>
      <c r="AU170" s="1">
        <f t="shared" si="97"/>
        <v>76242</v>
      </c>
      <c r="AV170" s="100">
        <f t="shared" si="98"/>
        <v>1257431.9444331098</v>
      </c>
    </row>
    <row r="171" spans="4:48">
      <c r="D171" s="39">
        <f t="shared" si="99"/>
        <v>163</v>
      </c>
      <c r="E171" s="40">
        <f t="shared" si="78"/>
        <v>2040</v>
      </c>
      <c r="F171" s="35">
        <f t="shared" si="82"/>
        <v>51165</v>
      </c>
      <c r="G171" s="36">
        <f t="shared" si="84"/>
        <v>1</v>
      </c>
      <c r="H171" s="41">
        <f t="shared" si="83"/>
        <v>31</v>
      </c>
      <c r="I171" s="37" t="s">
        <v>123</v>
      </c>
      <c r="J171" s="27">
        <f t="shared" si="100"/>
        <v>0</v>
      </c>
      <c r="K171" s="27">
        <f t="shared" si="89"/>
        <v>0</v>
      </c>
      <c r="L171" s="27">
        <f t="shared" si="101"/>
        <v>0</v>
      </c>
      <c r="M171" s="27">
        <f t="shared" si="90"/>
        <v>0</v>
      </c>
      <c r="N171" s="27">
        <f t="shared" si="91"/>
        <v>0</v>
      </c>
      <c r="P171" s="72" t="s">
        <v>123</v>
      </c>
      <c r="Q171" s="44">
        <f t="shared" si="79"/>
        <v>292314.57736836642</v>
      </c>
      <c r="R171" s="44">
        <f t="shared" si="85"/>
        <v>1536.7738151018036</v>
      </c>
      <c r="S171" s="44">
        <f t="shared" si="80"/>
        <v>2244.2261848981962</v>
      </c>
      <c r="T171" s="44">
        <f t="shared" si="81"/>
        <v>0</v>
      </c>
      <c r="U171" s="43">
        <f t="shared" si="92"/>
        <v>290070.35118346824</v>
      </c>
      <c r="W171" s="72" t="s">
        <v>123</v>
      </c>
      <c r="X171" s="44">
        <f t="shared" si="102"/>
        <v>325036.93938365637</v>
      </c>
      <c r="Y171" s="44">
        <f t="shared" si="86"/>
        <v>1708.8037889953375</v>
      </c>
      <c r="Z171" s="44">
        <f t="shared" si="103"/>
        <v>1175.1962110046625</v>
      </c>
      <c r="AA171" s="44">
        <f t="shared" si="104"/>
        <v>0</v>
      </c>
      <c r="AB171" s="43">
        <f t="shared" si="93"/>
        <v>323861.74317265168</v>
      </c>
      <c r="AD171" s="72" t="s">
        <v>123</v>
      </c>
      <c r="AE171" s="44">
        <f t="shared" si="105"/>
        <v>640080.42768108717</v>
      </c>
      <c r="AF171" s="44">
        <f t="shared" si="87"/>
        <v>3441.1775979139652</v>
      </c>
      <c r="AG171" s="44">
        <f t="shared" si="106"/>
        <v>2600.8224020860348</v>
      </c>
      <c r="AH171" s="44">
        <f t="shared" si="107"/>
        <v>0</v>
      </c>
      <c r="AI171" s="43">
        <f t="shared" si="94"/>
        <v>637479.60527900117</v>
      </c>
      <c r="AK171" s="101">
        <f t="shared" si="114"/>
        <v>2040</v>
      </c>
      <c r="AL171" s="101">
        <f t="shared" si="88"/>
        <v>1</v>
      </c>
      <c r="AM171" s="118">
        <f t="shared" si="108"/>
        <v>10902.421879340936</v>
      </c>
      <c r="AN171" s="100">
        <f t="shared" si="109"/>
        <v>11980.427414113252</v>
      </c>
      <c r="AO171" s="100">
        <f t="shared" si="110"/>
        <v>24157.731842931986</v>
      </c>
      <c r="AP171" s="100">
        <f t="shared" si="111"/>
        <v>22882.849293454186</v>
      </c>
      <c r="AQ171" s="1">
        <f t="shared" si="112"/>
        <v>46655</v>
      </c>
      <c r="AR171" s="100">
        <f t="shared" si="95"/>
        <v>613932.09435611987</v>
      </c>
      <c r="AS171" s="100">
        <f t="shared" si="96"/>
        <v>47040.581136386172</v>
      </c>
      <c r="AT171" s="100">
        <f t="shared" si="113"/>
        <v>41908.418863613828</v>
      </c>
      <c r="AU171" s="1">
        <f t="shared" si="97"/>
        <v>88949</v>
      </c>
      <c r="AV171" s="100">
        <f t="shared" si="98"/>
        <v>1251411.699635121</v>
      </c>
    </row>
    <row r="172" spans="4:48">
      <c r="D172" s="39">
        <f t="shared" si="99"/>
        <v>164</v>
      </c>
      <c r="E172" s="40">
        <f t="shared" si="78"/>
        <v>2040</v>
      </c>
      <c r="F172" s="35">
        <f t="shared" si="82"/>
        <v>51195</v>
      </c>
      <c r="G172" s="36">
        <f t="shared" si="84"/>
        <v>2</v>
      </c>
      <c r="H172" s="41">
        <f t="shared" si="83"/>
        <v>29</v>
      </c>
      <c r="I172" s="37" t="s">
        <v>123</v>
      </c>
      <c r="J172" s="27">
        <f t="shared" si="100"/>
        <v>0</v>
      </c>
      <c r="K172" s="27">
        <f t="shared" si="89"/>
        <v>0</v>
      </c>
      <c r="L172" s="27">
        <f t="shared" si="101"/>
        <v>0</v>
      </c>
      <c r="M172" s="27">
        <f t="shared" si="90"/>
        <v>0</v>
      </c>
      <c r="N172" s="27">
        <f t="shared" si="91"/>
        <v>0</v>
      </c>
      <c r="P172" s="72" t="s">
        <v>123</v>
      </c>
      <c r="Q172" s="44">
        <f t="shared" si="79"/>
        <v>290070.35118346824</v>
      </c>
      <c r="R172" s="44">
        <f t="shared" si="85"/>
        <v>1426.5898285190242</v>
      </c>
      <c r="S172" s="44">
        <f t="shared" si="80"/>
        <v>2354.4101714809758</v>
      </c>
      <c r="T172" s="44">
        <f t="shared" si="81"/>
        <v>0</v>
      </c>
      <c r="U172" s="43">
        <f t="shared" si="92"/>
        <v>287715.94101198728</v>
      </c>
      <c r="W172" s="72" t="s">
        <v>123</v>
      </c>
      <c r="X172" s="44">
        <f t="shared" si="102"/>
        <v>323861.74317265168</v>
      </c>
      <c r="Y172" s="44">
        <f t="shared" si="86"/>
        <v>1592.7786716965122</v>
      </c>
      <c r="Z172" s="44">
        <f t="shared" si="103"/>
        <v>1291.2213283034878</v>
      </c>
      <c r="AA172" s="44">
        <f t="shared" si="104"/>
        <v>0</v>
      </c>
      <c r="AB172" s="43">
        <f t="shared" si="93"/>
        <v>322570.52184434817</v>
      </c>
      <c r="AD172" s="72" t="s">
        <v>123</v>
      </c>
      <c r="AE172" s="44">
        <f t="shared" si="105"/>
        <v>637479.60527900117</v>
      </c>
      <c r="AF172" s="44">
        <f t="shared" si="87"/>
        <v>3206.0857846867461</v>
      </c>
      <c r="AG172" s="44">
        <f t="shared" si="106"/>
        <v>2835.9142153132539</v>
      </c>
      <c r="AH172" s="44">
        <f t="shared" si="107"/>
        <v>0</v>
      </c>
      <c r="AI172" s="43">
        <f t="shared" si="94"/>
        <v>634643.6910636879</v>
      </c>
      <c r="AK172" s="101">
        <f t="shared" si="114"/>
        <v>2040</v>
      </c>
      <c r="AL172" s="101">
        <f t="shared" si="88"/>
        <v>2</v>
      </c>
      <c r="AM172" s="118">
        <f t="shared" si="108"/>
        <v>12329.011707859961</v>
      </c>
      <c r="AN172" s="100">
        <f t="shared" si="109"/>
        <v>13573.206085809765</v>
      </c>
      <c r="AO172" s="100">
        <f t="shared" si="110"/>
        <v>27363.817627618733</v>
      </c>
      <c r="AP172" s="100">
        <f t="shared" si="111"/>
        <v>25902.217793669726</v>
      </c>
      <c r="AQ172" s="1">
        <f t="shared" si="112"/>
        <v>53320</v>
      </c>
      <c r="AR172" s="100">
        <f t="shared" si="95"/>
        <v>610286.46285633545</v>
      </c>
      <c r="AS172" s="100">
        <f t="shared" si="96"/>
        <v>53266.035421288456</v>
      </c>
      <c r="AT172" s="100">
        <f t="shared" si="113"/>
        <v>48389.964578711544</v>
      </c>
      <c r="AU172" s="1">
        <f t="shared" si="97"/>
        <v>101656</v>
      </c>
      <c r="AV172" s="100">
        <f t="shared" si="98"/>
        <v>1244930.1539200232</v>
      </c>
    </row>
    <row r="173" spans="4:48">
      <c r="D173" s="39">
        <f t="shared" si="99"/>
        <v>165</v>
      </c>
      <c r="E173" s="40">
        <f t="shared" ref="E173:E236" si="115">IF(MONTH(EDATE($E$5,D173))&lt;7,YEAR(EDATE($E$5,D173)),YEAR(EDATE($E$5,D173))+1)</f>
        <v>2040</v>
      </c>
      <c r="F173" s="35">
        <f t="shared" si="82"/>
        <v>51225</v>
      </c>
      <c r="G173" s="36">
        <f t="shared" si="84"/>
        <v>3</v>
      </c>
      <c r="H173" s="41">
        <f t="shared" si="83"/>
        <v>31</v>
      </c>
      <c r="I173" s="37" t="s">
        <v>123</v>
      </c>
      <c r="J173" s="27">
        <f t="shared" si="100"/>
        <v>0</v>
      </c>
      <c r="K173" s="27">
        <f t="shared" si="89"/>
        <v>0</v>
      </c>
      <c r="L173" s="27">
        <f t="shared" si="101"/>
        <v>0</v>
      </c>
      <c r="M173" s="27">
        <f t="shared" si="90"/>
        <v>0</v>
      </c>
      <c r="N173" s="27">
        <f t="shared" si="91"/>
        <v>0</v>
      </c>
      <c r="P173" s="72" t="s">
        <v>123</v>
      </c>
      <c r="Q173" s="44">
        <f t="shared" ref="Q173:Q236" si="116">IF(P173="PI",IF(U172&lt;=0,0,U172),(IF(P173="IO",Q172,"")))*IF(U172&lt;=0,0,1)</f>
        <v>287715.94101198728</v>
      </c>
      <c r="R173" s="44">
        <f t="shared" si="85"/>
        <v>1512.5975868709654</v>
      </c>
      <c r="S173" s="44">
        <f t="shared" ref="S173:S236" si="117">IF(P173="IO",0,$R$6-R173)*IF(Q173&gt;0,1,0)</f>
        <v>2268.4024131290344</v>
      </c>
      <c r="T173" s="44">
        <f t="shared" ref="T173:T236" si="118">IF(P173="IO",$R$6-R173+IF(ISNUMBER(T172),T172,0),IF(ISNUMBER(T172),T172,0))</f>
        <v>0</v>
      </c>
      <c r="U173" s="43">
        <f t="shared" si="92"/>
        <v>285447.53859885823</v>
      </c>
      <c r="W173" s="72" t="s">
        <v>123</v>
      </c>
      <c r="X173" s="44">
        <f t="shared" si="102"/>
        <v>322570.52184434817</v>
      </c>
      <c r="Y173" s="44">
        <f t="shared" si="86"/>
        <v>1695.8371900469033</v>
      </c>
      <c r="Z173" s="44">
        <f t="shared" si="103"/>
        <v>1188.1628099530967</v>
      </c>
      <c r="AA173" s="44">
        <f t="shared" si="104"/>
        <v>0</v>
      </c>
      <c r="AB173" s="43">
        <f t="shared" si="93"/>
        <v>321382.35903439508</v>
      </c>
      <c r="AD173" s="72" t="s">
        <v>123</v>
      </c>
      <c r="AE173" s="44">
        <f t="shared" si="105"/>
        <v>634643.6910636879</v>
      </c>
      <c r="AF173" s="44">
        <f t="shared" si="87"/>
        <v>3411.9488081486975</v>
      </c>
      <c r="AG173" s="44">
        <f t="shared" si="106"/>
        <v>2630.0511918513025</v>
      </c>
      <c r="AH173" s="44">
        <f t="shared" si="107"/>
        <v>0</v>
      </c>
      <c r="AI173" s="43">
        <f t="shared" si="94"/>
        <v>632013.63987183664</v>
      </c>
      <c r="AK173" s="101">
        <f t="shared" si="114"/>
        <v>2040</v>
      </c>
      <c r="AL173" s="101">
        <f t="shared" si="88"/>
        <v>3</v>
      </c>
      <c r="AM173" s="118">
        <f t="shared" si="108"/>
        <v>13841.609294730926</v>
      </c>
      <c r="AN173" s="100">
        <f t="shared" si="109"/>
        <v>15269.043275856668</v>
      </c>
      <c r="AO173" s="100">
        <f t="shared" si="110"/>
        <v>30775.766435767429</v>
      </c>
      <c r="AP173" s="100">
        <f t="shared" si="111"/>
        <v>29110.652570587594</v>
      </c>
      <c r="AQ173" s="1">
        <f t="shared" si="112"/>
        <v>59985</v>
      </c>
      <c r="AR173" s="100">
        <f t="shared" si="95"/>
        <v>606829.89763325336</v>
      </c>
      <c r="AS173" s="100">
        <f t="shared" si="96"/>
        <v>59886.41900635502</v>
      </c>
      <c r="AT173" s="100">
        <f t="shared" si="113"/>
        <v>54476.580993644973</v>
      </c>
      <c r="AU173" s="1">
        <f t="shared" si="97"/>
        <v>114363</v>
      </c>
      <c r="AV173" s="100">
        <f t="shared" si="98"/>
        <v>1238843.53750509</v>
      </c>
    </row>
    <row r="174" spans="4:48">
      <c r="D174" s="39">
        <f t="shared" si="99"/>
        <v>166</v>
      </c>
      <c r="E174" s="40">
        <f t="shared" si="115"/>
        <v>2040</v>
      </c>
      <c r="F174" s="35">
        <f t="shared" si="82"/>
        <v>51256</v>
      </c>
      <c r="G174" s="36">
        <f t="shared" si="84"/>
        <v>4</v>
      </c>
      <c r="H174" s="41">
        <f t="shared" si="83"/>
        <v>30</v>
      </c>
      <c r="I174" s="37" t="s">
        <v>123</v>
      </c>
      <c r="J174" s="27">
        <f t="shared" si="100"/>
        <v>0</v>
      </c>
      <c r="K174" s="27">
        <f t="shared" si="89"/>
        <v>0</v>
      </c>
      <c r="L174" s="27">
        <f t="shared" si="101"/>
        <v>0</v>
      </c>
      <c r="M174" s="27">
        <f t="shared" si="90"/>
        <v>0</v>
      </c>
      <c r="N174" s="27">
        <f t="shared" si="91"/>
        <v>0</v>
      </c>
      <c r="P174" s="72" t="s">
        <v>123</v>
      </c>
      <c r="Q174" s="44">
        <f t="shared" si="116"/>
        <v>285447.53859885823</v>
      </c>
      <c r="R174" s="44">
        <f t="shared" si="85"/>
        <v>1452.2632306248756</v>
      </c>
      <c r="S174" s="44">
        <f t="shared" si="117"/>
        <v>2328.7367693751244</v>
      </c>
      <c r="T174" s="44">
        <f t="shared" si="118"/>
        <v>0</v>
      </c>
      <c r="U174" s="43">
        <f t="shared" si="92"/>
        <v>283118.80182948313</v>
      </c>
      <c r="W174" s="72" t="s">
        <v>123</v>
      </c>
      <c r="X174" s="44">
        <f t="shared" si="102"/>
        <v>321382.35903439508</v>
      </c>
      <c r="Y174" s="44">
        <f t="shared" si="86"/>
        <v>1635.0877828133468</v>
      </c>
      <c r="Z174" s="44">
        <f t="shared" si="103"/>
        <v>1248.9122171866532</v>
      </c>
      <c r="AA174" s="44">
        <f t="shared" si="104"/>
        <v>0</v>
      </c>
      <c r="AB174" s="43">
        <f t="shared" si="93"/>
        <v>320133.44681720843</v>
      </c>
      <c r="AD174" s="72" t="s">
        <v>123</v>
      </c>
      <c r="AE174" s="44">
        <f t="shared" si="105"/>
        <v>632013.63987183664</v>
      </c>
      <c r="AF174" s="44">
        <f t="shared" si="87"/>
        <v>3288.2024715523767</v>
      </c>
      <c r="AG174" s="44">
        <f t="shared" si="106"/>
        <v>2753.7975284476233</v>
      </c>
      <c r="AH174" s="44">
        <f t="shared" si="107"/>
        <v>0</v>
      </c>
      <c r="AI174" s="43">
        <f t="shared" si="94"/>
        <v>629259.84234338906</v>
      </c>
      <c r="AK174" s="101">
        <f t="shared" si="114"/>
        <v>2040</v>
      </c>
      <c r="AL174" s="101">
        <f t="shared" si="88"/>
        <v>4</v>
      </c>
      <c r="AM174" s="118">
        <f t="shared" si="108"/>
        <v>15293.872525355802</v>
      </c>
      <c r="AN174" s="100">
        <f t="shared" si="109"/>
        <v>16904.131058670013</v>
      </c>
      <c r="AO174" s="100">
        <f t="shared" si="110"/>
        <v>34063.96890731981</v>
      </c>
      <c r="AP174" s="100">
        <f t="shared" si="111"/>
        <v>32198.003584025813</v>
      </c>
      <c r="AQ174" s="1">
        <f t="shared" si="112"/>
        <v>66650</v>
      </c>
      <c r="AR174" s="100">
        <f t="shared" si="95"/>
        <v>603252.24864669156</v>
      </c>
      <c r="AS174" s="100">
        <f t="shared" si="96"/>
        <v>66261.97249134563</v>
      </c>
      <c r="AT174" s="100">
        <f t="shared" si="113"/>
        <v>60808.02750865437</v>
      </c>
      <c r="AU174" s="1">
        <f t="shared" si="97"/>
        <v>127070</v>
      </c>
      <c r="AV174" s="100">
        <f t="shared" si="98"/>
        <v>1232512.0909900805</v>
      </c>
    </row>
    <row r="175" spans="4:48">
      <c r="D175" s="39">
        <f t="shared" si="99"/>
        <v>167</v>
      </c>
      <c r="E175" s="40">
        <f t="shared" si="115"/>
        <v>2040</v>
      </c>
      <c r="F175" s="35">
        <f t="shared" si="82"/>
        <v>51286</v>
      </c>
      <c r="G175" s="36">
        <f t="shared" si="84"/>
        <v>5</v>
      </c>
      <c r="H175" s="41">
        <f t="shared" si="83"/>
        <v>31</v>
      </c>
      <c r="I175" s="37" t="s">
        <v>123</v>
      </c>
      <c r="J175" s="27">
        <f t="shared" si="100"/>
        <v>0</v>
      </c>
      <c r="K175" s="27">
        <f t="shared" si="89"/>
        <v>0</v>
      </c>
      <c r="L175" s="27">
        <f t="shared" si="101"/>
        <v>0</v>
      </c>
      <c r="M175" s="27">
        <f t="shared" si="90"/>
        <v>0</v>
      </c>
      <c r="N175" s="27">
        <f t="shared" si="91"/>
        <v>0</v>
      </c>
      <c r="P175" s="72" t="s">
        <v>123</v>
      </c>
      <c r="Q175" s="44">
        <f t="shared" si="116"/>
        <v>283118.80182948313</v>
      </c>
      <c r="R175" s="44">
        <f t="shared" si="85"/>
        <v>1488.4292296728634</v>
      </c>
      <c r="S175" s="44">
        <f t="shared" si="117"/>
        <v>2292.5707703271364</v>
      </c>
      <c r="T175" s="44">
        <f t="shared" si="118"/>
        <v>0</v>
      </c>
      <c r="U175" s="43">
        <f t="shared" si="92"/>
        <v>280826.23105915601</v>
      </c>
      <c r="W175" s="72" t="s">
        <v>123</v>
      </c>
      <c r="X175" s="44">
        <f t="shared" si="102"/>
        <v>320133.44681720843</v>
      </c>
      <c r="Y175" s="44">
        <f t="shared" si="86"/>
        <v>1683.0248523220307</v>
      </c>
      <c r="Z175" s="44">
        <f t="shared" si="103"/>
        <v>1200.9751476779693</v>
      </c>
      <c r="AA175" s="44">
        <f t="shared" si="104"/>
        <v>0</v>
      </c>
      <c r="AB175" s="43">
        <f t="shared" si="93"/>
        <v>318932.47166953044</v>
      </c>
      <c r="AD175" s="72" t="s">
        <v>123</v>
      </c>
      <c r="AE175" s="44">
        <f t="shared" si="105"/>
        <v>629259.84234338906</v>
      </c>
      <c r="AF175" s="44">
        <f t="shared" si="87"/>
        <v>3383.0043524121429</v>
      </c>
      <c r="AG175" s="44">
        <f t="shared" si="106"/>
        <v>2658.9956475878571</v>
      </c>
      <c r="AH175" s="44">
        <f t="shared" si="107"/>
        <v>0</v>
      </c>
      <c r="AI175" s="43">
        <f t="shared" si="94"/>
        <v>626600.84669580124</v>
      </c>
      <c r="AK175" s="101">
        <f t="shared" si="114"/>
        <v>2040</v>
      </c>
      <c r="AL175" s="101">
        <f t="shared" si="88"/>
        <v>5</v>
      </c>
      <c r="AM175" s="118">
        <f t="shared" si="108"/>
        <v>16782.301755028664</v>
      </c>
      <c r="AN175" s="100">
        <f t="shared" si="109"/>
        <v>18587.155910992042</v>
      </c>
      <c r="AO175" s="100">
        <f t="shared" si="110"/>
        <v>37446.973259731953</v>
      </c>
      <c r="AP175" s="100">
        <f t="shared" si="111"/>
        <v>35369.457666020709</v>
      </c>
      <c r="AQ175" s="1">
        <f t="shared" si="112"/>
        <v>73315</v>
      </c>
      <c r="AR175" s="100">
        <f t="shared" si="95"/>
        <v>599758.70272868639</v>
      </c>
      <c r="AS175" s="100">
        <f t="shared" si="96"/>
        <v>72816.430925752662</v>
      </c>
      <c r="AT175" s="100">
        <f t="shared" si="113"/>
        <v>66960.569074247323</v>
      </c>
      <c r="AU175" s="1">
        <f t="shared" si="97"/>
        <v>139777</v>
      </c>
      <c r="AV175" s="100">
        <f t="shared" si="98"/>
        <v>1226359.5494244876</v>
      </c>
    </row>
    <row r="176" spans="4:48">
      <c r="D176" s="39">
        <f t="shared" si="99"/>
        <v>168</v>
      </c>
      <c r="E176" s="40">
        <f t="shared" si="115"/>
        <v>2040</v>
      </c>
      <c r="F176" s="35">
        <f t="shared" si="82"/>
        <v>51317</v>
      </c>
      <c r="G176" s="36">
        <f t="shared" si="84"/>
        <v>6</v>
      </c>
      <c r="H176" s="41">
        <f t="shared" si="83"/>
        <v>30</v>
      </c>
      <c r="I176" s="37" t="s">
        <v>123</v>
      </c>
      <c r="J176" s="27">
        <f t="shared" si="100"/>
        <v>0</v>
      </c>
      <c r="K176" s="27">
        <f t="shared" si="89"/>
        <v>0</v>
      </c>
      <c r="L176" s="27">
        <f t="shared" si="101"/>
        <v>0</v>
      </c>
      <c r="M176" s="27">
        <f t="shared" si="90"/>
        <v>0</v>
      </c>
      <c r="N176" s="27">
        <f t="shared" si="91"/>
        <v>0</v>
      </c>
      <c r="P176" s="72" t="s">
        <v>123</v>
      </c>
      <c r="Q176" s="44">
        <f t="shared" si="116"/>
        <v>280826.23105915601</v>
      </c>
      <c r="R176" s="44">
        <f t="shared" si="85"/>
        <v>1428.7515371968566</v>
      </c>
      <c r="S176" s="44">
        <f t="shared" si="117"/>
        <v>2352.2484628031434</v>
      </c>
      <c r="T176" s="44">
        <f t="shared" si="118"/>
        <v>0</v>
      </c>
      <c r="U176" s="43">
        <f t="shared" si="92"/>
        <v>278473.98259635287</v>
      </c>
      <c r="W176" s="72" t="s">
        <v>123</v>
      </c>
      <c r="X176" s="44">
        <f t="shared" si="102"/>
        <v>318932.47166953044</v>
      </c>
      <c r="Y176" s="44">
        <f t="shared" si="86"/>
        <v>1622.6235613433369</v>
      </c>
      <c r="Z176" s="44">
        <f t="shared" si="103"/>
        <v>1261.3764386566631</v>
      </c>
      <c r="AA176" s="44">
        <f t="shared" si="104"/>
        <v>0</v>
      </c>
      <c r="AB176" s="43">
        <f t="shared" si="93"/>
        <v>317671.09523087379</v>
      </c>
      <c r="AD176" s="72" t="s">
        <v>123</v>
      </c>
      <c r="AE176" s="44">
        <f t="shared" si="105"/>
        <v>626600.84669580124</v>
      </c>
      <c r="AF176" s="44">
        <f t="shared" si="87"/>
        <v>3260.0411174666478</v>
      </c>
      <c r="AG176" s="44">
        <f t="shared" si="106"/>
        <v>2781.9588825333522</v>
      </c>
      <c r="AH176" s="44">
        <f t="shared" si="107"/>
        <v>0</v>
      </c>
      <c r="AI176" s="43">
        <f t="shared" si="94"/>
        <v>623818.88781326788</v>
      </c>
      <c r="AK176" s="101">
        <f t="shared" si="114"/>
        <v>2040</v>
      </c>
      <c r="AL176" s="101">
        <f t="shared" si="88"/>
        <v>6</v>
      </c>
      <c r="AM176" s="118">
        <f t="shared" si="108"/>
        <v>18211.053292225522</v>
      </c>
      <c r="AN176" s="100">
        <f t="shared" si="109"/>
        <v>20209.77947233538</v>
      </c>
      <c r="AO176" s="100">
        <f t="shared" si="110"/>
        <v>40707.014377198604</v>
      </c>
      <c r="AP176" s="100">
        <f t="shared" si="111"/>
        <v>38420.832764560902</v>
      </c>
      <c r="AQ176" s="1">
        <f t="shared" si="112"/>
        <v>79980</v>
      </c>
      <c r="AR176" s="100">
        <f t="shared" si="95"/>
        <v>596145.0778272266</v>
      </c>
      <c r="AS176" s="100">
        <f t="shared" si="96"/>
        <v>79127.847141759499</v>
      </c>
      <c r="AT176" s="100">
        <f t="shared" si="113"/>
        <v>73356.152858240472</v>
      </c>
      <c r="AU176" s="1">
        <f t="shared" si="97"/>
        <v>152483.99999999997</v>
      </c>
      <c r="AV176" s="100">
        <f t="shared" si="98"/>
        <v>1219963.9656404946</v>
      </c>
    </row>
    <row r="177" spans="4:48">
      <c r="D177" s="39">
        <f t="shared" si="99"/>
        <v>169</v>
      </c>
      <c r="E177" s="40">
        <f t="shared" si="115"/>
        <v>2041</v>
      </c>
      <c r="F177" s="35">
        <f t="shared" si="82"/>
        <v>51347</v>
      </c>
      <c r="G177" s="36">
        <f t="shared" si="84"/>
        <v>7</v>
      </c>
      <c r="H177" s="41">
        <f t="shared" si="83"/>
        <v>31</v>
      </c>
      <c r="I177" s="37" t="s">
        <v>123</v>
      </c>
      <c r="J177" s="27">
        <f t="shared" si="100"/>
        <v>0</v>
      </c>
      <c r="K177" s="27">
        <f t="shared" si="89"/>
        <v>0</v>
      </c>
      <c r="L177" s="27">
        <f t="shared" si="101"/>
        <v>0</v>
      </c>
      <c r="M177" s="27">
        <f t="shared" si="90"/>
        <v>0</v>
      </c>
      <c r="N177" s="27">
        <f t="shared" si="91"/>
        <v>0</v>
      </c>
      <c r="P177" s="72" t="s">
        <v>123</v>
      </c>
      <c r="Q177" s="44">
        <f t="shared" si="116"/>
        <v>278473.98259635287</v>
      </c>
      <c r="R177" s="44">
        <f t="shared" si="85"/>
        <v>1464.0102060387439</v>
      </c>
      <c r="S177" s="44">
        <f t="shared" si="117"/>
        <v>2316.9897939612561</v>
      </c>
      <c r="T177" s="44">
        <f t="shared" si="118"/>
        <v>0</v>
      </c>
      <c r="U177" s="43">
        <f t="shared" si="92"/>
        <v>276156.99280239164</v>
      </c>
      <c r="W177" s="72" t="s">
        <v>123</v>
      </c>
      <c r="X177" s="44">
        <f t="shared" si="102"/>
        <v>317671.09523087379</v>
      </c>
      <c r="Y177" s="44">
        <f t="shared" si="86"/>
        <v>1670.0796291466402</v>
      </c>
      <c r="Z177" s="44">
        <f t="shared" si="103"/>
        <v>1213.9203708533598</v>
      </c>
      <c r="AA177" s="44">
        <f t="shared" si="104"/>
        <v>0</v>
      </c>
      <c r="AB177" s="43">
        <f t="shared" si="93"/>
        <v>316457.17486002046</v>
      </c>
      <c r="AD177" s="72" t="s">
        <v>123</v>
      </c>
      <c r="AE177" s="44">
        <f t="shared" si="105"/>
        <v>623818.88781326788</v>
      </c>
      <c r="AF177" s="44">
        <f t="shared" si="87"/>
        <v>3353.7528864547276</v>
      </c>
      <c r="AG177" s="44">
        <f t="shared" si="106"/>
        <v>2688.2471135452724</v>
      </c>
      <c r="AH177" s="44">
        <f t="shared" si="107"/>
        <v>0</v>
      </c>
      <c r="AI177" s="43">
        <f t="shared" si="94"/>
        <v>621130.64069972257</v>
      </c>
      <c r="AK177" s="101">
        <f t="shared" si="114"/>
        <v>2041</v>
      </c>
      <c r="AL177" s="101">
        <f t="shared" si="88"/>
        <v>7</v>
      </c>
      <c r="AM177" s="118">
        <f t="shared" si="108"/>
        <v>1464.0102060387439</v>
      </c>
      <c r="AN177" s="100">
        <f t="shared" si="109"/>
        <v>1670.0796291466402</v>
      </c>
      <c r="AO177" s="100">
        <f t="shared" si="110"/>
        <v>3353.7528864547276</v>
      </c>
      <c r="AP177" s="100">
        <f t="shared" si="111"/>
        <v>3134.0898351853839</v>
      </c>
      <c r="AQ177" s="1">
        <f t="shared" si="112"/>
        <v>6665</v>
      </c>
      <c r="AR177" s="100">
        <f t="shared" si="95"/>
        <v>592614.16766241216</v>
      </c>
      <c r="AS177" s="100">
        <f t="shared" si="96"/>
        <v>6487.8427216401114</v>
      </c>
      <c r="AT177" s="100">
        <f t="shared" si="113"/>
        <v>6219.1572783598886</v>
      </c>
      <c r="AU177" s="1">
        <f t="shared" si="97"/>
        <v>12707</v>
      </c>
      <c r="AV177" s="100">
        <f t="shared" si="98"/>
        <v>1213744.8083621347</v>
      </c>
    </row>
    <row r="178" spans="4:48">
      <c r="D178" s="39">
        <f t="shared" si="99"/>
        <v>170</v>
      </c>
      <c r="E178" s="40">
        <f t="shared" si="115"/>
        <v>2041</v>
      </c>
      <c r="F178" s="35">
        <f t="shared" si="82"/>
        <v>51378</v>
      </c>
      <c r="G178" s="36">
        <f t="shared" si="84"/>
        <v>8</v>
      </c>
      <c r="H178" s="41">
        <f t="shared" si="83"/>
        <v>31</v>
      </c>
      <c r="I178" s="37" t="s">
        <v>123</v>
      </c>
      <c r="J178" s="27">
        <f t="shared" si="100"/>
        <v>0</v>
      </c>
      <c r="K178" s="27">
        <f t="shared" si="89"/>
        <v>0</v>
      </c>
      <c r="L178" s="27">
        <f t="shared" si="101"/>
        <v>0</v>
      </c>
      <c r="M178" s="27">
        <f t="shared" si="90"/>
        <v>0</v>
      </c>
      <c r="N178" s="27">
        <f t="shared" si="91"/>
        <v>0</v>
      </c>
      <c r="P178" s="72" t="s">
        <v>123</v>
      </c>
      <c r="Q178" s="44">
        <f t="shared" si="116"/>
        <v>276156.99280239164</v>
      </c>
      <c r="R178" s="44">
        <f t="shared" si="85"/>
        <v>1451.8291876397514</v>
      </c>
      <c r="S178" s="44">
        <f t="shared" si="117"/>
        <v>2329.1708123602484</v>
      </c>
      <c r="T178" s="44">
        <f t="shared" si="118"/>
        <v>0</v>
      </c>
      <c r="U178" s="43">
        <f t="shared" si="92"/>
        <v>273827.8219900314</v>
      </c>
      <c r="W178" s="72" t="s">
        <v>123</v>
      </c>
      <c r="X178" s="44">
        <f t="shared" si="102"/>
        <v>316457.17486002046</v>
      </c>
      <c r="Y178" s="44">
        <f t="shared" si="86"/>
        <v>1663.6977338051868</v>
      </c>
      <c r="Z178" s="44">
        <f t="shared" si="103"/>
        <v>1220.3022661948132</v>
      </c>
      <c r="AA178" s="44">
        <f t="shared" si="104"/>
        <v>0</v>
      </c>
      <c r="AB178" s="43">
        <f t="shared" si="93"/>
        <v>315236.87259382562</v>
      </c>
      <c r="AD178" s="72" t="s">
        <v>123</v>
      </c>
      <c r="AE178" s="44">
        <f t="shared" si="105"/>
        <v>621130.64069972257</v>
      </c>
      <c r="AF178" s="44">
        <f t="shared" si="87"/>
        <v>3339.3004280686728</v>
      </c>
      <c r="AG178" s="44">
        <f t="shared" si="106"/>
        <v>2702.6995719313272</v>
      </c>
      <c r="AH178" s="44">
        <f t="shared" si="107"/>
        <v>0</v>
      </c>
      <c r="AI178" s="43">
        <f t="shared" si="94"/>
        <v>618427.9411277913</v>
      </c>
      <c r="AK178" s="101">
        <f t="shared" si="114"/>
        <v>2041</v>
      </c>
      <c r="AL178" s="101">
        <f t="shared" si="88"/>
        <v>8</v>
      </c>
      <c r="AM178" s="118">
        <f t="shared" si="108"/>
        <v>2915.8393936784951</v>
      </c>
      <c r="AN178" s="100">
        <f t="shared" si="109"/>
        <v>3333.7773629518269</v>
      </c>
      <c r="AO178" s="100">
        <f t="shared" si="110"/>
        <v>6693.0533145234003</v>
      </c>
      <c r="AP178" s="100">
        <f t="shared" si="111"/>
        <v>6249.616756630322</v>
      </c>
      <c r="AQ178" s="1">
        <f t="shared" si="112"/>
        <v>13330</v>
      </c>
      <c r="AR178" s="100">
        <f t="shared" si="95"/>
        <v>589064.69458385697</v>
      </c>
      <c r="AS178" s="100">
        <f t="shared" si="96"/>
        <v>12942.670071153723</v>
      </c>
      <c r="AT178" s="100">
        <f t="shared" si="113"/>
        <v>12471.329928846277</v>
      </c>
      <c r="AU178" s="1">
        <f t="shared" si="97"/>
        <v>25414</v>
      </c>
      <c r="AV178" s="100">
        <f t="shared" si="98"/>
        <v>1207492.6357116483</v>
      </c>
    </row>
    <row r="179" spans="4:48">
      <c r="D179" s="39">
        <f t="shared" si="99"/>
        <v>171</v>
      </c>
      <c r="E179" s="40">
        <f t="shared" si="115"/>
        <v>2041</v>
      </c>
      <c r="F179" s="35">
        <f t="shared" ref="F179:F242" si="119">EDATE($E$5,D179)</f>
        <v>51409</v>
      </c>
      <c r="G179" s="36">
        <f t="shared" si="84"/>
        <v>9</v>
      </c>
      <c r="H179" s="41">
        <f t="shared" ref="H179:H242" si="120">DAY(EOMONTH(F179,0))</f>
        <v>30</v>
      </c>
      <c r="I179" s="37" t="s">
        <v>123</v>
      </c>
      <c r="J179" s="27">
        <f t="shared" si="100"/>
        <v>0</v>
      </c>
      <c r="K179" s="27">
        <f t="shared" si="89"/>
        <v>0</v>
      </c>
      <c r="L179" s="27">
        <f t="shared" si="101"/>
        <v>0</v>
      </c>
      <c r="M179" s="27">
        <f t="shared" si="90"/>
        <v>0</v>
      </c>
      <c r="N179" s="27">
        <f t="shared" si="91"/>
        <v>0</v>
      </c>
      <c r="P179" s="72" t="s">
        <v>123</v>
      </c>
      <c r="Q179" s="44">
        <f t="shared" si="116"/>
        <v>273827.8219900314</v>
      </c>
      <c r="R179" s="44">
        <f t="shared" si="85"/>
        <v>1393.1459326999679</v>
      </c>
      <c r="S179" s="44">
        <f t="shared" si="117"/>
        <v>2387.8540673000321</v>
      </c>
      <c r="T179" s="44">
        <f t="shared" si="118"/>
        <v>0</v>
      </c>
      <c r="U179" s="43">
        <f t="shared" si="92"/>
        <v>271439.96792273136</v>
      </c>
      <c r="W179" s="72" t="s">
        <v>123</v>
      </c>
      <c r="X179" s="44">
        <f t="shared" si="102"/>
        <v>315236.87259382562</v>
      </c>
      <c r="Y179" s="44">
        <f t="shared" si="86"/>
        <v>1603.8215682376278</v>
      </c>
      <c r="Z179" s="44">
        <f t="shared" si="103"/>
        <v>1280.1784317623722</v>
      </c>
      <c r="AA179" s="44">
        <f t="shared" si="104"/>
        <v>0</v>
      </c>
      <c r="AB179" s="43">
        <f t="shared" si="93"/>
        <v>313956.69416206324</v>
      </c>
      <c r="AD179" s="72" t="s">
        <v>123</v>
      </c>
      <c r="AE179" s="44">
        <f t="shared" si="105"/>
        <v>618427.9411277913</v>
      </c>
      <c r="AF179" s="44">
        <f t="shared" si="87"/>
        <v>3217.5196169908918</v>
      </c>
      <c r="AG179" s="44">
        <f t="shared" si="106"/>
        <v>2824.4803830091082</v>
      </c>
      <c r="AH179" s="44">
        <f t="shared" si="107"/>
        <v>0</v>
      </c>
      <c r="AI179" s="43">
        <f t="shared" si="94"/>
        <v>615603.46074478223</v>
      </c>
      <c r="AK179" s="101">
        <f t="shared" si="114"/>
        <v>2041</v>
      </c>
      <c r="AL179" s="101">
        <f t="shared" si="88"/>
        <v>9</v>
      </c>
      <c r="AM179" s="118">
        <f t="shared" si="108"/>
        <v>4308.9853263784626</v>
      </c>
      <c r="AN179" s="100">
        <f t="shared" si="109"/>
        <v>4937.5989311894546</v>
      </c>
      <c r="AO179" s="100">
        <f t="shared" si="110"/>
        <v>9910.5729315142926</v>
      </c>
      <c r="AP179" s="100">
        <f t="shared" si="111"/>
        <v>9246.5842575679162</v>
      </c>
      <c r="AQ179" s="1">
        <f t="shared" si="112"/>
        <v>19995</v>
      </c>
      <c r="AR179" s="100">
        <f t="shared" si="95"/>
        <v>585396.6620847946</v>
      </c>
      <c r="AS179" s="100">
        <f t="shared" si="96"/>
        <v>19157.157189082209</v>
      </c>
      <c r="AT179" s="100">
        <f t="shared" si="113"/>
        <v>18963.842810917788</v>
      </c>
      <c r="AU179" s="1">
        <f t="shared" si="97"/>
        <v>38121</v>
      </c>
      <c r="AV179" s="100">
        <f t="shared" si="98"/>
        <v>1201000.122829577</v>
      </c>
    </row>
    <row r="180" spans="4:48">
      <c r="D180" s="39">
        <f t="shared" si="99"/>
        <v>172</v>
      </c>
      <c r="E180" s="40">
        <f t="shared" si="115"/>
        <v>2041</v>
      </c>
      <c r="F180" s="35">
        <f t="shared" si="119"/>
        <v>51439</v>
      </c>
      <c r="G180" s="36">
        <f t="shared" si="84"/>
        <v>10</v>
      </c>
      <c r="H180" s="41">
        <f t="shared" si="120"/>
        <v>31</v>
      </c>
      <c r="I180" s="37" t="s">
        <v>123</v>
      </c>
      <c r="J180" s="27">
        <f t="shared" si="100"/>
        <v>0</v>
      </c>
      <c r="K180" s="27">
        <f t="shared" si="89"/>
        <v>0</v>
      </c>
      <c r="L180" s="27">
        <f t="shared" si="101"/>
        <v>0</v>
      </c>
      <c r="M180" s="27">
        <f t="shared" si="90"/>
        <v>0</v>
      </c>
      <c r="N180" s="27">
        <f t="shared" si="91"/>
        <v>0</v>
      </c>
      <c r="P180" s="72" t="s">
        <v>123</v>
      </c>
      <c r="Q180" s="44">
        <f t="shared" si="116"/>
        <v>271439.96792273136</v>
      </c>
      <c r="R180" s="44">
        <f t="shared" si="85"/>
        <v>1427.0305601285734</v>
      </c>
      <c r="S180" s="44">
        <f t="shared" si="117"/>
        <v>2353.9694398714264</v>
      </c>
      <c r="T180" s="44">
        <f t="shared" si="118"/>
        <v>0</v>
      </c>
      <c r="U180" s="43">
        <f t="shared" si="92"/>
        <v>269085.99848285993</v>
      </c>
      <c r="W180" s="72" t="s">
        <v>123</v>
      </c>
      <c r="X180" s="44">
        <f t="shared" si="102"/>
        <v>313956.69416206324</v>
      </c>
      <c r="Y180" s="44">
        <f t="shared" si="86"/>
        <v>1650.552055965981</v>
      </c>
      <c r="Z180" s="44">
        <f t="shared" si="103"/>
        <v>1233.447944034019</v>
      </c>
      <c r="AA180" s="44">
        <f t="shared" si="104"/>
        <v>0</v>
      </c>
      <c r="AB180" s="43">
        <f t="shared" si="93"/>
        <v>312723.24621802924</v>
      </c>
      <c r="AD180" s="72" t="s">
        <v>123</v>
      </c>
      <c r="AE180" s="44">
        <f t="shared" si="105"/>
        <v>615603.46074478223</v>
      </c>
      <c r="AF180" s="44">
        <f t="shared" si="87"/>
        <v>3309.5854000533868</v>
      </c>
      <c r="AG180" s="44">
        <f t="shared" si="106"/>
        <v>2732.4145999466132</v>
      </c>
      <c r="AH180" s="44">
        <f t="shared" si="107"/>
        <v>0</v>
      </c>
      <c r="AI180" s="43">
        <f t="shared" si="94"/>
        <v>612871.04614483565</v>
      </c>
      <c r="AK180" s="101">
        <f t="shared" si="114"/>
        <v>2041</v>
      </c>
      <c r="AL180" s="101">
        <f t="shared" si="88"/>
        <v>10</v>
      </c>
      <c r="AM180" s="118">
        <f t="shared" si="108"/>
        <v>5736.0158865070362</v>
      </c>
      <c r="AN180" s="100">
        <f t="shared" si="109"/>
        <v>6588.1509871554354</v>
      </c>
      <c r="AO180" s="100">
        <f t="shared" si="110"/>
        <v>13220.15833156768</v>
      </c>
      <c r="AP180" s="100">
        <f t="shared" si="111"/>
        <v>12324.166873662471</v>
      </c>
      <c r="AQ180" s="1">
        <f t="shared" si="112"/>
        <v>26660</v>
      </c>
      <c r="AR180" s="100">
        <f t="shared" si="95"/>
        <v>581809.2447008891</v>
      </c>
      <c r="AS180" s="100">
        <f t="shared" si="96"/>
        <v>25544.32520523015</v>
      </c>
      <c r="AT180" s="100">
        <f t="shared" si="113"/>
        <v>25283.674794769846</v>
      </c>
      <c r="AU180" s="1">
        <f t="shared" si="97"/>
        <v>50828</v>
      </c>
      <c r="AV180" s="100">
        <f t="shared" si="98"/>
        <v>1194680.2908457248</v>
      </c>
    </row>
    <row r="181" spans="4:48">
      <c r="D181" s="39">
        <f t="shared" si="99"/>
        <v>173</v>
      </c>
      <c r="E181" s="40">
        <f t="shared" si="115"/>
        <v>2041</v>
      </c>
      <c r="F181" s="35">
        <f t="shared" si="119"/>
        <v>51470</v>
      </c>
      <c r="G181" s="36">
        <f t="shared" si="84"/>
        <v>11</v>
      </c>
      <c r="H181" s="41">
        <f t="shared" si="120"/>
        <v>30</v>
      </c>
      <c r="I181" s="37" t="s">
        <v>123</v>
      </c>
      <c r="J181" s="27">
        <f t="shared" si="100"/>
        <v>0</v>
      </c>
      <c r="K181" s="27">
        <f t="shared" si="89"/>
        <v>0</v>
      </c>
      <c r="L181" s="27">
        <f t="shared" si="101"/>
        <v>0</v>
      </c>
      <c r="M181" s="27">
        <f t="shared" si="90"/>
        <v>0</v>
      </c>
      <c r="N181" s="27">
        <f t="shared" si="91"/>
        <v>0</v>
      </c>
      <c r="P181" s="72" t="s">
        <v>123</v>
      </c>
      <c r="Q181" s="44">
        <f t="shared" si="116"/>
        <v>269085.99848285993</v>
      </c>
      <c r="R181" s="44">
        <f t="shared" si="85"/>
        <v>1369.021093651153</v>
      </c>
      <c r="S181" s="44">
        <f t="shared" si="117"/>
        <v>2411.978906348847</v>
      </c>
      <c r="T181" s="44">
        <f t="shared" si="118"/>
        <v>0</v>
      </c>
      <c r="U181" s="43">
        <f t="shared" si="92"/>
        <v>266674.01957651105</v>
      </c>
      <c r="W181" s="72" t="s">
        <v>123</v>
      </c>
      <c r="X181" s="44">
        <f t="shared" si="102"/>
        <v>312723.24621802924</v>
      </c>
      <c r="Y181" s="44">
        <f t="shared" si="86"/>
        <v>1591.0330636352883</v>
      </c>
      <c r="Z181" s="44">
        <f t="shared" si="103"/>
        <v>1292.9669363647117</v>
      </c>
      <c r="AA181" s="44">
        <f t="shared" si="104"/>
        <v>0</v>
      </c>
      <c r="AB181" s="43">
        <f t="shared" si="93"/>
        <v>311430.27928166452</v>
      </c>
      <c r="AD181" s="72" t="s">
        <v>123</v>
      </c>
      <c r="AE181" s="44">
        <f t="shared" si="105"/>
        <v>612871.04614483565</v>
      </c>
      <c r="AF181" s="44">
        <f t="shared" si="87"/>
        <v>3188.6085387097064</v>
      </c>
      <c r="AG181" s="44">
        <f t="shared" si="106"/>
        <v>2853.3914612902936</v>
      </c>
      <c r="AH181" s="44">
        <f t="shared" si="107"/>
        <v>0</v>
      </c>
      <c r="AI181" s="43">
        <f t="shared" si="94"/>
        <v>610017.65468354535</v>
      </c>
      <c r="AK181" s="101">
        <f t="shared" si="114"/>
        <v>2041</v>
      </c>
      <c r="AL181" s="101">
        <f t="shared" si="88"/>
        <v>11</v>
      </c>
      <c r="AM181" s="118">
        <f t="shared" si="108"/>
        <v>7105.0369801581892</v>
      </c>
      <c r="AN181" s="100">
        <f t="shared" si="109"/>
        <v>8179.1840507907236</v>
      </c>
      <c r="AO181" s="100">
        <f t="shared" si="110"/>
        <v>16408.766870277388</v>
      </c>
      <c r="AP181" s="100">
        <f t="shared" si="111"/>
        <v>15284.221030948913</v>
      </c>
      <c r="AQ181" s="1">
        <f t="shared" si="112"/>
        <v>33325</v>
      </c>
      <c r="AR181" s="100">
        <f t="shared" si="95"/>
        <v>578104.29885817552</v>
      </c>
      <c r="AS181" s="100">
        <f t="shared" si="96"/>
        <v>31692.987901226301</v>
      </c>
      <c r="AT181" s="100">
        <f t="shared" si="113"/>
        <v>31842.012098773695</v>
      </c>
      <c r="AU181" s="1">
        <f t="shared" si="97"/>
        <v>63535</v>
      </c>
      <c r="AV181" s="100">
        <f t="shared" si="98"/>
        <v>1188121.9535417208</v>
      </c>
    </row>
    <row r="182" spans="4:48">
      <c r="D182" s="39">
        <f t="shared" si="99"/>
        <v>174</v>
      </c>
      <c r="E182" s="40">
        <f t="shared" si="115"/>
        <v>2041</v>
      </c>
      <c r="F182" s="35">
        <f t="shared" si="119"/>
        <v>51500</v>
      </c>
      <c r="G182" s="36">
        <f t="shared" si="84"/>
        <v>12</v>
      </c>
      <c r="H182" s="41">
        <f t="shared" si="120"/>
        <v>31</v>
      </c>
      <c r="I182" s="37" t="s">
        <v>123</v>
      </c>
      <c r="J182" s="27">
        <f t="shared" si="100"/>
        <v>0</v>
      </c>
      <c r="K182" s="27">
        <f t="shared" si="89"/>
        <v>0</v>
      </c>
      <c r="L182" s="27">
        <f t="shared" si="101"/>
        <v>0</v>
      </c>
      <c r="M182" s="27">
        <f t="shared" si="90"/>
        <v>0</v>
      </c>
      <c r="N182" s="27">
        <f t="shared" si="91"/>
        <v>0</v>
      </c>
      <c r="P182" s="72" t="s">
        <v>123</v>
      </c>
      <c r="Q182" s="44">
        <f t="shared" si="116"/>
        <v>266674.01957651105</v>
      </c>
      <c r="R182" s="44">
        <f t="shared" si="85"/>
        <v>1401.9747292201835</v>
      </c>
      <c r="S182" s="44">
        <f t="shared" si="117"/>
        <v>2379.0252707798163</v>
      </c>
      <c r="T182" s="44">
        <f t="shared" si="118"/>
        <v>0</v>
      </c>
      <c r="U182" s="43">
        <f t="shared" si="92"/>
        <v>264294.99430573126</v>
      </c>
      <c r="W182" s="72" t="s">
        <v>123</v>
      </c>
      <c r="X182" s="44">
        <f t="shared" si="102"/>
        <v>311430.27928166452</v>
      </c>
      <c r="Y182" s="44">
        <f t="shared" si="86"/>
        <v>1637.2700353796877</v>
      </c>
      <c r="Z182" s="44">
        <f t="shared" si="103"/>
        <v>1246.7299646203123</v>
      </c>
      <c r="AA182" s="44">
        <f t="shared" si="104"/>
        <v>0</v>
      </c>
      <c r="AB182" s="43">
        <f t="shared" si="93"/>
        <v>310183.54931704421</v>
      </c>
      <c r="AD182" s="72" t="s">
        <v>123</v>
      </c>
      <c r="AE182" s="44">
        <f t="shared" si="105"/>
        <v>610017.65468354535</v>
      </c>
      <c r="AF182" s="44">
        <f t="shared" si="87"/>
        <v>3279.5551884534821</v>
      </c>
      <c r="AG182" s="44">
        <f t="shared" si="106"/>
        <v>2762.4448115465179</v>
      </c>
      <c r="AH182" s="44">
        <f t="shared" si="107"/>
        <v>0</v>
      </c>
      <c r="AI182" s="43">
        <f t="shared" si="94"/>
        <v>607255.20987199887</v>
      </c>
      <c r="AK182" s="101">
        <f t="shared" si="114"/>
        <v>2041</v>
      </c>
      <c r="AL182" s="101">
        <f t="shared" si="88"/>
        <v>12</v>
      </c>
      <c r="AM182" s="118">
        <f t="shared" si="108"/>
        <v>8507.011709378372</v>
      </c>
      <c r="AN182" s="100">
        <f t="shared" si="109"/>
        <v>9816.4540861704118</v>
      </c>
      <c r="AO182" s="100">
        <f t="shared" si="110"/>
        <v>19688.322058730872</v>
      </c>
      <c r="AP182" s="100">
        <f t="shared" si="111"/>
        <v>18323.465795548786</v>
      </c>
      <c r="AQ182" s="1">
        <f t="shared" si="112"/>
        <v>39990</v>
      </c>
      <c r="AR182" s="100">
        <f t="shared" si="95"/>
        <v>574478.54362277547</v>
      </c>
      <c r="AS182" s="100">
        <f t="shared" si="96"/>
        <v>38011.787854279653</v>
      </c>
      <c r="AT182" s="100">
        <f t="shared" si="113"/>
        <v>38230.212145720339</v>
      </c>
      <c r="AU182" s="1">
        <f t="shared" si="97"/>
        <v>76242</v>
      </c>
      <c r="AV182" s="100">
        <f t="shared" si="98"/>
        <v>1181733.7534947745</v>
      </c>
    </row>
    <row r="183" spans="4:48">
      <c r="D183" s="39">
        <f t="shared" si="99"/>
        <v>175</v>
      </c>
      <c r="E183" s="40">
        <f t="shared" si="115"/>
        <v>2041</v>
      </c>
      <c r="F183" s="35">
        <f t="shared" si="119"/>
        <v>51531</v>
      </c>
      <c r="G183" s="36">
        <f t="shared" si="84"/>
        <v>1</v>
      </c>
      <c r="H183" s="41">
        <f t="shared" si="120"/>
        <v>31</v>
      </c>
      <c r="I183" s="37" t="s">
        <v>123</v>
      </c>
      <c r="J183" s="27">
        <f t="shared" si="100"/>
        <v>0</v>
      </c>
      <c r="K183" s="27">
        <f t="shared" si="89"/>
        <v>0</v>
      </c>
      <c r="L183" s="27">
        <f t="shared" si="101"/>
        <v>0</v>
      </c>
      <c r="M183" s="27">
        <f t="shared" si="90"/>
        <v>0</v>
      </c>
      <c r="N183" s="27">
        <f t="shared" si="91"/>
        <v>0</v>
      </c>
      <c r="P183" s="72" t="s">
        <v>123</v>
      </c>
      <c r="Q183" s="44">
        <f t="shared" si="116"/>
        <v>264294.99430573126</v>
      </c>
      <c r="R183" s="44">
        <f t="shared" si="85"/>
        <v>1389.4675741733363</v>
      </c>
      <c r="S183" s="44">
        <f t="shared" si="117"/>
        <v>2391.5324258266637</v>
      </c>
      <c r="T183" s="44">
        <f t="shared" si="118"/>
        <v>0</v>
      </c>
      <c r="U183" s="43">
        <f t="shared" si="92"/>
        <v>261903.46187990461</v>
      </c>
      <c r="W183" s="72" t="s">
        <v>123</v>
      </c>
      <c r="X183" s="44">
        <f t="shared" si="102"/>
        <v>310183.54931704421</v>
      </c>
      <c r="Y183" s="44">
        <f t="shared" si="86"/>
        <v>1630.7156514643182</v>
      </c>
      <c r="Z183" s="44">
        <f t="shared" si="103"/>
        <v>1253.2843485356818</v>
      </c>
      <c r="AA183" s="44">
        <f t="shared" si="104"/>
        <v>0</v>
      </c>
      <c r="AB183" s="43">
        <f t="shared" si="93"/>
        <v>308930.26496850851</v>
      </c>
      <c r="AD183" s="72" t="s">
        <v>123</v>
      </c>
      <c r="AE183" s="44">
        <f t="shared" si="105"/>
        <v>607255.20987199887</v>
      </c>
      <c r="AF183" s="44">
        <f t="shared" si="87"/>
        <v>3264.7038310460907</v>
      </c>
      <c r="AG183" s="44">
        <f t="shared" si="106"/>
        <v>2777.2961689539093</v>
      </c>
      <c r="AH183" s="44">
        <f t="shared" si="107"/>
        <v>0</v>
      </c>
      <c r="AI183" s="43">
        <f t="shared" si="94"/>
        <v>604477.91370304499</v>
      </c>
      <c r="AK183" s="101">
        <f t="shared" si="114"/>
        <v>2041</v>
      </c>
      <c r="AL183" s="101">
        <f t="shared" si="88"/>
        <v>1</v>
      </c>
      <c r="AM183" s="118">
        <f t="shared" si="108"/>
        <v>9896.4792835517073</v>
      </c>
      <c r="AN183" s="100">
        <f t="shared" si="109"/>
        <v>11447.169737634729</v>
      </c>
      <c r="AO183" s="100">
        <f t="shared" si="110"/>
        <v>22953.025889776964</v>
      </c>
      <c r="AP183" s="100">
        <f t="shared" si="111"/>
        <v>21343.649021186437</v>
      </c>
      <c r="AQ183" s="1">
        <f t="shared" si="112"/>
        <v>46655</v>
      </c>
      <c r="AR183" s="100">
        <f t="shared" si="95"/>
        <v>570833.72684841312</v>
      </c>
      <c r="AS183" s="100">
        <f t="shared" si="96"/>
        <v>44296.674910963397</v>
      </c>
      <c r="AT183" s="100">
        <f t="shared" si="113"/>
        <v>44652.325089036589</v>
      </c>
      <c r="AU183" s="1">
        <f t="shared" si="97"/>
        <v>88948.999999999985</v>
      </c>
      <c r="AV183" s="100">
        <f t="shared" si="98"/>
        <v>1175311.6405514581</v>
      </c>
    </row>
    <row r="184" spans="4:48">
      <c r="D184" s="39">
        <f t="shared" si="99"/>
        <v>176</v>
      </c>
      <c r="E184" s="40">
        <f t="shared" si="115"/>
        <v>2041</v>
      </c>
      <c r="F184" s="35">
        <f t="shared" si="119"/>
        <v>51560</v>
      </c>
      <c r="G184" s="36">
        <f t="shared" si="84"/>
        <v>2</v>
      </c>
      <c r="H184" s="41">
        <f t="shared" si="120"/>
        <v>28</v>
      </c>
      <c r="I184" s="37" t="s">
        <v>123</v>
      </c>
      <c r="J184" s="27">
        <f t="shared" si="100"/>
        <v>0</v>
      </c>
      <c r="K184" s="27">
        <f t="shared" si="89"/>
        <v>0</v>
      </c>
      <c r="L184" s="27">
        <f t="shared" si="101"/>
        <v>0</v>
      </c>
      <c r="M184" s="27">
        <f t="shared" si="90"/>
        <v>0</v>
      </c>
      <c r="N184" s="27">
        <f t="shared" si="91"/>
        <v>0</v>
      </c>
      <c r="P184" s="72" t="s">
        <v>123</v>
      </c>
      <c r="Q184" s="44">
        <f t="shared" si="116"/>
        <v>261903.46187990461</v>
      </c>
      <c r="R184" s="44">
        <f t="shared" si="85"/>
        <v>1243.6467948773989</v>
      </c>
      <c r="S184" s="44">
        <f t="shared" si="117"/>
        <v>2537.3532051226011</v>
      </c>
      <c r="T184" s="44">
        <f t="shared" si="118"/>
        <v>0</v>
      </c>
      <c r="U184" s="43">
        <f t="shared" si="92"/>
        <v>259366.10867478204</v>
      </c>
      <c r="W184" s="72" t="s">
        <v>123</v>
      </c>
      <c r="X184" s="44">
        <f t="shared" si="102"/>
        <v>308930.26496850851</v>
      </c>
      <c r="Y184" s="44">
        <f t="shared" si="86"/>
        <v>1466.9532472422434</v>
      </c>
      <c r="Z184" s="44">
        <f t="shared" si="103"/>
        <v>1417.0467527577566</v>
      </c>
      <c r="AA184" s="44">
        <f t="shared" si="104"/>
        <v>0</v>
      </c>
      <c r="AB184" s="43">
        <f t="shared" si="93"/>
        <v>307513.21821575076</v>
      </c>
      <c r="AD184" s="72" t="s">
        <v>123</v>
      </c>
      <c r="AE184" s="44">
        <f t="shared" si="105"/>
        <v>604477.91370304499</v>
      </c>
      <c r="AF184" s="44">
        <f t="shared" si="87"/>
        <v>2935.2785047870598</v>
      </c>
      <c r="AG184" s="44">
        <f t="shared" si="106"/>
        <v>3106.7214952129402</v>
      </c>
      <c r="AH184" s="44">
        <f t="shared" si="107"/>
        <v>0</v>
      </c>
      <c r="AI184" s="43">
        <f t="shared" si="94"/>
        <v>601371.19220783201</v>
      </c>
      <c r="AK184" s="101">
        <f t="shared" si="114"/>
        <v>2041</v>
      </c>
      <c r="AL184" s="101">
        <f t="shared" si="88"/>
        <v>2</v>
      </c>
      <c r="AM184" s="118">
        <f t="shared" si="108"/>
        <v>11140.126078429106</v>
      </c>
      <c r="AN184" s="100">
        <f t="shared" si="109"/>
        <v>12914.122984876973</v>
      </c>
      <c r="AO184" s="100">
        <f t="shared" si="110"/>
        <v>25888.304394564024</v>
      </c>
      <c r="AP184" s="100">
        <f t="shared" si="111"/>
        <v>24054.249063306081</v>
      </c>
      <c r="AQ184" s="1">
        <f t="shared" si="112"/>
        <v>53320</v>
      </c>
      <c r="AR184" s="100">
        <f t="shared" si="95"/>
        <v>566879.32689053286</v>
      </c>
      <c r="AS184" s="100">
        <f t="shared" si="96"/>
        <v>49942.553457870104</v>
      </c>
      <c r="AT184" s="100">
        <f t="shared" si="113"/>
        <v>51713.446542129888</v>
      </c>
      <c r="AU184" s="1">
        <f t="shared" si="97"/>
        <v>101656</v>
      </c>
      <c r="AV184" s="100">
        <f t="shared" si="98"/>
        <v>1168250.5190983647</v>
      </c>
    </row>
    <row r="185" spans="4:48">
      <c r="D185" s="39">
        <f t="shared" si="99"/>
        <v>177</v>
      </c>
      <c r="E185" s="40">
        <f t="shared" si="115"/>
        <v>2041</v>
      </c>
      <c r="F185" s="35">
        <f t="shared" si="119"/>
        <v>51590</v>
      </c>
      <c r="G185" s="36">
        <f t="shared" si="84"/>
        <v>3</v>
      </c>
      <c r="H185" s="41">
        <f t="shared" si="120"/>
        <v>31</v>
      </c>
      <c r="I185" s="37" t="s">
        <v>123</v>
      </c>
      <c r="J185" s="27">
        <f t="shared" si="100"/>
        <v>0</v>
      </c>
      <c r="K185" s="27">
        <f t="shared" si="89"/>
        <v>0</v>
      </c>
      <c r="L185" s="27">
        <f t="shared" si="101"/>
        <v>0</v>
      </c>
      <c r="M185" s="27">
        <f t="shared" si="90"/>
        <v>0</v>
      </c>
      <c r="N185" s="27">
        <f t="shared" si="91"/>
        <v>0</v>
      </c>
      <c r="P185" s="72" t="s">
        <v>123</v>
      </c>
      <c r="Q185" s="44">
        <f t="shared" si="116"/>
        <v>259366.10867478204</v>
      </c>
      <c r="R185" s="44">
        <f t="shared" si="85"/>
        <v>1363.5551395507923</v>
      </c>
      <c r="S185" s="44">
        <f t="shared" si="117"/>
        <v>2417.4448604492077</v>
      </c>
      <c r="T185" s="44">
        <f t="shared" si="118"/>
        <v>0</v>
      </c>
      <c r="U185" s="43">
        <f t="shared" si="92"/>
        <v>256948.66381433283</v>
      </c>
      <c r="W185" s="72" t="s">
        <v>123</v>
      </c>
      <c r="X185" s="44">
        <f t="shared" si="102"/>
        <v>307513.21821575076</v>
      </c>
      <c r="Y185" s="44">
        <f t="shared" si="86"/>
        <v>1616.6770258471345</v>
      </c>
      <c r="Z185" s="44">
        <f t="shared" si="103"/>
        <v>1267.3229741528655</v>
      </c>
      <c r="AA185" s="44">
        <f t="shared" si="104"/>
        <v>0</v>
      </c>
      <c r="AB185" s="43">
        <f t="shared" si="93"/>
        <v>306245.8952415979</v>
      </c>
      <c r="AD185" s="72" t="s">
        <v>123</v>
      </c>
      <c r="AE185" s="44">
        <f t="shared" si="105"/>
        <v>601371.19220783201</v>
      </c>
      <c r="AF185" s="44">
        <f t="shared" si="87"/>
        <v>3233.0703848477497</v>
      </c>
      <c r="AG185" s="44">
        <f t="shared" si="106"/>
        <v>2808.9296151522503</v>
      </c>
      <c r="AH185" s="44">
        <f t="shared" si="107"/>
        <v>0</v>
      </c>
      <c r="AI185" s="43">
        <f t="shared" si="94"/>
        <v>598562.2625926797</v>
      </c>
      <c r="AK185" s="101">
        <f t="shared" si="114"/>
        <v>2041</v>
      </c>
      <c r="AL185" s="101">
        <f t="shared" si="88"/>
        <v>3</v>
      </c>
      <c r="AM185" s="118">
        <f t="shared" si="108"/>
        <v>12503.681217979898</v>
      </c>
      <c r="AN185" s="100">
        <f t="shared" si="109"/>
        <v>14530.800010724108</v>
      </c>
      <c r="AO185" s="100">
        <f t="shared" si="110"/>
        <v>29121.374779411773</v>
      </c>
      <c r="AP185" s="100">
        <f t="shared" si="111"/>
        <v>27034.481228704004</v>
      </c>
      <c r="AQ185" s="1">
        <f t="shared" si="112"/>
        <v>59985</v>
      </c>
      <c r="AR185" s="100">
        <f t="shared" si="95"/>
        <v>563194.5590559307</v>
      </c>
      <c r="AS185" s="100">
        <f t="shared" si="96"/>
        <v>56155.856008115778</v>
      </c>
      <c r="AT185" s="100">
        <f t="shared" si="113"/>
        <v>58207.143991884208</v>
      </c>
      <c r="AU185" s="1">
        <f t="shared" si="97"/>
        <v>114362.99999999999</v>
      </c>
      <c r="AV185" s="100">
        <f t="shared" si="98"/>
        <v>1161756.8216486103</v>
      </c>
    </row>
    <row r="186" spans="4:48">
      <c r="D186" s="39">
        <f t="shared" si="99"/>
        <v>178</v>
      </c>
      <c r="E186" s="40">
        <f t="shared" si="115"/>
        <v>2041</v>
      </c>
      <c r="F186" s="35">
        <f t="shared" si="119"/>
        <v>51621</v>
      </c>
      <c r="G186" s="36">
        <f t="shared" si="84"/>
        <v>4</v>
      </c>
      <c r="H186" s="41">
        <f t="shared" si="120"/>
        <v>30</v>
      </c>
      <c r="I186" s="37" t="s">
        <v>123</v>
      </c>
      <c r="J186" s="27">
        <f t="shared" si="100"/>
        <v>0</v>
      </c>
      <c r="K186" s="27">
        <f t="shared" si="89"/>
        <v>0</v>
      </c>
      <c r="L186" s="27">
        <f t="shared" si="101"/>
        <v>0</v>
      </c>
      <c r="M186" s="27">
        <f t="shared" si="90"/>
        <v>0</v>
      </c>
      <c r="N186" s="27">
        <f t="shared" si="91"/>
        <v>0</v>
      </c>
      <c r="P186" s="72" t="s">
        <v>123</v>
      </c>
      <c r="Q186" s="44">
        <f t="shared" si="116"/>
        <v>256948.66381433283</v>
      </c>
      <c r="R186" s="44">
        <f t="shared" si="85"/>
        <v>1307.2703252142906</v>
      </c>
      <c r="S186" s="44">
        <f t="shared" si="117"/>
        <v>2473.7296747857094</v>
      </c>
      <c r="T186" s="44">
        <f t="shared" si="118"/>
        <v>0</v>
      </c>
      <c r="U186" s="43">
        <f t="shared" si="92"/>
        <v>254474.93413954711</v>
      </c>
      <c r="W186" s="72" t="s">
        <v>123</v>
      </c>
      <c r="X186" s="44">
        <f t="shared" si="102"/>
        <v>306245.8952415979</v>
      </c>
      <c r="Y186" s="44">
        <f t="shared" si="86"/>
        <v>1558.078431407253</v>
      </c>
      <c r="Z186" s="44">
        <f t="shared" si="103"/>
        <v>1325.921568592747</v>
      </c>
      <c r="AA186" s="44">
        <f t="shared" si="104"/>
        <v>0</v>
      </c>
      <c r="AB186" s="43">
        <f t="shared" si="93"/>
        <v>304919.97367300518</v>
      </c>
      <c r="AD186" s="72" t="s">
        <v>123</v>
      </c>
      <c r="AE186" s="44">
        <f t="shared" si="105"/>
        <v>598562.2625926797</v>
      </c>
      <c r="AF186" s="44">
        <f t="shared" si="87"/>
        <v>3114.163662091777</v>
      </c>
      <c r="AG186" s="44">
        <f t="shared" si="106"/>
        <v>2927.836337908223</v>
      </c>
      <c r="AH186" s="44">
        <f t="shared" si="107"/>
        <v>0</v>
      </c>
      <c r="AI186" s="43">
        <f t="shared" si="94"/>
        <v>595634.42625477153</v>
      </c>
      <c r="AK186" s="101">
        <f t="shared" si="114"/>
        <v>2041</v>
      </c>
      <c r="AL186" s="101">
        <f t="shared" si="88"/>
        <v>4</v>
      </c>
      <c r="AM186" s="118">
        <f t="shared" si="108"/>
        <v>13810.951543194189</v>
      </c>
      <c r="AN186" s="100">
        <f t="shared" si="109"/>
        <v>16088.878442131361</v>
      </c>
      <c r="AO186" s="100">
        <f t="shared" si="110"/>
        <v>32235.538441503551</v>
      </c>
      <c r="AP186" s="100">
        <f t="shared" si="111"/>
        <v>29899.829985325552</v>
      </c>
      <c r="AQ186" s="1">
        <f t="shared" si="112"/>
        <v>66650</v>
      </c>
      <c r="AR186" s="100">
        <f t="shared" si="95"/>
        <v>559394.90781255229</v>
      </c>
      <c r="AS186" s="100">
        <f t="shared" si="96"/>
        <v>62135.368426829104</v>
      </c>
      <c r="AT186" s="100">
        <f t="shared" si="113"/>
        <v>64934.631573170889</v>
      </c>
      <c r="AU186" s="1">
        <f t="shared" si="97"/>
        <v>127070</v>
      </c>
      <c r="AV186" s="100">
        <f t="shared" si="98"/>
        <v>1155029.3340673237</v>
      </c>
    </row>
    <row r="187" spans="4:48">
      <c r="D187" s="39">
        <f t="shared" si="99"/>
        <v>179</v>
      </c>
      <c r="E187" s="40">
        <f t="shared" si="115"/>
        <v>2041</v>
      </c>
      <c r="F187" s="35">
        <f t="shared" si="119"/>
        <v>51651</v>
      </c>
      <c r="G187" s="36">
        <f t="shared" si="84"/>
        <v>5</v>
      </c>
      <c r="H187" s="41">
        <f t="shared" si="120"/>
        <v>31</v>
      </c>
      <c r="I187" s="37" t="s">
        <v>123</v>
      </c>
      <c r="J187" s="27">
        <f t="shared" si="100"/>
        <v>0</v>
      </c>
      <c r="K187" s="27">
        <f t="shared" si="89"/>
        <v>0</v>
      </c>
      <c r="L187" s="27">
        <f t="shared" si="101"/>
        <v>0</v>
      </c>
      <c r="M187" s="27">
        <f t="shared" si="90"/>
        <v>0</v>
      </c>
      <c r="N187" s="27">
        <f t="shared" si="91"/>
        <v>0</v>
      </c>
      <c r="P187" s="72" t="s">
        <v>123</v>
      </c>
      <c r="Q187" s="44">
        <f t="shared" si="116"/>
        <v>254474.93413954711</v>
      </c>
      <c r="R187" s="44">
        <f t="shared" si="85"/>
        <v>1337.8409619736353</v>
      </c>
      <c r="S187" s="44">
        <f t="shared" si="117"/>
        <v>2443.1590380263647</v>
      </c>
      <c r="T187" s="44">
        <f t="shared" si="118"/>
        <v>0</v>
      </c>
      <c r="U187" s="43">
        <f t="shared" si="92"/>
        <v>252031.77510152076</v>
      </c>
      <c r="W187" s="72" t="s">
        <v>123</v>
      </c>
      <c r="X187" s="44">
        <f t="shared" si="102"/>
        <v>304919.97367300518</v>
      </c>
      <c r="Y187" s="44">
        <f t="shared" si="86"/>
        <v>1603.0436643318621</v>
      </c>
      <c r="Z187" s="44">
        <f t="shared" si="103"/>
        <v>1280.9563356681379</v>
      </c>
      <c r="AA187" s="44">
        <f t="shared" si="104"/>
        <v>0</v>
      </c>
      <c r="AB187" s="43">
        <f t="shared" si="93"/>
        <v>303639.01733733702</v>
      </c>
      <c r="AD187" s="72" t="s">
        <v>123</v>
      </c>
      <c r="AE187" s="44">
        <f t="shared" si="105"/>
        <v>595634.42625477153</v>
      </c>
      <c r="AF187" s="44">
        <f t="shared" si="87"/>
        <v>3202.2285880540767</v>
      </c>
      <c r="AG187" s="44">
        <f t="shared" si="106"/>
        <v>2839.7714119459233</v>
      </c>
      <c r="AH187" s="44">
        <f t="shared" si="107"/>
        <v>0</v>
      </c>
      <c r="AI187" s="43">
        <f t="shared" si="94"/>
        <v>592794.65484282561</v>
      </c>
      <c r="AK187" s="101">
        <f t="shared" si="114"/>
        <v>2041</v>
      </c>
      <c r="AL187" s="101">
        <f t="shared" si="88"/>
        <v>5</v>
      </c>
      <c r="AM187" s="118">
        <f t="shared" si="108"/>
        <v>15148.792505167825</v>
      </c>
      <c r="AN187" s="100">
        <f t="shared" si="109"/>
        <v>17691.922106463222</v>
      </c>
      <c r="AO187" s="100">
        <f t="shared" si="110"/>
        <v>35437.767029557624</v>
      </c>
      <c r="AP187" s="100">
        <f t="shared" si="111"/>
        <v>32840.714611631047</v>
      </c>
      <c r="AQ187" s="1">
        <f t="shared" si="112"/>
        <v>73315</v>
      </c>
      <c r="AR187" s="100">
        <f t="shared" si="95"/>
        <v>555670.79243885772</v>
      </c>
      <c r="AS187" s="100">
        <f t="shared" si="96"/>
        <v>68278.481641188671</v>
      </c>
      <c r="AT187" s="100">
        <f t="shared" si="113"/>
        <v>71498.518358811314</v>
      </c>
      <c r="AU187" s="1">
        <f t="shared" si="97"/>
        <v>139777</v>
      </c>
      <c r="AV187" s="100">
        <f t="shared" si="98"/>
        <v>1148465.4472816833</v>
      </c>
    </row>
    <row r="188" spans="4:48">
      <c r="D188" s="39">
        <f t="shared" si="99"/>
        <v>180</v>
      </c>
      <c r="E188" s="40">
        <f t="shared" si="115"/>
        <v>2041</v>
      </c>
      <c r="F188" s="35">
        <f t="shared" si="119"/>
        <v>51682</v>
      </c>
      <c r="G188" s="36">
        <f t="shared" si="84"/>
        <v>6</v>
      </c>
      <c r="H188" s="41">
        <f t="shared" si="120"/>
        <v>30</v>
      </c>
      <c r="I188" s="37" t="s">
        <v>123</v>
      </c>
      <c r="J188" s="27">
        <f t="shared" si="100"/>
        <v>0</v>
      </c>
      <c r="K188" s="27">
        <f t="shared" si="89"/>
        <v>0</v>
      </c>
      <c r="L188" s="27">
        <f t="shared" si="101"/>
        <v>0</v>
      </c>
      <c r="M188" s="27">
        <f t="shared" si="90"/>
        <v>0</v>
      </c>
      <c r="N188" s="27">
        <f t="shared" si="91"/>
        <v>0</v>
      </c>
      <c r="P188" s="72" t="s">
        <v>123</v>
      </c>
      <c r="Q188" s="44">
        <f t="shared" si="116"/>
        <v>252031.77510152076</v>
      </c>
      <c r="R188" s="44">
        <f t="shared" si="85"/>
        <v>1282.2548119548603</v>
      </c>
      <c r="S188" s="44">
        <f t="shared" si="117"/>
        <v>2498.7451880451399</v>
      </c>
      <c r="T188" s="44">
        <f t="shared" si="118"/>
        <v>0</v>
      </c>
      <c r="U188" s="43">
        <f t="shared" si="92"/>
        <v>249533.02991347562</v>
      </c>
      <c r="W188" s="72" t="s">
        <v>123</v>
      </c>
      <c r="X188" s="44">
        <f t="shared" si="102"/>
        <v>303639.01733733702</v>
      </c>
      <c r="Y188" s="44">
        <f t="shared" si="86"/>
        <v>1544.8154936861229</v>
      </c>
      <c r="Z188" s="44">
        <f t="shared" si="103"/>
        <v>1339.1845063138771</v>
      </c>
      <c r="AA188" s="44">
        <f t="shared" si="104"/>
        <v>0</v>
      </c>
      <c r="AB188" s="43">
        <f t="shared" si="93"/>
        <v>302299.83283102314</v>
      </c>
      <c r="AD188" s="72" t="s">
        <v>123</v>
      </c>
      <c r="AE188" s="44">
        <f t="shared" si="105"/>
        <v>592794.65484282561</v>
      </c>
      <c r="AF188" s="44">
        <f t="shared" si="87"/>
        <v>3084.1563001274676</v>
      </c>
      <c r="AG188" s="44">
        <f t="shared" si="106"/>
        <v>2957.8436998725324</v>
      </c>
      <c r="AH188" s="44">
        <f t="shared" si="107"/>
        <v>0</v>
      </c>
      <c r="AI188" s="43">
        <f t="shared" si="94"/>
        <v>589836.81114295311</v>
      </c>
      <c r="AK188" s="101">
        <f t="shared" si="114"/>
        <v>2041</v>
      </c>
      <c r="AL188" s="101">
        <f t="shared" si="88"/>
        <v>6</v>
      </c>
      <c r="AM188" s="118">
        <f t="shared" si="108"/>
        <v>16431.047317122684</v>
      </c>
      <c r="AN188" s="100">
        <f t="shared" si="109"/>
        <v>19236.737600149347</v>
      </c>
      <c r="AO188" s="100">
        <f t="shared" si="110"/>
        <v>38521.923329685094</v>
      </c>
      <c r="AP188" s="100">
        <f t="shared" si="111"/>
        <v>35667.784917272031</v>
      </c>
      <c r="AQ188" s="1">
        <f t="shared" si="112"/>
        <v>79980</v>
      </c>
      <c r="AR188" s="100">
        <f t="shared" si="95"/>
        <v>551832.86274449877</v>
      </c>
      <c r="AS188" s="100">
        <f t="shared" si="96"/>
        <v>74189.708246957132</v>
      </c>
      <c r="AT188" s="100">
        <f t="shared" si="113"/>
        <v>78294.291753042868</v>
      </c>
      <c r="AU188" s="1">
        <f t="shared" si="97"/>
        <v>152484</v>
      </c>
      <c r="AV188" s="100">
        <f t="shared" si="98"/>
        <v>1141669.6738874519</v>
      </c>
    </row>
    <row r="189" spans="4:48">
      <c r="D189" s="39">
        <f t="shared" si="99"/>
        <v>181</v>
      </c>
      <c r="E189" s="40">
        <f t="shared" si="115"/>
        <v>2042</v>
      </c>
      <c r="F189" s="35">
        <f t="shared" si="119"/>
        <v>51712</v>
      </c>
      <c r="G189" s="36">
        <f t="shared" si="84"/>
        <v>7</v>
      </c>
      <c r="H189" s="41">
        <f t="shared" si="120"/>
        <v>31</v>
      </c>
      <c r="I189" s="37" t="s">
        <v>123</v>
      </c>
      <c r="J189" s="27">
        <f t="shared" si="100"/>
        <v>0</v>
      </c>
      <c r="K189" s="27">
        <f t="shared" si="89"/>
        <v>0</v>
      </c>
      <c r="L189" s="27">
        <f t="shared" si="101"/>
        <v>0</v>
      </c>
      <c r="M189" s="27">
        <f t="shared" si="90"/>
        <v>0</v>
      </c>
      <c r="N189" s="27">
        <f t="shared" si="91"/>
        <v>0</v>
      </c>
      <c r="P189" s="72" t="s">
        <v>123</v>
      </c>
      <c r="Q189" s="44">
        <f t="shared" si="116"/>
        <v>249533.02991347562</v>
      </c>
      <c r="R189" s="44">
        <f t="shared" si="85"/>
        <v>1311.8600852081327</v>
      </c>
      <c r="S189" s="44">
        <f t="shared" si="117"/>
        <v>2469.1399147918673</v>
      </c>
      <c r="T189" s="44">
        <f t="shared" si="118"/>
        <v>0</v>
      </c>
      <c r="U189" s="43">
        <f t="shared" si="92"/>
        <v>247063.88999868376</v>
      </c>
      <c r="W189" s="72" t="s">
        <v>123</v>
      </c>
      <c r="X189" s="44">
        <f t="shared" si="102"/>
        <v>302299.83283102314</v>
      </c>
      <c r="Y189" s="44">
        <f t="shared" si="86"/>
        <v>1589.2689019710965</v>
      </c>
      <c r="Z189" s="44">
        <f t="shared" si="103"/>
        <v>1294.7310980289035</v>
      </c>
      <c r="AA189" s="44">
        <f t="shared" si="104"/>
        <v>0</v>
      </c>
      <c r="AB189" s="43">
        <f t="shared" si="93"/>
        <v>301005.10173299426</v>
      </c>
      <c r="AD189" s="72" t="s">
        <v>123</v>
      </c>
      <c r="AE189" s="44">
        <f t="shared" si="105"/>
        <v>589836.81114295311</v>
      </c>
      <c r="AF189" s="44">
        <f t="shared" si="87"/>
        <v>3171.05965618032</v>
      </c>
      <c r="AG189" s="44">
        <f t="shared" si="106"/>
        <v>2870.94034381968</v>
      </c>
      <c r="AH189" s="44">
        <f t="shared" si="107"/>
        <v>0</v>
      </c>
      <c r="AI189" s="43">
        <f t="shared" si="94"/>
        <v>586965.87079913344</v>
      </c>
      <c r="AK189" s="101">
        <f t="shared" si="114"/>
        <v>2042</v>
      </c>
      <c r="AL189" s="101">
        <f t="shared" si="88"/>
        <v>7</v>
      </c>
      <c r="AM189" s="118">
        <f t="shared" si="108"/>
        <v>1311.8600852081327</v>
      </c>
      <c r="AN189" s="100">
        <f t="shared" si="109"/>
        <v>1589.2689019710965</v>
      </c>
      <c r="AO189" s="100">
        <f t="shared" si="110"/>
        <v>3171.05965618032</v>
      </c>
      <c r="AP189" s="100">
        <f t="shared" si="111"/>
        <v>2901.1289871792292</v>
      </c>
      <c r="AQ189" s="1">
        <f t="shared" si="112"/>
        <v>6665</v>
      </c>
      <c r="AR189" s="100">
        <f t="shared" si="95"/>
        <v>548068.99173167802</v>
      </c>
      <c r="AS189" s="100">
        <f t="shared" si="96"/>
        <v>6072.1886433595491</v>
      </c>
      <c r="AT189" s="100">
        <f t="shared" si="113"/>
        <v>6634.8113566404509</v>
      </c>
      <c r="AU189" s="1">
        <f t="shared" si="97"/>
        <v>12707</v>
      </c>
      <c r="AV189" s="100">
        <f t="shared" si="98"/>
        <v>1135034.8625308115</v>
      </c>
    </row>
    <row r="190" spans="4:48">
      <c r="D190" s="39">
        <f t="shared" si="99"/>
        <v>182</v>
      </c>
      <c r="E190" s="40">
        <f t="shared" si="115"/>
        <v>2042</v>
      </c>
      <c r="F190" s="35">
        <f t="shared" si="119"/>
        <v>51743</v>
      </c>
      <c r="G190" s="36">
        <f t="shared" si="84"/>
        <v>8</v>
      </c>
      <c r="H190" s="41">
        <f t="shared" si="120"/>
        <v>31</v>
      </c>
      <c r="I190" s="37" t="s">
        <v>123</v>
      </c>
      <c r="J190" s="27">
        <f t="shared" si="100"/>
        <v>0</v>
      </c>
      <c r="K190" s="27">
        <f t="shared" si="89"/>
        <v>0</v>
      </c>
      <c r="L190" s="27">
        <f t="shared" si="101"/>
        <v>0</v>
      </c>
      <c r="M190" s="27">
        <f t="shared" si="90"/>
        <v>0</v>
      </c>
      <c r="N190" s="27">
        <f t="shared" si="91"/>
        <v>0</v>
      </c>
      <c r="P190" s="72" t="s">
        <v>123</v>
      </c>
      <c r="Q190" s="44">
        <f t="shared" si="116"/>
        <v>247063.88999868376</v>
      </c>
      <c r="R190" s="44">
        <f t="shared" si="85"/>
        <v>1298.879174023217</v>
      </c>
      <c r="S190" s="44">
        <f t="shared" si="117"/>
        <v>2482.1208259767827</v>
      </c>
      <c r="T190" s="44">
        <f t="shared" si="118"/>
        <v>0</v>
      </c>
      <c r="U190" s="43">
        <f t="shared" si="92"/>
        <v>244581.76917270699</v>
      </c>
      <c r="W190" s="72" t="s">
        <v>123</v>
      </c>
      <c r="X190" s="44">
        <f t="shared" si="102"/>
        <v>301005.10173299426</v>
      </c>
      <c r="Y190" s="44">
        <f t="shared" si="86"/>
        <v>1582.4621636039524</v>
      </c>
      <c r="Z190" s="44">
        <f t="shared" si="103"/>
        <v>1301.5378363960476</v>
      </c>
      <c r="AA190" s="44">
        <f t="shared" si="104"/>
        <v>0</v>
      </c>
      <c r="AB190" s="43">
        <f t="shared" si="93"/>
        <v>299703.56389659824</v>
      </c>
      <c r="AD190" s="72" t="s">
        <v>123</v>
      </c>
      <c r="AE190" s="44">
        <f t="shared" si="105"/>
        <v>586965.87079913344</v>
      </c>
      <c r="AF190" s="44">
        <f t="shared" si="87"/>
        <v>3155.6250089565465</v>
      </c>
      <c r="AG190" s="44">
        <f t="shared" si="106"/>
        <v>2886.3749910434535</v>
      </c>
      <c r="AH190" s="44">
        <f t="shared" si="107"/>
        <v>0</v>
      </c>
      <c r="AI190" s="43">
        <f t="shared" si="94"/>
        <v>584079.49580808997</v>
      </c>
      <c r="AK190" s="101">
        <f t="shared" si="114"/>
        <v>2042</v>
      </c>
      <c r="AL190" s="101">
        <f t="shared" si="88"/>
        <v>8</v>
      </c>
      <c r="AM190" s="118">
        <f t="shared" si="108"/>
        <v>2610.7392592313499</v>
      </c>
      <c r="AN190" s="100">
        <f t="shared" si="109"/>
        <v>3171.7310655750489</v>
      </c>
      <c r="AO190" s="100">
        <f t="shared" si="110"/>
        <v>6326.6846651368669</v>
      </c>
      <c r="AP190" s="100">
        <f t="shared" si="111"/>
        <v>5782.4703248063988</v>
      </c>
      <c r="AQ190" s="1">
        <f t="shared" si="112"/>
        <v>13330</v>
      </c>
      <c r="AR190" s="100">
        <f t="shared" si="95"/>
        <v>544285.33306930517</v>
      </c>
      <c r="AS190" s="100">
        <f t="shared" si="96"/>
        <v>12109.154989943265</v>
      </c>
      <c r="AT190" s="100">
        <f t="shared" si="113"/>
        <v>13304.845010056735</v>
      </c>
      <c r="AU190" s="1">
        <f t="shared" si="97"/>
        <v>25414</v>
      </c>
      <c r="AV190" s="100">
        <f t="shared" si="98"/>
        <v>1128364.828877395</v>
      </c>
    </row>
    <row r="191" spans="4:48">
      <c r="D191" s="39">
        <f t="shared" si="99"/>
        <v>183</v>
      </c>
      <c r="E191" s="40">
        <f t="shared" si="115"/>
        <v>2042</v>
      </c>
      <c r="F191" s="35">
        <f t="shared" si="119"/>
        <v>51774</v>
      </c>
      <c r="G191" s="36">
        <f t="shared" si="84"/>
        <v>9</v>
      </c>
      <c r="H191" s="41">
        <f t="shared" si="120"/>
        <v>30</v>
      </c>
      <c r="I191" s="37" t="s">
        <v>123</v>
      </c>
      <c r="J191" s="27">
        <f t="shared" si="100"/>
        <v>0</v>
      </c>
      <c r="K191" s="27">
        <f t="shared" si="89"/>
        <v>0</v>
      </c>
      <c r="L191" s="27">
        <f t="shared" si="101"/>
        <v>0</v>
      </c>
      <c r="M191" s="27">
        <f t="shared" si="90"/>
        <v>0</v>
      </c>
      <c r="N191" s="27">
        <f t="shared" si="91"/>
        <v>0</v>
      </c>
      <c r="P191" s="72" t="s">
        <v>123</v>
      </c>
      <c r="Q191" s="44">
        <f t="shared" si="116"/>
        <v>244581.76917270699</v>
      </c>
      <c r="R191" s="44">
        <f t="shared" si="85"/>
        <v>1244.3516311060735</v>
      </c>
      <c r="S191" s="44">
        <f t="shared" si="117"/>
        <v>2536.6483688939265</v>
      </c>
      <c r="T191" s="44">
        <f t="shared" si="118"/>
        <v>0</v>
      </c>
      <c r="U191" s="43">
        <f t="shared" si="92"/>
        <v>242045.12080381307</v>
      </c>
      <c r="W191" s="72" t="s">
        <v>123</v>
      </c>
      <c r="X191" s="44">
        <f t="shared" si="102"/>
        <v>299703.56389659824</v>
      </c>
      <c r="Y191" s="44">
        <f t="shared" si="86"/>
        <v>1524.7932004273503</v>
      </c>
      <c r="Z191" s="44">
        <f t="shared" si="103"/>
        <v>1359.2067995726497</v>
      </c>
      <c r="AA191" s="44">
        <f t="shared" si="104"/>
        <v>0</v>
      </c>
      <c r="AB191" s="43">
        <f t="shared" si="93"/>
        <v>298344.35709702561</v>
      </c>
      <c r="AD191" s="72" t="s">
        <v>123</v>
      </c>
      <c r="AE191" s="44">
        <f t="shared" si="105"/>
        <v>584079.49580808997</v>
      </c>
      <c r="AF191" s="44">
        <f t="shared" si="87"/>
        <v>3038.8135959988022</v>
      </c>
      <c r="AG191" s="44">
        <f t="shared" si="106"/>
        <v>3003.1864040011978</v>
      </c>
      <c r="AH191" s="44">
        <f t="shared" si="107"/>
        <v>0</v>
      </c>
      <c r="AI191" s="43">
        <f t="shared" si="94"/>
        <v>581076.30940408877</v>
      </c>
      <c r="AK191" s="101">
        <f t="shared" si="114"/>
        <v>2042</v>
      </c>
      <c r="AL191" s="101">
        <f t="shared" si="88"/>
        <v>9</v>
      </c>
      <c r="AM191" s="118">
        <f t="shared" si="108"/>
        <v>3855.0908903374234</v>
      </c>
      <c r="AN191" s="100">
        <f t="shared" si="109"/>
        <v>4696.5242660023996</v>
      </c>
      <c r="AO191" s="100">
        <f t="shared" si="110"/>
        <v>9365.4982611356681</v>
      </c>
      <c r="AP191" s="100">
        <f t="shared" si="111"/>
        <v>8551.6151563398234</v>
      </c>
      <c r="AQ191" s="1">
        <f t="shared" si="112"/>
        <v>19995</v>
      </c>
      <c r="AR191" s="100">
        <f t="shared" si="95"/>
        <v>540389.47790083871</v>
      </c>
      <c r="AS191" s="100">
        <f t="shared" si="96"/>
        <v>17917.113417475492</v>
      </c>
      <c r="AT191" s="100">
        <f t="shared" si="113"/>
        <v>20203.886582524508</v>
      </c>
      <c r="AU191" s="1">
        <f t="shared" si="97"/>
        <v>38121</v>
      </c>
      <c r="AV191" s="100">
        <f t="shared" si="98"/>
        <v>1121465.7873049276</v>
      </c>
    </row>
    <row r="192" spans="4:48">
      <c r="D192" s="39">
        <f t="shared" si="99"/>
        <v>184</v>
      </c>
      <c r="E192" s="40">
        <f t="shared" si="115"/>
        <v>2042</v>
      </c>
      <c r="F192" s="35">
        <f t="shared" si="119"/>
        <v>51804</v>
      </c>
      <c r="G192" s="36">
        <f t="shared" si="84"/>
        <v>10</v>
      </c>
      <c r="H192" s="41">
        <f t="shared" si="120"/>
        <v>31</v>
      </c>
      <c r="I192" s="37" t="s">
        <v>123</v>
      </c>
      <c r="J192" s="27">
        <f t="shared" si="100"/>
        <v>0</v>
      </c>
      <c r="K192" s="27">
        <f t="shared" si="89"/>
        <v>0</v>
      </c>
      <c r="L192" s="27">
        <f t="shared" si="101"/>
        <v>0</v>
      </c>
      <c r="M192" s="27">
        <f t="shared" si="90"/>
        <v>0</v>
      </c>
      <c r="N192" s="27">
        <f t="shared" si="91"/>
        <v>0</v>
      </c>
      <c r="P192" s="72" t="s">
        <v>123</v>
      </c>
      <c r="Q192" s="44">
        <f t="shared" si="116"/>
        <v>242045.12080381307</v>
      </c>
      <c r="R192" s="44">
        <f t="shared" si="85"/>
        <v>1272.4941981107859</v>
      </c>
      <c r="S192" s="44">
        <f t="shared" si="117"/>
        <v>2508.5058018892141</v>
      </c>
      <c r="T192" s="44">
        <f t="shared" si="118"/>
        <v>0</v>
      </c>
      <c r="U192" s="43">
        <f t="shared" si="92"/>
        <v>239536.61500192387</v>
      </c>
      <c r="W192" s="72" t="s">
        <v>123</v>
      </c>
      <c r="X192" s="44">
        <f t="shared" si="102"/>
        <v>298344.35709702561</v>
      </c>
      <c r="Y192" s="44">
        <f t="shared" si="86"/>
        <v>1568.4739365300888</v>
      </c>
      <c r="Z192" s="44">
        <f t="shared" si="103"/>
        <v>1315.5260634699112</v>
      </c>
      <c r="AA192" s="44">
        <f t="shared" si="104"/>
        <v>0</v>
      </c>
      <c r="AB192" s="43">
        <f t="shared" si="93"/>
        <v>297028.83103355567</v>
      </c>
      <c r="AD192" s="72" t="s">
        <v>123</v>
      </c>
      <c r="AE192" s="44">
        <f t="shared" si="105"/>
        <v>581076.30940408877</v>
      </c>
      <c r="AF192" s="44">
        <f t="shared" si="87"/>
        <v>3123.9617587497082</v>
      </c>
      <c r="AG192" s="44">
        <f t="shared" si="106"/>
        <v>2918.0382412502918</v>
      </c>
      <c r="AH192" s="44">
        <f t="shared" si="107"/>
        <v>0</v>
      </c>
      <c r="AI192" s="43">
        <f t="shared" si="94"/>
        <v>578158.27116283844</v>
      </c>
      <c r="AK192" s="101">
        <f t="shared" si="114"/>
        <v>2042</v>
      </c>
      <c r="AL192" s="101">
        <f t="shared" si="88"/>
        <v>10</v>
      </c>
      <c r="AM192" s="118">
        <f t="shared" si="108"/>
        <v>5127.5850884482097</v>
      </c>
      <c r="AN192" s="100">
        <f t="shared" si="109"/>
        <v>6264.998202532488</v>
      </c>
      <c r="AO192" s="100">
        <f t="shared" si="110"/>
        <v>12489.460019885377</v>
      </c>
      <c r="AP192" s="100">
        <f t="shared" si="111"/>
        <v>11392.583290980698</v>
      </c>
      <c r="AQ192" s="1">
        <f t="shared" si="112"/>
        <v>26660</v>
      </c>
      <c r="AR192" s="100">
        <f t="shared" si="95"/>
        <v>536565.44603547954</v>
      </c>
      <c r="AS192" s="100">
        <f t="shared" si="96"/>
        <v>23882.043310866073</v>
      </c>
      <c r="AT192" s="100">
        <f t="shared" si="113"/>
        <v>26945.956689133927</v>
      </c>
      <c r="AU192" s="1">
        <f t="shared" si="97"/>
        <v>50828</v>
      </c>
      <c r="AV192" s="100">
        <f t="shared" si="98"/>
        <v>1114723.7171983179</v>
      </c>
    </row>
    <row r="193" spans="4:48">
      <c r="D193" s="39">
        <f t="shared" si="99"/>
        <v>185</v>
      </c>
      <c r="E193" s="40">
        <f t="shared" si="115"/>
        <v>2042</v>
      </c>
      <c r="F193" s="35">
        <f t="shared" si="119"/>
        <v>51835</v>
      </c>
      <c r="G193" s="36">
        <f t="shared" si="84"/>
        <v>11</v>
      </c>
      <c r="H193" s="41">
        <f t="shared" si="120"/>
        <v>30</v>
      </c>
      <c r="I193" s="37" t="s">
        <v>123</v>
      </c>
      <c r="J193" s="27">
        <f t="shared" si="100"/>
        <v>0</v>
      </c>
      <c r="K193" s="27">
        <f t="shared" si="89"/>
        <v>0</v>
      </c>
      <c r="L193" s="27">
        <f t="shared" si="101"/>
        <v>0</v>
      </c>
      <c r="M193" s="27">
        <f t="shared" si="90"/>
        <v>0</v>
      </c>
      <c r="N193" s="27">
        <f t="shared" si="91"/>
        <v>0</v>
      </c>
      <c r="P193" s="72" t="s">
        <v>123</v>
      </c>
      <c r="Q193" s="44">
        <f t="shared" si="116"/>
        <v>239536.61500192387</v>
      </c>
      <c r="R193" s="44">
        <f t="shared" si="85"/>
        <v>1218.6835453659523</v>
      </c>
      <c r="S193" s="44">
        <f t="shared" si="117"/>
        <v>2562.3164546340477</v>
      </c>
      <c r="T193" s="44">
        <f t="shared" si="118"/>
        <v>0</v>
      </c>
      <c r="U193" s="43">
        <f t="shared" si="92"/>
        <v>236974.29854728983</v>
      </c>
      <c r="W193" s="72" t="s">
        <v>123</v>
      </c>
      <c r="X193" s="44">
        <f t="shared" si="102"/>
        <v>297028.83103355567</v>
      </c>
      <c r="Y193" s="44">
        <f t="shared" si="86"/>
        <v>1511.185038984419</v>
      </c>
      <c r="Z193" s="44">
        <f t="shared" si="103"/>
        <v>1372.814961015581</v>
      </c>
      <c r="AA193" s="44">
        <f t="shared" si="104"/>
        <v>0</v>
      </c>
      <c r="AB193" s="43">
        <f t="shared" si="93"/>
        <v>295656.01607254008</v>
      </c>
      <c r="AD193" s="72" t="s">
        <v>123</v>
      </c>
      <c r="AE193" s="44">
        <f t="shared" si="105"/>
        <v>578158.27116283844</v>
      </c>
      <c r="AF193" s="44">
        <f t="shared" si="87"/>
        <v>3008.0070053102199</v>
      </c>
      <c r="AG193" s="44">
        <f t="shared" si="106"/>
        <v>3033.9929946897801</v>
      </c>
      <c r="AH193" s="44">
        <f t="shared" si="107"/>
        <v>0</v>
      </c>
      <c r="AI193" s="43">
        <f t="shared" si="94"/>
        <v>575124.27816814871</v>
      </c>
      <c r="AK193" s="101">
        <f t="shared" si="114"/>
        <v>2042</v>
      </c>
      <c r="AL193" s="101">
        <f t="shared" si="88"/>
        <v>11</v>
      </c>
      <c r="AM193" s="118">
        <f t="shared" si="108"/>
        <v>6346.2686338141621</v>
      </c>
      <c r="AN193" s="100">
        <f t="shared" si="109"/>
        <v>7776.1832415169065</v>
      </c>
      <c r="AO193" s="100">
        <f t="shared" si="110"/>
        <v>15497.467025195598</v>
      </c>
      <c r="AP193" s="100">
        <f t="shared" si="111"/>
        <v>14122.451875331069</v>
      </c>
      <c r="AQ193" s="1">
        <f t="shared" si="112"/>
        <v>33325</v>
      </c>
      <c r="AR193" s="100">
        <f t="shared" si="95"/>
        <v>532630.31461982988</v>
      </c>
      <c r="AS193" s="100">
        <f t="shared" si="96"/>
        <v>29619.918900526667</v>
      </c>
      <c r="AT193" s="100">
        <f t="shared" si="113"/>
        <v>33915.08109947334</v>
      </c>
      <c r="AU193" s="1">
        <f t="shared" si="97"/>
        <v>63535.000000000007</v>
      </c>
      <c r="AV193" s="100">
        <f t="shared" si="98"/>
        <v>1107754.5927879787</v>
      </c>
    </row>
    <row r="194" spans="4:48">
      <c r="D194" s="39">
        <f t="shared" si="99"/>
        <v>186</v>
      </c>
      <c r="E194" s="40">
        <f t="shared" si="115"/>
        <v>2042</v>
      </c>
      <c r="F194" s="35">
        <f t="shared" si="119"/>
        <v>51865</v>
      </c>
      <c r="G194" s="36">
        <f t="shared" si="84"/>
        <v>12</v>
      </c>
      <c r="H194" s="41">
        <f t="shared" si="120"/>
        <v>31</v>
      </c>
      <c r="I194" s="37" t="s">
        <v>123</v>
      </c>
      <c r="J194" s="27">
        <f t="shared" si="100"/>
        <v>0</v>
      </c>
      <c r="K194" s="27">
        <f t="shared" si="89"/>
        <v>0</v>
      </c>
      <c r="L194" s="27">
        <f t="shared" si="101"/>
        <v>0</v>
      </c>
      <c r="M194" s="27">
        <f t="shared" si="90"/>
        <v>0</v>
      </c>
      <c r="N194" s="27">
        <f t="shared" si="91"/>
        <v>0</v>
      </c>
      <c r="P194" s="72" t="s">
        <v>123</v>
      </c>
      <c r="Q194" s="44">
        <f t="shared" si="116"/>
        <v>236974.29854728983</v>
      </c>
      <c r="R194" s="44">
        <f t="shared" si="85"/>
        <v>1245.8355657051902</v>
      </c>
      <c r="S194" s="44">
        <f t="shared" si="117"/>
        <v>2535.1644342948098</v>
      </c>
      <c r="T194" s="44">
        <f t="shared" si="118"/>
        <v>0</v>
      </c>
      <c r="U194" s="43">
        <f t="shared" si="92"/>
        <v>234439.13411299503</v>
      </c>
      <c r="W194" s="72" t="s">
        <v>123</v>
      </c>
      <c r="X194" s="44">
        <f t="shared" si="102"/>
        <v>295656.01607254008</v>
      </c>
      <c r="Y194" s="44">
        <f t="shared" si="86"/>
        <v>1554.3406280591703</v>
      </c>
      <c r="Z194" s="44">
        <f t="shared" si="103"/>
        <v>1329.6593719408297</v>
      </c>
      <c r="AA194" s="44">
        <f t="shared" si="104"/>
        <v>0</v>
      </c>
      <c r="AB194" s="43">
        <f t="shared" si="93"/>
        <v>294326.35670059925</v>
      </c>
      <c r="AD194" s="72" t="s">
        <v>123</v>
      </c>
      <c r="AE194" s="44">
        <f t="shared" si="105"/>
        <v>575124.27816814871</v>
      </c>
      <c r="AF194" s="44">
        <f t="shared" si="87"/>
        <v>3091.9626604092</v>
      </c>
      <c r="AG194" s="44">
        <f t="shared" si="106"/>
        <v>2950.0373395908</v>
      </c>
      <c r="AH194" s="44">
        <f t="shared" si="107"/>
        <v>0</v>
      </c>
      <c r="AI194" s="43">
        <f t="shared" si="94"/>
        <v>572174.24082855787</v>
      </c>
      <c r="AK194" s="101">
        <f t="shared" si="114"/>
        <v>2042</v>
      </c>
      <c r="AL194" s="101">
        <f t="shared" si="88"/>
        <v>12</v>
      </c>
      <c r="AM194" s="118">
        <f t="shared" si="108"/>
        <v>7592.1041995193518</v>
      </c>
      <c r="AN194" s="100">
        <f t="shared" si="109"/>
        <v>9330.5238695760763</v>
      </c>
      <c r="AO194" s="100">
        <f t="shared" si="110"/>
        <v>18589.429685604799</v>
      </c>
      <c r="AP194" s="100">
        <f t="shared" si="111"/>
        <v>16922.62806909543</v>
      </c>
      <c r="AQ194" s="1">
        <f t="shared" si="112"/>
        <v>39990</v>
      </c>
      <c r="AR194" s="100">
        <f t="shared" si="95"/>
        <v>528765.49081359431</v>
      </c>
      <c r="AS194" s="100">
        <f t="shared" si="96"/>
        <v>35512.057754700232</v>
      </c>
      <c r="AT194" s="100">
        <f t="shared" si="113"/>
        <v>40729.942245299782</v>
      </c>
      <c r="AU194" s="1">
        <f t="shared" si="97"/>
        <v>76242.000000000015</v>
      </c>
      <c r="AV194" s="100">
        <f t="shared" si="98"/>
        <v>1100939.7316421522</v>
      </c>
    </row>
    <row r="195" spans="4:48">
      <c r="D195" s="39">
        <f t="shared" si="99"/>
        <v>187</v>
      </c>
      <c r="E195" s="40">
        <f t="shared" si="115"/>
        <v>2042</v>
      </c>
      <c r="F195" s="35">
        <f t="shared" si="119"/>
        <v>51896</v>
      </c>
      <c r="G195" s="36">
        <f t="shared" si="84"/>
        <v>1</v>
      </c>
      <c r="H195" s="41">
        <f t="shared" si="120"/>
        <v>31</v>
      </c>
      <c r="I195" s="37" t="s">
        <v>123</v>
      </c>
      <c r="J195" s="27">
        <f t="shared" si="100"/>
        <v>0</v>
      </c>
      <c r="K195" s="27">
        <f t="shared" si="89"/>
        <v>0</v>
      </c>
      <c r="L195" s="27">
        <f t="shared" si="101"/>
        <v>0</v>
      </c>
      <c r="M195" s="27">
        <f t="shared" si="90"/>
        <v>0</v>
      </c>
      <c r="N195" s="27">
        <f t="shared" si="91"/>
        <v>0</v>
      </c>
      <c r="P195" s="72" t="s">
        <v>123</v>
      </c>
      <c r="Q195" s="44">
        <f t="shared" si="116"/>
        <v>234439.13411299503</v>
      </c>
      <c r="R195" s="44">
        <f t="shared" si="85"/>
        <v>1232.507546436784</v>
      </c>
      <c r="S195" s="44">
        <f t="shared" si="117"/>
        <v>2548.4924535632163</v>
      </c>
      <c r="T195" s="44">
        <f t="shared" si="118"/>
        <v>0</v>
      </c>
      <c r="U195" s="43">
        <f t="shared" si="92"/>
        <v>231890.64165943183</v>
      </c>
      <c r="W195" s="72" t="s">
        <v>123</v>
      </c>
      <c r="X195" s="44">
        <f t="shared" si="102"/>
        <v>294326.35670059925</v>
      </c>
      <c r="Y195" s="44">
        <f t="shared" si="86"/>
        <v>1547.3502626651502</v>
      </c>
      <c r="Z195" s="44">
        <f t="shared" si="103"/>
        <v>1336.6497373348498</v>
      </c>
      <c r="AA195" s="44">
        <f t="shared" si="104"/>
        <v>0</v>
      </c>
      <c r="AB195" s="43">
        <f t="shared" si="93"/>
        <v>292989.70696326438</v>
      </c>
      <c r="AD195" s="72" t="s">
        <v>123</v>
      </c>
      <c r="AE195" s="44">
        <f t="shared" si="105"/>
        <v>572174.24082855787</v>
      </c>
      <c r="AF195" s="44">
        <f t="shared" si="87"/>
        <v>3076.1027747339149</v>
      </c>
      <c r="AG195" s="44">
        <f t="shared" si="106"/>
        <v>2965.8972252660851</v>
      </c>
      <c r="AH195" s="44">
        <f t="shared" si="107"/>
        <v>0</v>
      </c>
      <c r="AI195" s="43">
        <f t="shared" si="94"/>
        <v>569208.34360329178</v>
      </c>
      <c r="AK195" s="101">
        <f t="shared" si="114"/>
        <v>2042</v>
      </c>
      <c r="AL195" s="101">
        <f t="shared" si="88"/>
        <v>1</v>
      </c>
      <c r="AM195" s="118">
        <f t="shared" si="108"/>
        <v>8824.6117459561356</v>
      </c>
      <c r="AN195" s="100">
        <f t="shared" si="109"/>
        <v>10877.874132241226</v>
      </c>
      <c r="AO195" s="100">
        <f t="shared" si="110"/>
        <v>21665.532460338713</v>
      </c>
      <c r="AP195" s="100">
        <f t="shared" si="111"/>
        <v>19702.48587819736</v>
      </c>
      <c r="AQ195" s="1">
        <f t="shared" si="112"/>
        <v>46655</v>
      </c>
      <c r="AR195" s="100">
        <f t="shared" si="95"/>
        <v>524880.34862269624</v>
      </c>
      <c r="AS195" s="100">
        <f t="shared" si="96"/>
        <v>41368.018338536072</v>
      </c>
      <c r="AT195" s="100">
        <f t="shared" si="113"/>
        <v>47580.981661463928</v>
      </c>
      <c r="AU195" s="1">
        <f t="shared" si="97"/>
        <v>88949</v>
      </c>
      <c r="AV195" s="100">
        <f t="shared" si="98"/>
        <v>1094088.692225988</v>
      </c>
    </row>
    <row r="196" spans="4:48">
      <c r="D196" s="39">
        <f t="shared" si="99"/>
        <v>188</v>
      </c>
      <c r="E196" s="40">
        <f t="shared" si="115"/>
        <v>2042</v>
      </c>
      <c r="F196" s="35">
        <f t="shared" si="119"/>
        <v>51925</v>
      </c>
      <c r="G196" s="36">
        <f t="shared" si="84"/>
        <v>2</v>
      </c>
      <c r="H196" s="41">
        <f t="shared" si="120"/>
        <v>28</v>
      </c>
      <c r="I196" s="37" t="s">
        <v>123</v>
      </c>
      <c r="J196" s="27">
        <f t="shared" si="100"/>
        <v>0</v>
      </c>
      <c r="K196" s="27">
        <f t="shared" si="89"/>
        <v>0</v>
      </c>
      <c r="L196" s="27">
        <f t="shared" si="101"/>
        <v>0</v>
      </c>
      <c r="M196" s="27">
        <f t="shared" si="90"/>
        <v>0</v>
      </c>
      <c r="N196" s="27">
        <f t="shared" si="91"/>
        <v>0</v>
      </c>
      <c r="P196" s="72" t="s">
        <v>123</v>
      </c>
      <c r="Q196" s="44">
        <f t="shared" si="116"/>
        <v>231890.64165943183</v>
      </c>
      <c r="R196" s="44">
        <f t="shared" si="85"/>
        <v>1101.1311236277459</v>
      </c>
      <c r="S196" s="44">
        <f t="shared" si="117"/>
        <v>2679.8688763722539</v>
      </c>
      <c r="T196" s="44">
        <f t="shared" si="118"/>
        <v>0</v>
      </c>
      <c r="U196" s="43">
        <f t="shared" si="92"/>
        <v>229210.77278305957</v>
      </c>
      <c r="W196" s="72" t="s">
        <v>123</v>
      </c>
      <c r="X196" s="44">
        <f t="shared" si="102"/>
        <v>292989.70696326438</v>
      </c>
      <c r="Y196" s="44">
        <f t="shared" si="86"/>
        <v>1391.259616736246</v>
      </c>
      <c r="Z196" s="44">
        <f t="shared" si="103"/>
        <v>1492.740383263754</v>
      </c>
      <c r="AA196" s="44">
        <f t="shared" si="104"/>
        <v>0</v>
      </c>
      <c r="AB196" s="43">
        <f t="shared" si="93"/>
        <v>291496.96658000065</v>
      </c>
      <c r="AD196" s="72" t="s">
        <v>123</v>
      </c>
      <c r="AE196" s="44">
        <f t="shared" si="105"/>
        <v>569208.34360329178</v>
      </c>
      <c r="AF196" s="44">
        <f t="shared" si="87"/>
        <v>2764.0133375410251</v>
      </c>
      <c r="AG196" s="44">
        <f t="shared" si="106"/>
        <v>3277.9866624589749</v>
      </c>
      <c r="AH196" s="44">
        <f t="shared" si="107"/>
        <v>0</v>
      </c>
      <c r="AI196" s="43">
        <f t="shared" si="94"/>
        <v>565930.3569408328</v>
      </c>
      <c r="AK196" s="101">
        <f t="shared" si="114"/>
        <v>2042</v>
      </c>
      <c r="AL196" s="101">
        <f t="shared" si="88"/>
        <v>2</v>
      </c>
      <c r="AM196" s="118">
        <f t="shared" si="108"/>
        <v>9925.7428695838807</v>
      </c>
      <c r="AN196" s="100">
        <f t="shared" si="109"/>
        <v>12269.133748977472</v>
      </c>
      <c r="AO196" s="100">
        <f t="shared" si="110"/>
        <v>24429.545797879739</v>
      </c>
      <c r="AP196" s="100">
        <f t="shared" si="111"/>
        <v>22194.876618561353</v>
      </c>
      <c r="AQ196" s="1">
        <f t="shared" si="112"/>
        <v>53320</v>
      </c>
      <c r="AR196" s="100">
        <f t="shared" si="95"/>
        <v>520707.73936306022</v>
      </c>
      <c r="AS196" s="100">
        <f t="shared" si="96"/>
        <v>46624.422416441092</v>
      </c>
      <c r="AT196" s="100">
        <f t="shared" si="113"/>
        <v>55031.577583558916</v>
      </c>
      <c r="AU196" s="1">
        <f t="shared" si="97"/>
        <v>101656</v>
      </c>
      <c r="AV196" s="100">
        <f t="shared" si="98"/>
        <v>1086638.096303893</v>
      </c>
    </row>
    <row r="197" spans="4:48">
      <c r="D197" s="39">
        <f t="shared" si="99"/>
        <v>189</v>
      </c>
      <c r="E197" s="40">
        <f t="shared" si="115"/>
        <v>2042</v>
      </c>
      <c r="F197" s="35">
        <f t="shared" si="119"/>
        <v>51955</v>
      </c>
      <c r="G197" s="36">
        <f t="shared" si="84"/>
        <v>3</v>
      </c>
      <c r="H197" s="41">
        <f t="shared" si="120"/>
        <v>31</v>
      </c>
      <c r="I197" s="37" t="s">
        <v>123</v>
      </c>
      <c r="J197" s="27">
        <f t="shared" si="100"/>
        <v>0</v>
      </c>
      <c r="K197" s="27">
        <f t="shared" si="89"/>
        <v>0</v>
      </c>
      <c r="L197" s="27">
        <f t="shared" si="101"/>
        <v>0</v>
      </c>
      <c r="M197" s="27">
        <f t="shared" si="90"/>
        <v>0</v>
      </c>
      <c r="N197" s="27">
        <f t="shared" si="91"/>
        <v>0</v>
      </c>
      <c r="P197" s="72" t="s">
        <v>123</v>
      </c>
      <c r="Q197" s="44">
        <f t="shared" si="116"/>
        <v>229210.77278305957</v>
      </c>
      <c r="R197" s="44">
        <f t="shared" si="85"/>
        <v>1205.0206901189397</v>
      </c>
      <c r="S197" s="44">
        <f t="shared" si="117"/>
        <v>2575.9793098810605</v>
      </c>
      <c r="T197" s="44">
        <f t="shared" si="118"/>
        <v>0</v>
      </c>
      <c r="U197" s="43">
        <f t="shared" si="92"/>
        <v>226634.79347317852</v>
      </c>
      <c r="W197" s="72" t="s">
        <v>123</v>
      </c>
      <c r="X197" s="44">
        <f t="shared" si="102"/>
        <v>291496.96658000065</v>
      </c>
      <c r="Y197" s="44">
        <f t="shared" si="86"/>
        <v>1532.4754223845566</v>
      </c>
      <c r="Z197" s="44">
        <f t="shared" si="103"/>
        <v>1351.5245776154434</v>
      </c>
      <c r="AA197" s="44">
        <f t="shared" si="104"/>
        <v>0</v>
      </c>
      <c r="AB197" s="43">
        <f t="shared" si="93"/>
        <v>290145.44200238521</v>
      </c>
      <c r="AD197" s="72" t="s">
        <v>123</v>
      </c>
      <c r="AE197" s="44">
        <f t="shared" si="105"/>
        <v>565930.3569408328</v>
      </c>
      <c r="AF197" s="44">
        <f t="shared" si="87"/>
        <v>3042.5346285616329</v>
      </c>
      <c r="AG197" s="44">
        <f t="shared" si="106"/>
        <v>2999.4653714383671</v>
      </c>
      <c r="AH197" s="44">
        <f t="shared" si="107"/>
        <v>0</v>
      </c>
      <c r="AI197" s="43">
        <f t="shared" si="94"/>
        <v>562930.89156939439</v>
      </c>
      <c r="AK197" s="101">
        <f t="shared" si="114"/>
        <v>2042</v>
      </c>
      <c r="AL197" s="101">
        <f t="shared" si="88"/>
        <v>3</v>
      </c>
      <c r="AM197" s="118">
        <f t="shared" si="108"/>
        <v>11130.76355970282</v>
      </c>
      <c r="AN197" s="100">
        <f t="shared" si="109"/>
        <v>13801.60917136203</v>
      </c>
      <c r="AO197" s="100">
        <f t="shared" si="110"/>
        <v>27472.080426441371</v>
      </c>
      <c r="AP197" s="100">
        <f t="shared" si="111"/>
        <v>24932.37273106485</v>
      </c>
      <c r="AQ197" s="1">
        <f t="shared" si="112"/>
        <v>59985</v>
      </c>
      <c r="AR197" s="100">
        <f t="shared" si="95"/>
        <v>516780.23547556374</v>
      </c>
      <c r="AS197" s="100">
        <f t="shared" si="96"/>
        <v>52404.453157506221</v>
      </c>
      <c r="AT197" s="100">
        <f t="shared" si="113"/>
        <v>61958.546842493786</v>
      </c>
      <c r="AU197" s="1">
        <f t="shared" si="97"/>
        <v>114363</v>
      </c>
      <c r="AV197" s="100">
        <f t="shared" si="98"/>
        <v>1079711.1270449581</v>
      </c>
    </row>
    <row r="198" spans="4:48">
      <c r="D198" s="39">
        <f t="shared" si="99"/>
        <v>190</v>
      </c>
      <c r="E198" s="40">
        <f t="shared" si="115"/>
        <v>2042</v>
      </c>
      <c r="F198" s="35">
        <f t="shared" si="119"/>
        <v>51986</v>
      </c>
      <c r="G198" s="36">
        <f t="shared" si="84"/>
        <v>4</v>
      </c>
      <c r="H198" s="41">
        <f t="shared" si="120"/>
        <v>30</v>
      </c>
      <c r="I198" s="37" t="s">
        <v>123</v>
      </c>
      <c r="J198" s="27">
        <f t="shared" si="100"/>
        <v>0</v>
      </c>
      <c r="K198" s="27">
        <f t="shared" si="89"/>
        <v>0</v>
      </c>
      <c r="L198" s="27">
        <f t="shared" si="101"/>
        <v>0</v>
      </c>
      <c r="M198" s="27">
        <f t="shared" si="90"/>
        <v>0</v>
      </c>
      <c r="N198" s="27">
        <f t="shared" si="91"/>
        <v>0</v>
      </c>
      <c r="P198" s="72" t="s">
        <v>123</v>
      </c>
      <c r="Q198" s="44">
        <f t="shared" si="116"/>
        <v>226634.79347317852</v>
      </c>
      <c r="R198" s="44">
        <f t="shared" si="85"/>
        <v>1153.0433191224452</v>
      </c>
      <c r="S198" s="44">
        <f t="shared" si="117"/>
        <v>2627.9566808775548</v>
      </c>
      <c r="T198" s="44">
        <f t="shared" si="118"/>
        <v>0</v>
      </c>
      <c r="U198" s="43">
        <f t="shared" si="92"/>
        <v>224006.83679230098</v>
      </c>
      <c r="W198" s="72" t="s">
        <v>123</v>
      </c>
      <c r="X198" s="44">
        <f t="shared" si="102"/>
        <v>290145.44200238521</v>
      </c>
      <c r="Y198" s="44">
        <f t="shared" si="86"/>
        <v>1476.1646186258336</v>
      </c>
      <c r="Z198" s="44">
        <f t="shared" si="103"/>
        <v>1407.8353813741664</v>
      </c>
      <c r="AA198" s="44">
        <f t="shared" si="104"/>
        <v>0</v>
      </c>
      <c r="AB198" s="43">
        <f t="shared" si="93"/>
        <v>288737.60662101104</v>
      </c>
      <c r="AD198" s="72" t="s">
        <v>123</v>
      </c>
      <c r="AE198" s="44">
        <f t="shared" si="105"/>
        <v>562930.89156939439</v>
      </c>
      <c r="AF198" s="44">
        <f t="shared" si="87"/>
        <v>2928.7829125761095</v>
      </c>
      <c r="AG198" s="44">
        <f t="shared" si="106"/>
        <v>3113.2170874238905</v>
      </c>
      <c r="AH198" s="44">
        <f t="shared" si="107"/>
        <v>0</v>
      </c>
      <c r="AI198" s="43">
        <f t="shared" si="94"/>
        <v>559817.67448197049</v>
      </c>
      <c r="AK198" s="101">
        <f t="shared" si="114"/>
        <v>2042</v>
      </c>
      <c r="AL198" s="101">
        <f t="shared" si="88"/>
        <v>4</v>
      </c>
      <c r="AM198" s="118">
        <f t="shared" si="108"/>
        <v>12283.806878825266</v>
      </c>
      <c r="AN198" s="100">
        <f t="shared" si="109"/>
        <v>15277.773789987863</v>
      </c>
      <c r="AO198" s="100">
        <f t="shared" si="110"/>
        <v>30400.86333901748</v>
      </c>
      <c r="AP198" s="100">
        <f t="shared" si="111"/>
        <v>27561.580668813127</v>
      </c>
      <c r="AQ198" s="1">
        <f t="shared" si="112"/>
        <v>66650</v>
      </c>
      <c r="AR198" s="100">
        <f t="shared" si="95"/>
        <v>512744.44341331202</v>
      </c>
      <c r="AS198" s="100">
        <f t="shared" si="96"/>
        <v>57962.444007830607</v>
      </c>
      <c r="AT198" s="100">
        <f t="shared" si="113"/>
        <v>69107.555992169408</v>
      </c>
      <c r="AU198" s="1">
        <f t="shared" si="97"/>
        <v>127070.00000000001</v>
      </c>
      <c r="AV198" s="100">
        <f t="shared" si="98"/>
        <v>1072562.1178952826</v>
      </c>
    </row>
    <row r="199" spans="4:48">
      <c r="D199" s="39">
        <f t="shared" si="99"/>
        <v>191</v>
      </c>
      <c r="E199" s="40">
        <f t="shared" si="115"/>
        <v>2042</v>
      </c>
      <c r="F199" s="35">
        <f t="shared" si="119"/>
        <v>52016</v>
      </c>
      <c r="G199" s="36">
        <f t="shared" si="84"/>
        <v>5</v>
      </c>
      <c r="H199" s="41">
        <f t="shared" si="120"/>
        <v>31</v>
      </c>
      <c r="I199" s="37" t="s">
        <v>123</v>
      </c>
      <c r="J199" s="27">
        <f t="shared" si="100"/>
        <v>0</v>
      </c>
      <c r="K199" s="27">
        <f t="shared" si="89"/>
        <v>0</v>
      </c>
      <c r="L199" s="27">
        <f t="shared" si="101"/>
        <v>0</v>
      </c>
      <c r="M199" s="27">
        <f t="shared" si="90"/>
        <v>0</v>
      </c>
      <c r="N199" s="27">
        <f t="shared" si="91"/>
        <v>0</v>
      </c>
      <c r="P199" s="72" t="s">
        <v>123</v>
      </c>
      <c r="Q199" s="44">
        <f t="shared" si="116"/>
        <v>224006.83679230098</v>
      </c>
      <c r="R199" s="44">
        <f t="shared" si="85"/>
        <v>1177.6622441664283</v>
      </c>
      <c r="S199" s="44">
        <f t="shared" si="117"/>
        <v>2603.3377558335715</v>
      </c>
      <c r="T199" s="44">
        <f t="shared" si="118"/>
        <v>0</v>
      </c>
      <c r="U199" s="43">
        <f t="shared" si="92"/>
        <v>221403.4990364674</v>
      </c>
      <c r="W199" s="72" t="s">
        <v>123</v>
      </c>
      <c r="X199" s="44">
        <f t="shared" si="102"/>
        <v>288737.60662101104</v>
      </c>
      <c r="Y199" s="44">
        <f t="shared" si="86"/>
        <v>1517.9687488905702</v>
      </c>
      <c r="Z199" s="44">
        <f t="shared" si="103"/>
        <v>1366.0312511094298</v>
      </c>
      <c r="AA199" s="44">
        <f t="shared" si="104"/>
        <v>0</v>
      </c>
      <c r="AB199" s="43">
        <f t="shared" si="93"/>
        <v>287371.57536990161</v>
      </c>
      <c r="AD199" s="72" t="s">
        <v>123</v>
      </c>
      <c r="AE199" s="44">
        <f t="shared" si="105"/>
        <v>559817.67448197049</v>
      </c>
      <c r="AF199" s="44">
        <f t="shared" si="87"/>
        <v>3009.6718428382756</v>
      </c>
      <c r="AG199" s="44">
        <f t="shared" si="106"/>
        <v>3032.3281571617244</v>
      </c>
      <c r="AH199" s="44">
        <f t="shared" si="107"/>
        <v>0</v>
      </c>
      <c r="AI199" s="43">
        <f t="shared" si="94"/>
        <v>556785.34632480878</v>
      </c>
      <c r="AK199" s="101">
        <f t="shared" si="114"/>
        <v>2042</v>
      </c>
      <c r="AL199" s="101">
        <f t="shared" si="88"/>
        <v>5</v>
      </c>
      <c r="AM199" s="118">
        <f t="shared" si="108"/>
        <v>13461.469122991693</v>
      </c>
      <c r="AN199" s="100">
        <f t="shared" si="109"/>
        <v>16795.742538878432</v>
      </c>
      <c r="AO199" s="100">
        <f t="shared" si="110"/>
        <v>33410.535181855754</v>
      </c>
      <c r="AP199" s="100">
        <f t="shared" si="111"/>
        <v>30257.211661870126</v>
      </c>
      <c r="AQ199" s="1">
        <f t="shared" si="112"/>
        <v>73315</v>
      </c>
      <c r="AR199" s="100">
        <f t="shared" si="95"/>
        <v>508775.07440636901</v>
      </c>
      <c r="AS199" s="100">
        <f t="shared" si="96"/>
        <v>63667.746843725879</v>
      </c>
      <c r="AT199" s="100">
        <f t="shared" si="113"/>
        <v>76109.253156274135</v>
      </c>
      <c r="AU199" s="1">
        <f t="shared" si="97"/>
        <v>139777</v>
      </c>
      <c r="AV199" s="100">
        <f t="shared" si="98"/>
        <v>1065560.4207311778</v>
      </c>
    </row>
    <row r="200" spans="4:48">
      <c r="D200" s="39">
        <f t="shared" si="99"/>
        <v>192</v>
      </c>
      <c r="E200" s="40">
        <f t="shared" si="115"/>
        <v>2042</v>
      </c>
      <c r="F200" s="35">
        <f t="shared" si="119"/>
        <v>52047</v>
      </c>
      <c r="G200" s="36">
        <f t="shared" si="84"/>
        <v>6</v>
      </c>
      <c r="H200" s="41">
        <f t="shared" si="120"/>
        <v>30</v>
      </c>
      <c r="I200" s="37" t="s">
        <v>123</v>
      </c>
      <c r="J200" s="27">
        <f t="shared" si="100"/>
        <v>0</v>
      </c>
      <c r="K200" s="27">
        <f t="shared" si="89"/>
        <v>0</v>
      </c>
      <c r="L200" s="27">
        <f t="shared" si="101"/>
        <v>0</v>
      </c>
      <c r="M200" s="27">
        <f t="shared" si="90"/>
        <v>0</v>
      </c>
      <c r="N200" s="27">
        <f t="shared" si="91"/>
        <v>0</v>
      </c>
      <c r="P200" s="72" t="s">
        <v>123</v>
      </c>
      <c r="Q200" s="44">
        <f t="shared" si="116"/>
        <v>221403.4990364674</v>
      </c>
      <c r="R200" s="44">
        <f t="shared" si="85"/>
        <v>1126.4282129060821</v>
      </c>
      <c r="S200" s="44">
        <f t="shared" si="117"/>
        <v>2654.5717870939179</v>
      </c>
      <c r="T200" s="44">
        <f t="shared" si="118"/>
        <v>0</v>
      </c>
      <c r="U200" s="43">
        <f t="shared" si="92"/>
        <v>218748.92724937349</v>
      </c>
      <c r="W200" s="72" t="s">
        <v>123</v>
      </c>
      <c r="X200" s="44">
        <f t="shared" si="102"/>
        <v>287371.57536990161</v>
      </c>
      <c r="Y200" s="44">
        <f t="shared" si="86"/>
        <v>1462.0520971559104</v>
      </c>
      <c r="Z200" s="44">
        <f t="shared" si="103"/>
        <v>1421.9479028440896</v>
      </c>
      <c r="AA200" s="44">
        <f t="shared" si="104"/>
        <v>0</v>
      </c>
      <c r="AB200" s="43">
        <f t="shared" si="93"/>
        <v>285949.62746705749</v>
      </c>
      <c r="AD200" s="72" t="s">
        <v>123</v>
      </c>
      <c r="AE200" s="44">
        <f t="shared" si="105"/>
        <v>556785.34632480878</v>
      </c>
      <c r="AF200" s="44">
        <f t="shared" si="87"/>
        <v>2896.8092401940048</v>
      </c>
      <c r="AG200" s="44">
        <f t="shared" si="106"/>
        <v>3145.1907598059952</v>
      </c>
      <c r="AH200" s="44">
        <f t="shared" si="107"/>
        <v>0</v>
      </c>
      <c r="AI200" s="43">
        <f t="shared" si="94"/>
        <v>553640.15556500282</v>
      </c>
      <c r="AK200" s="101">
        <f t="shared" si="114"/>
        <v>2042</v>
      </c>
      <c r="AL200" s="101">
        <f t="shared" si="88"/>
        <v>6</v>
      </c>
      <c r="AM200" s="118">
        <f t="shared" si="108"/>
        <v>14587.897335897775</v>
      </c>
      <c r="AN200" s="100">
        <f t="shared" si="109"/>
        <v>18257.794636034341</v>
      </c>
      <c r="AO200" s="100">
        <f t="shared" si="110"/>
        <v>36307.344422049762</v>
      </c>
      <c r="AP200" s="100">
        <f t="shared" si="111"/>
        <v>32845.691971932116</v>
      </c>
      <c r="AQ200" s="1">
        <f t="shared" si="112"/>
        <v>79980</v>
      </c>
      <c r="AR200" s="100">
        <f t="shared" si="95"/>
        <v>504698.55471643095</v>
      </c>
      <c r="AS200" s="100">
        <f t="shared" si="96"/>
        <v>69153.036393981878</v>
      </c>
      <c r="AT200" s="100">
        <f t="shared" si="113"/>
        <v>83330.963606018122</v>
      </c>
      <c r="AU200" s="1">
        <f t="shared" si="97"/>
        <v>152484</v>
      </c>
      <c r="AV200" s="100">
        <f t="shared" si="98"/>
        <v>1058338.7102814338</v>
      </c>
    </row>
    <row r="201" spans="4:48">
      <c r="D201" s="39">
        <f t="shared" si="99"/>
        <v>193</v>
      </c>
      <c r="E201" s="40">
        <f t="shared" si="115"/>
        <v>2043</v>
      </c>
      <c r="F201" s="35">
        <f t="shared" si="119"/>
        <v>52077</v>
      </c>
      <c r="G201" s="36">
        <f t="shared" ref="G201:G264" si="121">MONTH(F201)</f>
        <v>7</v>
      </c>
      <c r="H201" s="41">
        <f t="shared" si="120"/>
        <v>31</v>
      </c>
      <c r="I201" s="37" t="s">
        <v>123</v>
      </c>
      <c r="J201" s="27">
        <f t="shared" si="100"/>
        <v>0</v>
      </c>
      <c r="K201" s="27">
        <f t="shared" si="89"/>
        <v>0</v>
      </c>
      <c r="L201" s="27">
        <f t="shared" si="101"/>
        <v>0</v>
      </c>
      <c r="M201" s="27">
        <f t="shared" si="90"/>
        <v>0</v>
      </c>
      <c r="N201" s="27">
        <f t="shared" si="91"/>
        <v>0</v>
      </c>
      <c r="P201" s="72" t="s">
        <v>123</v>
      </c>
      <c r="Q201" s="44">
        <f t="shared" si="116"/>
        <v>218748.92724937349</v>
      </c>
      <c r="R201" s="44">
        <f t="shared" ref="R201:R264" si="122">(IF(P201="PI",Q201,IF(ISNUMBER(U200),U200,Q201))*$R$3/365*$H201*IF(Q201&gt;0,1,0))</f>
        <v>1150.0200452022541</v>
      </c>
      <c r="S201" s="44">
        <f t="shared" si="117"/>
        <v>2630.9799547977459</v>
      </c>
      <c r="T201" s="44">
        <f t="shared" si="118"/>
        <v>0</v>
      </c>
      <c r="U201" s="43">
        <f t="shared" si="92"/>
        <v>216117.94729457574</v>
      </c>
      <c r="W201" s="72" t="s">
        <v>123</v>
      </c>
      <c r="X201" s="44">
        <f t="shared" si="102"/>
        <v>285949.62746705749</v>
      </c>
      <c r="Y201" s="44">
        <f t="shared" ref="Y201:Y264" si="123">(IF(W201="PI",X201,IF(ISNUMBER(AB200),AB200,X201))*$Y$3/365*$H201*IF(X201&gt;0,1,0))</f>
        <v>1503.3116168398262</v>
      </c>
      <c r="Z201" s="44">
        <f t="shared" si="103"/>
        <v>1380.6883831601738</v>
      </c>
      <c r="AA201" s="44">
        <f t="shared" si="104"/>
        <v>0</v>
      </c>
      <c r="AB201" s="43">
        <f t="shared" si="93"/>
        <v>284568.93908389733</v>
      </c>
      <c r="AD201" s="72" t="s">
        <v>123</v>
      </c>
      <c r="AE201" s="44">
        <f t="shared" si="105"/>
        <v>553640.15556500282</v>
      </c>
      <c r="AF201" s="44">
        <f t="shared" ref="AF201:AF264" si="124">(IF(AD201="PI",AE201,IF(ISNUMBER(AI200),AI200,AE201))*$AF$3/365*$H201*IF(AE201&gt;0,1,0))</f>
        <v>2976.4604856580959</v>
      </c>
      <c r="AG201" s="44">
        <f t="shared" si="106"/>
        <v>3065.5395143419041</v>
      </c>
      <c r="AH201" s="44">
        <f t="shared" si="107"/>
        <v>0</v>
      </c>
      <c r="AI201" s="43">
        <f t="shared" si="94"/>
        <v>550574.61605066096</v>
      </c>
      <c r="AK201" s="101">
        <f t="shared" si="114"/>
        <v>2043</v>
      </c>
      <c r="AL201" s="101">
        <f t="shared" ref="AL201:AL264" si="125">G201</f>
        <v>7</v>
      </c>
      <c r="AM201" s="118">
        <f t="shared" si="108"/>
        <v>1150.0200452022541</v>
      </c>
      <c r="AN201" s="100">
        <f t="shared" si="109"/>
        <v>1503.3116168398262</v>
      </c>
      <c r="AO201" s="100">
        <f t="shared" si="110"/>
        <v>2976.4604856580959</v>
      </c>
      <c r="AP201" s="100">
        <f t="shared" si="111"/>
        <v>2653.3316620420801</v>
      </c>
      <c r="AQ201" s="1">
        <f t="shared" si="112"/>
        <v>6665</v>
      </c>
      <c r="AR201" s="100">
        <f t="shared" si="95"/>
        <v>500686.88637847308</v>
      </c>
      <c r="AS201" s="100">
        <f t="shared" si="96"/>
        <v>5629.7921477001764</v>
      </c>
      <c r="AT201" s="100">
        <f t="shared" si="113"/>
        <v>7077.2078522998236</v>
      </c>
      <c r="AU201" s="1">
        <f t="shared" si="97"/>
        <v>12707</v>
      </c>
      <c r="AV201" s="100">
        <f t="shared" si="98"/>
        <v>1051261.502429134</v>
      </c>
    </row>
    <row r="202" spans="4:48">
      <c r="D202" s="39">
        <f t="shared" si="99"/>
        <v>194</v>
      </c>
      <c r="E202" s="40">
        <f t="shared" si="115"/>
        <v>2043</v>
      </c>
      <c r="F202" s="35">
        <f t="shared" si="119"/>
        <v>52108</v>
      </c>
      <c r="G202" s="36">
        <f t="shared" si="121"/>
        <v>8</v>
      </c>
      <c r="H202" s="41">
        <f t="shared" si="120"/>
        <v>31</v>
      </c>
      <c r="I202" s="37" t="s">
        <v>123</v>
      </c>
      <c r="J202" s="27">
        <f t="shared" si="100"/>
        <v>0</v>
      </c>
      <c r="K202" s="27">
        <f t="shared" ref="K202:K265" si="126">(IF(I202="PI",J202,IF(ISNUMBER(N201),N201,J202))*$K$3/365*$H202*IF(J202&gt;0,1,0))</f>
        <v>0</v>
      </c>
      <c r="L202" s="27">
        <f t="shared" si="101"/>
        <v>0</v>
      </c>
      <c r="M202" s="27">
        <f t="shared" ref="M202:M265" si="127">IF(I202="IO",$K$6-K202+IF(ISNUMBER(M201),M201,0),IF(ISNUMBER(M201),M201,0))</f>
        <v>0</v>
      </c>
      <c r="N202" s="27">
        <f t="shared" ref="N202:N265" si="128">(J202+K202-$K$6-IF(I202="PI",0,M202))*IF(J202&gt;0,1,0)</f>
        <v>0</v>
      </c>
      <c r="P202" s="72" t="s">
        <v>123</v>
      </c>
      <c r="Q202" s="44">
        <f t="shared" si="116"/>
        <v>216117.94729457574</v>
      </c>
      <c r="R202" s="44">
        <f t="shared" si="122"/>
        <v>1136.1882988042778</v>
      </c>
      <c r="S202" s="44">
        <f t="shared" si="117"/>
        <v>2644.811701195722</v>
      </c>
      <c r="T202" s="44">
        <f t="shared" si="118"/>
        <v>0</v>
      </c>
      <c r="U202" s="43">
        <f t="shared" ref="U202:U265" si="129">(Q202+R202-$R$6-IF(P202="PI",0,T202))*IF(Q202&gt;0,1,0)</f>
        <v>213473.13559338002</v>
      </c>
      <c r="W202" s="72" t="s">
        <v>123</v>
      </c>
      <c r="X202" s="44">
        <f t="shared" si="102"/>
        <v>284568.93908389733</v>
      </c>
      <c r="Y202" s="44">
        <f t="shared" si="123"/>
        <v>1496.052978652303</v>
      </c>
      <c r="Z202" s="44">
        <f t="shared" si="103"/>
        <v>1387.947021347697</v>
      </c>
      <c r="AA202" s="44">
        <f t="shared" si="104"/>
        <v>0</v>
      </c>
      <c r="AB202" s="43">
        <f t="shared" ref="AB202:AB265" si="130">(X202+Y202-$Y$6-IF(W202="PI",0,AA202))*IF(X202&gt;0,1,0)</f>
        <v>283180.99206254963</v>
      </c>
      <c r="AD202" s="72" t="s">
        <v>123</v>
      </c>
      <c r="AE202" s="44">
        <f t="shared" si="105"/>
        <v>550574.61605066096</v>
      </c>
      <c r="AF202" s="44">
        <f t="shared" si="124"/>
        <v>2959.9796413046897</v>
      </c>
      <c r="AG202" s="44">
        <f t="shared" si="106"/>
        <v>3082.0203586953103</v>
      </c>
      <c r="AH202" s="44">
        <f t="shared" si="107"/>
        <v>0</v>
      </c>
      <c r="AI202" s="43">
        <f t="shared" ref="AI202:AI265" si="131">(AE202+AF202-$AF$6-IF(AD202="PI",0,AH202))*IF(AE202&gt;0,1,0)</f>
        <v>547492.59569196566</v>
      </c>
      <c r="AK202" s="101">
        <f t="shared" si="114"/>
        <v>2043</v>
      </c>
      <c r="AL202" s="101">
        <f t="shared" si="125"/>
        <v>8</v>
      </c>
      <c r="AM202" s="118">
        <f t="shared" si="108"/>
        <v>2286.2083440065317</v>
      </c>
      <c r="AN202" s="100">
        <f t="shared" si="109"/>
        <v>2999.3645954921294</v>
      </c>
      <c r="AO202" s="100">
        <f t="shared" si="110"/>
        <v>5936.4401269627851</v>
      </c>
      <c r="AP202" s="100">
        <f t="shared" si="111"/>
        <v>5285.5729394986611</v>
      </c>
      <c r="AQ202" s="1">
        <f t="shared" si="112"/>
        <v>13330</v>
      </c>
      <c r="AR202" s="100">
        <f t="shared" ref="AR202:AR265" si="132">N202+U202+AB202</f>
        <v>496654.12765592965</v>
      </c>
      <c r="AS202" s="100">
        <f t="shared" ref="AS202:AS265" si="133">AP202+AO202</f>
        <v>11222.013066461446</v>
      </c>
      <c r="AT202" s="100">
        <f t="shared" si="113"/>
        <v>14191.986933538552</v>
      </c>
      <c r="AU202" s="1">
        <f t="shared" ref="AU202:AU265" si="134">AS202+AT202</f>
        <v>25414</v>
      </c>
      <c r="AV202" s="100">
        <f t="shared" ref="AV202:AV265" si="135">N202+U202+AB202+AI202</f>
        <v>1044146.7233478953</v>
      </c>
    </row>
    <row r="203" spans="4:48">
      <c r="D203" s="39">
        <f t="shared" ref="D203:D266" si="136">D202+1</f>
        <v>195</v>
      </c>
      <c r="E203" s="40">
        <f t="shared" si="115"/>
        <v>2043</v>
      </c>
      <c r="F203" s="35">
        <f t="shared" si="119"/>
        <v>52139</v>
      </c>
      <c r="G203" s="36">
        <f t="shared" si="121"/>
        <v>9</v>
      </c>
      <c r="H203" s="41">
        <f t="shared" si="120"/>
        <v>30</v>
      </c>
      <c r="I203" s="37" t="s">
        <v>123</v>
      </c>
      <c r="J203" s="27">
        <f t="shared" ref="J203:J266" si="137">IF(I203="PI",IF(N202&lt;=0,0,N202),(IF(I203="IO",J202,"")))*IF(N202&lt;=0,0,1)</f>
        <v>0</v>
      </c>
      <c r="K203" s="27">
        <f t="shared" si="126"/>
        <v>0</v>
      </c>
      <c r="L203" s="27">
        <f t="shared" ref="L203:L266" si="138">IF(I203="IO",0,$K$6-K203)*IF(J203&gt;0,1,0)</f>
        <v>0</v>
      </c>
      <c r="M203" s="27">
        <f t="shared" si="127"/>
        <v>0</v>
      </c>
      <c r="N203" s="27">
        <f t="shared" si="128"/>
        <v>0</v>
      </c>
      <c r="P203" s="72" t="s">
        <v>123</v>
      </c>
      <c r="Q203" s="44">
        <f t="shared" si="116"/>
        <v>213473.13559338002</v>
      </c>
      <c r="R203" s="44">
        <f t="shared" si="122"/>
        <v>1086.0811309504293</v>
      </c>
      <c r="S203" s="44">
        <f t="shared" si="117"/>
        <v>2694.9188690495707</v>
      </c>
      <c r="T203" s="44">
        <f t="shared" si="118"/>
        <v>0</v>
      </c>
      <c r="U203" s="43">
        <f t="shared" si="129"/>
        <v>210778.21672433044</v>
      </c>
      <c r="W203" s="72" t="s">
        <v>123</v>
      </c>
      <c r="X203" s="44">
        <f t="shared" ref="X203:X266" si="139">IF(W203="PI",IF(AB202&lt;=0,0,AB202),(IF(W203="IO",X202,"")))*IF(AB202&lt;=0,0,1)</f>
        <v>283180.99206254963</v>
      </c>
      <c r="Y203" s="44">
        <f t="shared" si="123"/>
        <v>1440.7317870141221</v>
      </c>
      <c r="Z203" s="44">
        <f t="shared" ref="Z203:Z266" si="140">IF(W203="IO",0,$Y$6-Y203)*IF(X203&gt;0,1,0)</f>
        <v>1443.2682129858779</v>
      </c>
      <c r="AA203" s="44">
        <f t="shared" ref="AA203:AA266" si="141">IF(W203="IO",$Y$6-Y203+IF(ISNUMBER(AA202),AA202,0),IF(ISNUMBER(AA202),AA202,0))</f>
        <v>0</v>
      </c>
      <c r="AB203" s="43">
        <f t="shared" si="130"/>
        <v>281737.72384956374</v>
      </c>
      <c r="AD203" s="72" t="s">
        <v>123</v>
      </c>
      <c r="AE203" s="44">
        <f t="shared" ref="AE203:AE266" si="142">IF(AD203="PI",IF(AI202&lt;=0,0,AI202),(IF(AD203="IO",AE202,"")))*IF(AI202&lt;=0,0,1)</f>
        <v>547492.59569196566</v>
      </c>
      <c r="AF203" s="44">
        <f t="shared" si="124"/>
        <v>2848.4614773124458</v>
      </c>
      <c r="AG203" s="44">
        <f t="shared" ref="AG203:AG266" si="143">IF(AD203="IO",0,$AF$6-AF203)*IF(AE203&gt;0,1,0)</f>
        <v>3193.5385226875542</v>
      </c>
      <c r="AH203" s="44">
        <f t="shared" ref="AH203:AH266" si="144">IF(AD203="IO",$AF$6-AF203+IF(ISNUMBER(AH202),AH202,0),IF(ISNUMBER(AH202),AH202,0))</f>
        <v>0</v>
      </c>
      <c r="AI203" s="43">
        <f t="shared" si="131"/>
        <v>544299.05716927815</v>
      </c>
      <c r="AK203" s="101">
        <f t="shared" si="114"/>
        <v>2043</v>
      </c>
      <c r="AL203" s="101">
        <f t="shared" si="125"/>
        <v>9</v>
      </c>
      <c r="AM203" s="118">
        <f t="shared" ref="AM203:AM266" si="145">IF($AK203=$AK202,R203+AM202,R203)</f>
        <v>3372.2894749569609</v>
      </c>
      <c r="AN203" s="100">
        <f t="shared" ref="AN203:AN266" si="146">IF($AK203=$AK202,Y203+AN202,Y203)</f>
        <v>4440.0963825062518</v>
      </c>
      <c r="AO203" s="100">
        <f t="shared" ref="AO203:AO266" si="147">IF($AK203=$AK202,AF203+AO202,AF203)</f>
        <v>8784.9016042752301</v>
      </c>
      <c r="AP203" s="100">
        <f t="shared" ref="AP203:AP266" si="148">AM203+AN203</f>
        <v>7812.3858574632122</v>
      </c>
      <c r="AQ203" s="1">
        <f t="shared" ref="AQ203:AQ266" si="149">IF(AK203=AK202,AQ202,0)+
IF(J203&gt;0,$K$6,0)+
IF(Q203&gt;0,$R$6,0)+
IF(X203&gt;0,$Y$6,0)</f>
        <v>19995</v>
      </c>
      <c r="AR203" s="100">
        <f t="shared" si="132"/>
        <v>492515.94057389419</v>
      </c>
      <c r="AS203" s="100">
        <f t="shared" si="133"/>
        <v>16597.287461738444</v>
      </c>
      <c r="AT203" s="100">
        <f t="shared" ref="AT203:AT266" si="150">IF(AK203=AK202,AT202,0)+
IF(J203&gt;0,L203,0)+
IF(Q203&gt;0,S203,0)+
IF(X203&gt;0,Z203,0)+
IF(AE203&gt;0,AG203,0)</f>
        <v>21523.712538261556</v>
      </c>
      <c r="AU203" s="1">
        <f t="shared" si="134"/>
        <v>38121</v>
      </c>
      <c r="AV203" s="100">
        <f t="shared" si="135"/>
        <v>1036814.9977431723</v>
      </c>
    </row>
    <row r="204" spans="4:48">
      <c r="D204" s="39">
        <f t="shared" si="136"/>
        <v>196</v>
      </c>
      <c r="E204" s="40">
        <f t="shared" si="115"/>
        <v>2043</v>
      </c>
      <c r="F204" s="35">
        <f t="shared" si="119"/>
        <v>52169</v>
      </c>
      <c r="G204" s="36">
        <f t="shared" si="121"/>
        <v>10</v>
      </c>
      <c r="H204" s="41">
        <f t="shared" si="120"/>
        <v>31</v>
      </c>
      <c r="I204" s="37" t="s">
        <v>123</v>
      </c>
      <c r="J204" s="27">
        <f t="shared" si="137"/>
        <v>0</v>
      </c>
      <c r="K204" s="27">
        <f t="shared" si="126"/>
        <v>0</v>
      </c>
      <c r="L204" s="27">
        <f t="shared" si="138"/>
        <v>0</v>
      </c>
      <c r="M204" s="27">
        <f t="shared" si="127"/>
        <v>0</v>
      </c>
      <c r="N204" s="27">
        <f t="shared" si="128"/>
        <v>0</v>
      </c>
      <c r="P204" s="72" t="s">
        <v>123</v>
      </c>
      <c r="Q204" s="44">
        <f t="shared" si="116"/>
        <v>210778.21672433044</v>
      </c>
      <c r="R204" s="44">
        <f t="shared" si="122"/>
        <v>1108.1159454036099</v>
      </c>
      <c r="S204" s="44">
        <f t="shared" si="117"/>
        <v>2672.8840545963903</v>
      </c>
      <c r="T204" s="44">
        <f t="shared" si="118"/>
        <v>0</v>
      </c>
      <c r="U204" s="43">
        <f t="shared" si="129"/>
        <v>208105.33266973405</v>
      </c>
      <c r="W204" s="72" t="s">
        <v>123</v>
      </c>
      <c r="X204" s="44">
        <f t="shared" si="139"/>
        <v>281737.72384956374</v>
      </c>
      <c r="Y204" s="44">
        <f t="shared" si="123"/>
        <v>1481.168543273775</v>
      </c>
      <c r="Z204" s="44">
        <f t="shared" si="140"/>
        <v>1402.831456726225</v>
      </c>
      <c r="AA204" s="44">
        <f t="shared" si="141"/>
        <v>0</v>
      </c>
      <c r="AB204" s="43">
        <f t="shared" si="130"/>
        <v>280334.8923928375</v>
      </c>
      <c r="AD204" s="72" t="s">
        <v>123</v>
      </c>
      <c r="AE204" s="44">
        <f t="shared" si="142"/>
        <v>544299.05716927815</v>
      </c>
      <c r="AF204" s="44">
        <f t="shared" si="124"/>
        <v>2926.2412051596561</v>
      </c>
      <c r="AG204" s="44">
        <f t="shared" si="143"/>
        <v>3115.7587948403439</v>
      </c>
      <c r="AH204" s="44">
        <f t="shared" si="144"/>
        <v>0</v>
      </c>
      <c r="AI204" s="43">
        <f t="shared" si="131"/>
        <v>541183.29837443784</v>
      </c>
      <c r="AK204" s="101">
        <f t="shared" si="114"/>
        <v>2043</v>
      </c>
      <c r="AL204" s="101">
        <f t="shared" si="125"/>
        <v>10</v>
      </c>
      <c r="AM204" s="118">
        <f t="shared" si="145"/>
        <v>4480.405420360571</v>
      </c>
      <c r="AN204" s="100">
        <f t="shared" si="146"/>
        <v>5921.2649257800267</v>
      </c>
      <c r="AO204" s="100">
        <f t="shared" si="147"/>
        <v>11711.142809434887</v>
      </c>
      <c r="AP204" s="100">
        <f t="shared" si="148"/>
        <v>10401.670346140598</v>
      </c>
      <c r="AQ204" s="1">
        <f t="shared" si="149"/>
        <v>26660</v>
      </c>
      <c r="AR204" s="100">
        <f t="shared" si="132"/>
        <v>488440.22506257158</v>
      </c>
      <c r="AS204" s="100">
        <f t="shared" si="133"/>
        <v>22112.813155575484</v>
      </c>
      <c r="AT204" s="100">
        <f t="shared" si="150"/>
        <v>28715.186844424516</v>
      </c>
      <c r="AU204" s="1">
        <f t="shared" si="134"/>
        <v>50828</v>
      </c>
      <c r="AV204" s="100">
        <f t="shared" si="135"/>
        <v>1029623.5234370094</v>
      </c>
    </row>
    <row r="205" spans="4:48">
      <c r="D205" s="39">
        <f t="shared" si="136"/>
        <v>197</v>
      </c>
      <c r="E205" s="40">
        <f t="shared" si="115"/>
        <v>2043</v>
      </c>
      <c r="F205" s="35">
        <f t="shared" si="119"/>
        <v>52200</v>
      </c>
      <c r="G205" s="36">
        <f t="shared" si="121"/>
        <v>11</v>
      </c>
      <c r="H205" s="41">
        <f t="shared" si="120"/>
        <v>30</v>
      </c>
      <c r="I205" s="37" t="s">
        <v>123</v>
      </c>
      <c r="J205" s="27">
        <f t="shared" si="137"/>
        <v>0</v>
      </c>
      <c r="K205" s="27">
        <f t="shared" si="126"/>
        <v>0</v>
      </c>
      <c r="L205" s="27">
        <f t="shared" si="138"/>
        <v>0</v>
      </c>
      <c r="M205" s="27">
        <f t="shared" si="127"/>
        <v>0</v>
      </c>
      <c r="N205" s="27">
        <f t="shared" si="128"/>
        <v>0</v>
      </c>
      <c r="P205" s="72" t="s">
        <v>123</v>
      </c>
      <c r="Q205" s="44">
        <f t="shared" si="116"/>
        <v>208105.33266973405</v>
      </c>
      <c r="R205" s="44">
        <f t="shared" si="122"/>
        <v>1058.7715144320441</v>
      </c>
      <c r="S205" s="44">
        <f t="shared" si="117"/>
        <v>2722.2284855679559</v>
      </c>
      <c r="T205" s="44">
        <f t="shared" si="118"/>
        <v>0</v>
      </c>
      <c r="U205" s="43">
        <f t="shared" si="129"/>
        <v>205383.10418416609</v>
      </c>
      <c r="W205" s="72" t="s">
        <v>123</v>
      </c>
      <c r="X205" s="44">
        <f t="shared" si="139"/>
        <v>280334.8923928375</v>
      </c>
      <c r="Y205" s="44">
        <f t="shared" si="123"/>
        <v>1426.251767598628</v>
      </c>
      <c r="Z205" s="44">
        <f t="shared" si="140"/>
        <v>1457.748232401372</v>
      </c>
      <c r="AA205" s="44">
        <f t="shared" si="141"/>
        <v>0</v>
      </c>
      <c r="AB205" s="43">
        <f t="shared" si="130"/>
        <v>278877.14416043612</v>
      </c>
      <c r="AD205" s="72" t="s">
        <v>123</v>
      </c>
      <c r="AE205" s="44">
        <f t="shared" si="142"/>
        <v>541183.29837443784</v>
      </c>
      <c r="AF205" s="44">
        <f t="shared" si="124"/>
        <v>2815.6358455152258</v>
      </c>
      <c r="AG205" s="44">
        <f t="shared" si="143"/>
        <v>3226.3641544847742</v>
      </c>
      <c r="AH205" s="44">
        <f t="shared" si="144"/>
        <v>0</v>
      </c>
      <c r="AI205" s="43">
        <f t="shared" si="131"/>
        <v>537956.93421995302</v>
      </c>
      <c r="AK205" s="101">
        <f t="shared" si="114"/>
        <v>2043</v>
      </c>
      <c r="AL205" s="101">
        <f t="shared" si="125"/>
        <v>11</v>
      </c>
      <c r="AM205" s="118">
        <f t="shared" si="145"/>
        <v>5539.1769347926147</v>
      </c>
      <c r="AN205" s="100">
        <f t="shared" si="146"/>
        <v>7347.516693378655</v>
      </c>
      <c r="AO205" s="100">
        <f t="shared" si="147"/>
        <v>14526.778654950112</v>
      </c>
      <c r="AP205" s="100">
        <f t="shared" si="148"/>
        <v>12886.69362817127</v>
      </c>
      <c r="AQ205" s="1">
        <f t="shared" si="149"/>
        <v>33325</v>
      </c>
      <c r="AR205" s="100">
        <f t="shared" si="132"/>
        <v>484260.24834460218</v>
      </c>
      <c r="AS205" s="100">
        <f t="shared" si="133"/>
        <v>27413.47228312138</v>
      </c>
      <c r="AT205" s="100">
        <f t="shared" si="150"/>
        <v>36121.527716878612</v>
      </c>
      <c r="AU205" s="1">
        <f t="shared" si="134"/>
        <v>63534.999999999993</v>
      </c>
      <c r="AV205" s="100">
        <f t="shared" si="135"/>
        <v>1022217.1825645552</v>
      </c>
    </row>
    <row r="206" spans="4:48">
      <c r="D206" s="39">
        <f t="shared" si="136"/>
        <v>198</v>
      </c>
      <c r="E206" s="40">
        <f t="shared" si="115"/>
        <v>2043</v>
      </c>
      <c r="F206" s="35">
        <f t="shared" si="119"/>
        <v>52230</v>
      </c>
      <c r="G206" s="36">
        <f t="shared" si="121"/>
        <v>12</v>
      </c>
      <c r="H206" s="41">
        <f t="shared" si="120"/>
        <v>31</v>
      </c>
      <c r="I206" s="37" t="s">
        <v>123</v>
      </c>
      <c r="J206" s="27">
        <f t="shared" si="137"/>
        <v>0</v>
      </c>
      <c r="K206" s="27">
        <f t="shared" si="126"/>
        <v>0</v>
      </c>
      <c r="L206" s="27">
        <f t="shared" si="138"/>
        <v>0</v>
      </c>
      <c r="M206" s="27">
        <f t="shared" si="127"/>
        <v>0</v>
      </c>
      <c r="N206" s="27">
        <f t="shared" si="128"/>
        <v>0</v>
      </c>
      <c r="P206" s="72" t="s">
        <v>123</v>
      </c>
      <c r="Q206" s="44">
        <f t="shared" si="116"/>
        <v>205383.10418416609</v>
      </c>
      <c r="R206" s="44">
        <f t="shared" si="122"/>
        <v>1079.7524345725926</v>
      </c>
      <c r="S206" s="44">
        <f t="shared" si="117"/>
        <v>2701.2475654274076</v>
      </c>
      <c r="T206" s="44">
        <f t="shared" si="118"/>
        <v>0</v>
      </c>
      <c r="U206" s="43">
        <f t="shared" si="129"/>
        <v>202681.85661873868</v>
      </c>
      <c r="W206" s="72" t="s">
        <v>123</v>
      </c>
      <c r="X206" s="44">
        <f t="shared" si="139"/>
        <v>278877.14416043612</v>
      </c>
      <c r="Y206" s="44">
        <f t="shared" si="123"/>
        <v>1466.1297313135913</v>
      </c>
      <c r="Z206" s="44">
        <f t="shared" si="140"/>
        <v>1417.8702686864087</v>
      </c>
      <c r="AA206" s="44">
        <f t="shared" si="141"/>
        <v>0</v>
      </c>
      <c r="AB206" s="43">
        <f t="shared" si="130"/>
        <v>277459.27389174973</v>
      </c>
      <c r="AD206" s="72" t="s">
        <v>123</v>
      </c>
      <c r="AE206" s="44">
        <f t="shared" si="142"/>
        <v>537956.93421995302</v>
      </c>
      <c r="AF206" s="44">
        <f t="shared" si="124"/>
        <v>2892.1449096433248</v>
      </c>
      <c r="AG206" s="44">
        <f t="shared" si="143"/>
        <v>3149.8550903566752</v>
      </c>
      <c r="AH206" s="44">
        <f t="shared" si="144"/>
        <v>0</v>
      </c>
      <c r="AI206" s="43">
        <f t="shared" si="131"/>
        <v>534807.07912959636</v>
      </c>
      <c r="AK206" s="101">
        <f t="shared" si="114"/>
        <v>2043</v>
      </c>
      <c r="AL206" s="101">
        <f t="shared" si="125"/>
        <v>12</v>
      </c>
      <c r="AM206" s="118">
        <f t="shared" si="145"/>
        <v>6618.9293693652071</v>
      </c>
      <c r="AN206" s="100">
        <f t="shared" si="146"/>
        <v>8813.646424692246</v>
      </c>
      <c r="AO206" s="100">
        <f t="shared" si="147"/>
        <v>17418.923564593439</v>
      </c>
      <c r="AP206" s="100">
        <f t="shared" si="148"/>
        <v>15432.575794057453</v>
      </c>
      <c r="AQ206" s="1">
        <f t="shared" si="149"/>
        <v>39990</v>
      </c>
      <c r="AR206" s="100">
        <f t="shared" si="132"/>
        <v>480141.13051048841</v>
      </c>
      <c r="AS206" s="100">
        <f t="shared" si="133"/>
        <v>32851.499358650894</v>
      </c>
      <c r="AT206" s="100">
        <f t="shared" si="150"/>
        <v>43390.500641349099</v>
      </c>
      <c r="AU206" s="1">
        <f t="shared" si="134"/>
        <v>76242</v>
      </c>
      <c r="AV206" s="100">
        <f t="shared" si="135"/>
        <v>1014948.2096400848</v>
      </c>
    </row>
    <row r="207" spans="4:48">
      <c r="D207" s="39">
        <f t="shared" si="136"/>
        <v>199</v>
      </c>
      <c r="E207" s="40">
        <f t="shared" si="115"/>
        <v>2043</v>
      </c>
      <c r="F207" s="35">
        <f t="shared" si="119"/>
        <v>52261</v>
      </c>
      <c r="G207" s="36">
        <f t="shared" si="121"/>
        <v>1</v>
      </c>
      <c r="H207" s="41">
        <f t="shared" si="120"/>
        <v>31</v>
      </c>
      <c r="I207" s="37" t="s">
        <v>123</v>
      </c>
      <c r="J207" s="27">
        <f t="shared" si="137"/>
        <v>0</v>
      </c>
      <c r="K207" s="27">
        <f t="shared" si="126"/>
        <v>0</v>
      </c>
      <c r="L207" s="27">
        <f t="shared" si="138"/>
        <v>0</v>
      </c>
      <c r="M207" s="27">
        <f t="shared" si="127"/>
        <v>0</v>
      </c>
      <c r="N207" s="27">
        <f t="shared" si="128"/>
        <v>0</v>
      </c>
      <c r="P207" s="72" t="s">
        <v>123</v>
      </c>
      <c r="Q207" s="44">
        <f t="shared" si="116"/>
        <v>202681.85661873868</v>
      </c>
      <c r="R207" s="44">
        <f t="shared" si="122"/>
        <v>1065.5512730567059</v>
      </c>
      <c r="S207" s="44">
        <f t="shared" si="117"/>
        <v>2715.4487269432939</v>
      </c>
      <c r="T207" s="44">
        <f t="shared" si="118"/>
        <v>0</v>
      </c>
      <c r="U207" s="43">
        <f t="shared" si="129"/>
        <v>199966.40789179539</v>
      </c>
      <c r="W207" s="72" t="s">
        <v>123</v>
      </c>
      <c r="X207" s="44">
        <f t="shared" si="139"/>
        <v>277459.27389174973</v>
      </c>
      <c r="Y207" s="44">
        <f t="shared" si="123"/>
        <v>1458.6756182763795</v>
      </c>
      <c r="Z207" s="44">
        <f t="shared" si="140"/>
        <v>1425.3243817236205</v>
      </c>
      <c r="AA207" s="44">
        <f t="shared" si="141"/>
        <v>0</v>
      </c>
      <c r="AB207" s="43">
        <f t="shared" si="130"/>
        <v>276033.94951002614</v>
      </c>
      <c r="AD207" s="72" t="s">
        <v>123</v>
      </c>
      <c r="AE207" s="44">
        <f t="shared" si="142"/>
        <v>534807.07912959636</v>
      </c>
      <c r="AF207" s="44">
        <f t="shared" si="124"/>
        <v>2875.2107708931699</v>
      </c>
      <c r="AG207" s="44">
        <f t="shared" si="143"/>
        <v>3166.7892291068301</v>
      </c>
      <c r="AH207" s="44">
        <f t="shared" si="144"/>
        <v>0</v>
      </c>
      <c r="AI207" s="43">
        <f t="shared" si="131"/>
        <v>531640.2899004895</v>
      </c>
      <c r="AK207" s="101">
        <f t="shared" si="114"/>
        <v>2043</v>
      </c>
      <c r="AL207" s="101">
        <f t="shared" si="125"/>
        <v>1</v>
      </c>
      <c r="AM207" s="118">
        <f t="shared" si="145"/>
        <v>7684.4806424219132</v>
      </c>
      <c r="AN207" s="100">
        <f t="shared" si="146"/>
        <v>10272.322042968626</v>
      </c>
      <c r="AO207" s="100">
        <f t="shared" si="147"/>
        <v>20294.134335486608</v>
      </c>
      <c r="AP207" s="100">
        <f t="shared" si="148"/>
        <v>17956.802685390539</v>
      </c>
      <c r="AQ207" s="1">
        <f t="shared" si="149"/>
        <v>46655</v>
      </c>
      <c r="AR207" s="100">
        <f t="shared" si="132"/>
        <v>476000.35740182153</v>
      </c>
      <c r="AS207" s="100">
        <f t="shared" si="133"/>
        <v>38250.937020877143</v>
      </c>
      <c r="AT207" s="100">
        <f t="shared" si="150"/>
        <v>50698.062979122842</v>
      </c>
      <c r="AU207" s="1">
        <f t="shared" si="134"/>
        <v>88948.999999999985</v>
      </c>
      <c r="AV207" s="100">
        <f t="shared" si="135"/>
        <v>1007640.647302311</v>
      </c>
    </row>
    <row r="208" spans="4:48">
      <c r="D208" s="39">
        <f t="shared" si="136"/>
        <v>200</v>
      </c>
      <c r="E208" s="40">
        <f t="shared" si="115"/>
        <v>2043</v>
      </c>
      <c r="F208" s="35">
        <f t="shared" si="119"/>
        <v>52290</v>
      </c>
      <c r="G208" s="36">
        <f t="shared" si="121"/>
        <v>2</v>
      </c>
      <c r="H208" s="41">
        <f t="shared" si="120"/>
        <v>28</v>
      </c>
      <c r="I208" s="37" t="s">
        <v>123</v>
      </c>
      <c r="J208" s="27">
        <f t="shared" si="137"/>
        <v>0</v>
      </c>
      <c r="K208" s="27">
        <f t="shared" si="126"/>
        <v>0</v>
      </c>
      <c r="L208" s="27">
        <f t="shared" si="138"/>
        <v>0</v>
      </c>
      <c r="M208" s="27">
        <f t="shared" si="127"/>
        <v>0</v>
      </c>
      <c r="N208" s="27">
        <f t="shared" si="128"/>
        <v>0</v>
      </c>
      <c r="P208" s="72" t="s">
        <v>123</v>
      </c>
      <c r="Q208" s="44">
        <f t="shared" si="116"/>
        <v>199966.40789179539</v>
      </c>
      <c r="R208" s="44">
        <f t="shared" si="122"/>
        <v>949.53911824125942</v>
      </c>
      <c r="S208" s="44">
        <f t="shared" si="117"/>
        <v>2831.4608817587405</v>
      </c>
      <c r="T208" s="44">
        <f t="shared" si="118"/>
        <v>0</v>
      </c>
      <c r="U208" s="43">
        <f t="shared" si="129"/>
        <v>197134.94701003665</v>
      </c>
      <c r="W208" s="72" t="s">
        <v>123</v>
      </c>
      <c r="X208" s="44">
        <f t="shared" si="139"/>
        <v>276033.94951002614</v>
      </c>
      <c r="Y208" s="44">
        <f t="shared" si="123"/>
        <v>1310.7453186048695</v>
      </c>
      <c r="Z208" s="44">
        <f t="shared" si="140"/>
        <v>1573.2546813951305</v>
      </c>
      <c r="AA208" s="44">
        <f t="shared" si="141"/>
        <v>0</v>
      </c>
      <c r="AB208" s="43">
        <f t="shared" si="130"/>
        <v>274460.69482863101</v>
      </c>
      <c r="AD208" s="72" t="s">
        <v>123</v>
      </c>
      <c r="AE208" s="44">
        <f t="shared" si="142"/>
        <v>531640.2899004895</v>
      </c>
      <c r="AF208" s="44">
        <f t="shared" si="124"/>
        <v>2581.5869858071987</v>
      </c>
      <c r="AG208" s="44">
        <f t="shared" si="143"/>
        <v>3460.4130141928013</v>
      </c>
      <c r="AH208" s="44">
        <f t="shared" si="144"/>
        <v>0</v>
      </c>
      <c r="AI208" s="43">
        <f t="shared" si="131"/>
        <v>528179.87688629667</v>
      </c>
      <c r="AK208" s="101">
        <f t="shared" si="114"/>
        <v>2043</v>
      </c>
      <c r="AL208" s="101">
        <f t="shared" si="125"/>
        <v>2</v>
      </c>
      <c r="AM208" s="118">
        <f t="shared" si="145"/>
        <v>8634.0197606631718</v>
      </c>
      <c r="AN208" s="100">
        <f t="shared" si="146"/>
        <v>11583.067361573496</v>
      </c>
      <c r="AO208" s="100">
        <f t="shared" si="147"/>
        <v>22875.721321293808</v>
      </c>
      <c r="AP208" s="100">
        <f t="shared" si="148"/>
        <v>20217.08712223667</v>
      </c>
      <c r="AQ208" s="1">
        <f t="shared" si="149"/>
        <v>53320</v>
      </c>
      <c r="AR208" s="100">
        <f t="shared" si="132"/>
        <v>471595.64183866768</v>
      </c>
      <c r="AS208" s="100">
        <f t="shared" si="133"/>
        <v>43092.808443530477</v>
      </c>
      <c r="AT208" s="100">
        <f t="shared" si="150"/>
        <v>58563.191556469523</v>
      </c>
      <c r="AU208" s="1">
        <f t="shared" si="134"/>
        <v>101656</v>
      </c>
      <c r="AV208" s="100">
        <f t="shared" si="135"/>
        <v>999775.51872496435</v>
      </c>
    </row>
    <row r="209" spans="4:48">
      <c r="D209" s="39">
        <f t="shared" si="136"/>
        <v>201</v>
      </c>
      <c r="E209" s="40">
        <f t="shared" si="115"/>
        <v>2043</v>
      </c>
      <c r="F209" s="35">
        <f t="shared" si="119"/>
        <v>52320</v>
      </c>
      <c r="G209" s="36">
        <f t="shared" si="121"/>
        <v>3</v>
      </c>
      <c r="H209" s="41">
        <f t="shared" si="120"/>
        <v>31</v>
      </c>
      <c r="I209" s="37" t="s">
        <v>123</v>
      </c>
      <c r="J209" s="27">
        <f t="shared" si="137"/>
        <v>0</v>
      </c>
      <c r="K209" s="27">
        <f t="shared" si="126"/>
        <v>0</v>
      </c>
      <c r="L209" s="27">
        <f t="shared" si="138"/>
        <v>0</v>
      </c>
      <c r="M209" s="27">
        <f t="shared" si="127"/>
        <v>0</v>
      </c>
      <c r="N209" s="27">
        <f t="shared" si="128"/>
        <v>0</v>
      </c>
      <c r="P209" s="72" t="s">
        <v>123</v>
      </c>
      <c r="Q209" s="44">
        <f t="shared" si="116"/>
        <v>197134.94701003665</v>
      </c>
      <c r="R209" s="44">
        <f t="shared" si="122"/>
        <v>1036.3897255275597</v>
      </c>
      <c r="S209" s="44">
        <f t="shared" si="117"/>
        <v>2744.6102744724403</v>
      </c>
      <c r="T209" s="44">
        <f t="shared" si="118"/>
        <v>0</v>
      </c>
      <c r="U209" s="43">
        <f t="shared" si="129"/>
        <v>194390.3367355642</v>
      </c>
      <c r="W209" s="72" t="s">
        <v>123</v>
      </c>
      <c r="X209" s="44">
        <f t="shared" si="139"/>
        <v>274460.69482863101</v>
      </c>
      <c r="Y209" s="44">
        <f t="shared" si="123"/>
        <v>1442.9113076894796</v>
      </c>
      <c r="Z209" s="44">
        <f t="shared" si="140"/>
        <v>1441.0886923105204</v>
      </c>
      <c r="AA209" s="44">
        <f t="shared" si="141"/>
        <v>0</v>
      </c>
      <c r="AB209" s="43">
        <f t="shared" si="130"/>
        <v>273019.60613632051</v>
      </c>
      <c r="AD209" s="72" t="s">
        <v>123</v>
      </c>
      <c r="AE209" s="44">
        <f t="shared" si="142"/>
        <v>528179.87688629667</v>
      </c>
      <c r="AF209" s="44">
        <f t="shared" si="124"/>
        <v>2839.5818422300822</v>
      </c>
      <c r="AG209" s="44">
        <f t="shared" si="143"/>
        <v>3202.4181577699178</v>
      </c>
      <c r="AH209" s="44">
        <f t="shared" si="144"/>
        <v>0</v>
      </c>
      <c r="AI209" s="43">
        <f t="shared" si="131"/>
        <v>524977.45872852672</v>
      </c>
      <c r="AK209" s="101">
        <f t="shared" si="114"/>
        <v>2043</v>
      </c>
      <c r="AL209" s="101">
        <f t="shared" si="125"/>
        <v>3</v>
      </c>
      <c r="AM209" s="118">
        <f t="shared" si="145"/>
        <v>9670.4094861907324</v>
      </c>
      <c r="AN209" s="100">
        <f t="shared" si="146"/>
        <v>13025.978669262975</v>
      </c>
      <c r="AO209" s="100">
        <f t="shared" si="147"/>
        <v>25715.303163523891</v>
      </c>
      <c r="AP209" s="100">
        <f t="shared" si="148"/>
        <v>22696.388155453707</v>
      </c>
      <c r="AQ209" s="1">
        <f t="shared" si="149"/>
        <v>59985</v>
      </c>
      <c r="AR209" s="100">
        <f t="shared" si="132"/>
        <v>467409.94287188468</v>
      </c>
      <c r="AS209" s="100">
        <f t="shared" si="133"/>
        <v>48411.691318977595</v>
      </c>
      <c r="AT209" s="100">
        <f t="shared" si="150"/>
        <v>65951.308681022405</v>
      </c>
      <c r="AU209" s="1">
        <f t="shared" si="134"/>
        <v>114363</v>
      </c>
      <c r="AV209" s="100">
        <f t="shared" si="135"/>
        <v>992387.40160041139</v>
      </c>
    </row>
    <row r="210" spans="4:48">
      <c r="D210" s="39">
        <f t="shared" si="136"/>
        <v>202</v>
      </c>
      <c r="E210" s="40">
        <f t="shared" si="115"/>
        <v>2043</v>
      </c>
      <c r="F210" s="35">
        <f t="shared" si="119"/>
        <v>52351</v>
      </c>
      <c r="G210" s="36">
        <f t="shared" si="121"/>
        <v>4</v>
      </c>
      <c r="H210" s="41">
        <f t="shared" si="120"/>
        <v>30</v>
      </c>
      <c r="I210" s="37" t="s">
        <v>123</v>
      </c>
      <c r="J210" s="27">
        <f t="shared" si="137"/>
        <v>0</v>
      </c>
      <c r="K210" s="27">
        <f t="shared" si="126"/>
        <v>0</v>
      </c>
      <c r="L210" s="27">
        <f t="shared" si="138"/>
        <v>0</v>
      </c>
      <c r="M210" s="27">
        <f t="shared" si="127"/>
        <v>0</v>
      </c>
      <c r="N210" s="27">
        <f t="shared" si="128"/>
        <v>0</v>
      </c>
      <c r="P210" s="72" t="s">
        <v>123</v>
      </c>
      <c r="Q210" s="44">
        <f t="shared" si="116"/>
        <v>194390.3367355642</v>
      </c>
      <c r="R210" s="44">
        <f t="shared" si="122"/>
        <v>988.99412415874713</v>
      </c>
      <c r="S210" s="44">
        <f t="shared" si="117"/>
        <v>2792.0058758412529</v>
      </c>
      <c r="T210" s="44">
        <f t="shared" si="118"/>
        <v>0</v>
      </c>
      <c r="U210" s="43">
        <f t="shared" si="129"/>
        <v>191598.33085972295</v>
      </c>
      <c r="W210" s="72" t="s">
        <v>123</v>
      </c>
      <c r="X210" s="44">
        <f t="shared" si="139"/>
        <v>273019.60613632051</v>
      </c>
      <c r="Y210" s="44">
        <f t="shared" si="123"/>
        <v>1389.0339961510881</v>
      </c>
      <c r="Z210" s="44">
        <f t="shared" si="140"/>
        <v>1494.9660038489119</v>
      </c>
      <c r="AA210" s="44">
        <f t="shared" si="141"/>
        <v>0</v>
      </c>
      <c r="AB210" s="43">
        <f t="shared" si="130"/>
        <v>271524.64013247157</v>
      </c>
      <c r="AD210" s="72" t="s">
        <v>123</v>
      </c>
      <c r="AE210" s="44">
        <f t="shared" si="142"/>
        <v>524977.45872852672</v>
      </c>
      <c r="AF210" s="44">
        <f t="shared" si="124"/>
        <v>2731.3210797958145</v>
      </c>
      <c r="AG210" s="44">
        <f t="shared" si="143"/>
        <v>3310.6789202041855</v>
      </c>
      <c r="AH210" s="44">
        <f t="shared" si="144"/>
        <v>0</v>
      </c>
      <c r="AI210" s="43">
        <f t="shared" si="131"/>
        <v>521666.77980832255</v>
      </c>
      <c r="AK210" s="101">
        <f t="shared" si="114"/>
        <v>2043</v>
      </c>
      <c r="AL210" s="101">
        <f t="shared" si="125"/>
        <v>4</v>
      </c>
      <c r="AM210" s="118">
        <f t="shared" si="145"/>
        <v>10659.40361034948</v>
      </c>
      <c r="AN210" s="100">
        <f t="shared" si="146"/>
        <v>14415.012665414062</v>
      </c>
      <c r="AO210" s="100">
        <f t="shared" si="147"/>
        <v>28446.624243319704</v>
      </c>
      <c r="AP210" s="100">
        <f t="shared" si="148"/>
        <v>25074.416275763542</v>
      </c>
      <c r="AQ210" s="1">
        <f t="shared" si="149"/>
        <v>66650</v>
      </c>
      <c r="AR210" s="100">
        <f t="shared" si="132"/>
        <v>463122.97099219449</v>
      </c>
      <c r="AS210" s="100">
        <f t="shared" si="133"/>
        <v>53521.040519083246</v>
      </c>
      <c r="AT210" s="100">
        <f t="shared" si="150"/>
        <v>73548.959480916747</v>
      </c>
      <c r="AU210" s="1">
        <f t="shared" si="134"/>
        <v>127070</v>
      </c>
      <c r="AV210" s="100">
        <f t="shared" si="135"/>
        <v>984789.75080051704</v>
      </c>
    </row>
    <row r="211" spans="4:48">
      <c r="D211" s="39">
        <f t="shared" si="136"/>
        <v>203</v>
      </c>
      <c r="E211" s="40">
        <f t="shared" si="115"/>
        <v>2043</v>
      </c>
      <c r="F211" s="35">
        <f t="shared" si="119"/>
        <v>52381</v>
      </c>
      <c r="G211" s="36">
        <f t="shared" si="121"/>
        <v>5</v>
      </c>
      <c r="H211" s="41">
        <f t="shared" si="120"/>
        <v>31</v>
      </c>
      <c r="I211" s="37" t="s">
        <v>123</v>
      </c>
      <c r="J211" s="27">
        <f t="shared" si="137"/>
        <v>0</v>
      </c>
      <c r="K211" s="27">
        <f t="shared" si="126"/>
        <v>0</v>
      </c>
      <c r="L211" s="27">
        <f t="shared" si="138"/>
        <v>0</v>
      </c>
      <c r="M211" s="27">
        <f t="shared" si="127"/>
        <v>0</v>
      </c>
      <c r="N211" s="27">
        <f t="shared" si="128"/>
        <v>0</v>
      </c>
      <c r="P211" s="72" t="s">
        <v>123</v>
      </c>
      <c r="Q211" s="44">
        <f t="shared" si="116"/>
        <v>191598.33085972295</v>
      </c>
      <c r="R211" s="44">
        <f t="shared" si="122"/>
        <v>1007.2822933882804</v>
      </c>
      <c r="S211" s="44">
        <f t="shared" si="117"/>
        <v>2773.7177066117197</v>
      </c>
      <c r="T211" s="44">
        <f t="shared" si="118"/>
        <v>0</v>
      </c>
      <c r="U211" s="43">
        <f t="shared" si="129"/>
        <v>188824.61315311122</v>
      </c>
      <c r="W211" s="72" t="s">
        <v>123</v>
      </c>
      <c r="X211" s="44">
        <f t="shared" si="139"/>
        <v>271524.64013247157</v>
      </c>
      <c r="Y211" s="44">
        <f t="shared" si="123"/>
        <v>1427.4757039731498</v>
      </c>
      <c r="Z211" s="44">
        <f t="shared" si="140"/>
        <v>1456.5242960268502</v>
      </c>
      <c r="AA211" s="44">
        <f t="shared" si="141"/>
        <v>0</v>
      </c>
      <c r="AB211" s="43">
        <f t="shared" si="130"/>
        <v>270068.11583644472</v>
      </c>
      <c r="AD211" s="72" t="s">
        <v>123</v>
      </c>
      <c r="AE211" s="44">
        <f t="shared" si="142"/>
        <v>521666.77980832255</v>
      </c>
      <c r="AF211" s="44">
        <f t="shared" si="124"/>
        <v>2804.5663616927982</v>
      </c>
      <c r="AG211" s="44">
        <f t="shared" si="143"/>
        <v>3237.4336383072018</v>
      </c>
      <c r="AH211" s="44">
        <f t="shared" si="144"/>
        <v>0</v>
      </c>
      <c r="AI211" s="43">
        <f t="shared" si="131"/>
        <v>518429.3461700154</v>
      </c>
      <c r="AK211" s="101">
        <f t="shared" si="114"/>
        <v>2043</v>
      </c>
      <c r="AL211" s="101">
        <f t="shared" si="125"/>
        <v>5</v>
      </c>
      <c r="AM211" s="118">
        <f t="shared" si="145"/>
        <v>11666.68590373776</v>
      </c>
      <c r="AN211" s="100">
        <f t="shared" si="146"/>
        <v>15842.488369387213</v>
      </c>
      <c r="AO211" s="100">
        <f t="shared" si="147"/>
        <v>31251.190605012504</v>
      </c>
      <c r="AP211" s="100">
        <f t="shared" si="148"/>
        <v>27509.174273124972</v>
      </c>
      <c r="AQ211" s="1">
        <f t="shared" si="149"/>
        <v>73315</v>
      </c>
      <c r="AR211" s="100">
        <f t="shared" si="132"/>
        <v>458892.72898955597</v>
      </c>
      <c r="AS211" s="100">
        <f t="shared" si="133"/>
        <v>58760.36487813748</v>
      </c>
      <c r="AT211" s="100">
        <f t="shared" si="150"/>
        <v>81016.63512186252</v>
      </c>
      <c r="AU211" s="1">
        <f t="shared" si="134"/>
        <v>139777</v>
      </c>
      <c r="AV211" s="100">
        <f t="shared" si="135"/>
        <v>977322.07515957137</v>
      </c>
    </row>
    <row r="212" spans="4:48">
      <c r="D212" s="39">
        <f t="shared" si="136"/>
        <v>204</v>
      </c>
      <c r="E212" s="40">
        <f t="shared" si="115"/>
        <v>2043</v>
      </c>
      <c r="F212" s="35">
        <f t="shared" si="119"/>
        <v>52412</v>
      </c>
      <c r="G212" s="36">
        <f t="shared" si="121"/>
        <v>6</v>
      </c>
      <c r="H212" s="41">
        <f t="shared" si="120"/>
        <v>30</v>
      </c>
      <c r="I212" s="37" t="s">
        <v>123</v>
      </c>
      <c r="J212" s="27">
        <f t="shared" si="137"/>
        <v>0</v>
      </c>
      <c r="K212" s="27">
        <f t="shared" si="126"/>
        <v>0</v>
      </c>
      <c r="L212" s="27">
        <f t="shared" si="138"/>
        <v>0</v>
      </c>
      <c r="M212" s="27">
        <f t="shared" si="127"/>
        <v>0</v>
      </c>
      <c r="N212" s="27">
        <f t="shared" si="128"/>
        <v>0</v>
      </c>
      <c r="P212" s="72" t="s">
        <v>123</v>
      </c>
      <c r="Q212" s="44">
        <f t="shared" si="116"/>
        <v>188824.61315311122</v>
      </c>
      <c r="R212" s="44">
        <f t="shared" si="122"/>
        <v>960.67755239815756</v>
      </c>
      <c r="S212" s="44">
        <f t="shared" si="117"/>
        <v>2820.3224476018422</v>
      </c>
      <c r="T212" s="44">
        <f t="shared" si="118"/>
        <v>0</v>
      </c>
      <c r="U212" s="43">
        <f t="shared" si="129"/>
        <v>186004.29070550937</v>
      </c>
      <c r="W212" s="72" t="s">
        <v>123</v>
      </c>
      <c r="X212" s="44">
        <f t="shared" si="139"/>
        <v>270068.11583644472</v>
      </c>
      <c r="Y212" s="44">
        <f t="shared" si="123"/>
        <v>1374.0177838582954</v>
      </c>
      <c r="Z212" s="44">
        <f t="shared" si="140"/>
        <v>1509.9822161417046</v>
      </c>
      <c r="AA212" s="44">
        <f t="shared" si="141"/>
        <v>0</v>
      </c>
      <c r="AB212" s="43">
        <f t="shared" si="130"/>
        <v>268558.13362030301</v>
      </c>
      <c r="AD212" s="72" t="s">
        <v>123</v>
      </c>
      <c r="AE212" s="44">
        <f t="shared" si="142"/>
        <v>518429.3461700154</v>
      </c>
      <c r="AF212" s="44">
        <f t="shared" si="124"/>
        <v>2697.2529544571485</v>
      </c>
      <c r="AG212" s="44">
        <f t="shared" si="143"/>
        <v>3344.7470455428515</v>
      </c>
      <c r="AH212" s="44">
        <f t="shared" si="144"/>
        <v>0</v>
      </c>
      <c r="AI212" s="43">
        <f t="shared" si="131"/>
        <v>515084.59912447253</v>
      </c>
      <c r="AK212" s="101">
        <f t="shared" si="114"/>
        <v>2043</v>
      </c>
      <c r="AL212" s="101">
        <f t="shared" si="125"/>
        <v>6</v>
      </c>
      <c r="AM212" s="118">
        <f t="shared" si="145"/>
        <v>12627.363456135918</v>
      </c>
      <c r="AN212" s="100">
        <f t="shared" si="146"/>
        <v>17216.506153245507</v>
      </c>
      <c r="AO212" s="100">
        <f t="shared" si="147"/>
        <v>33948.443559469655</v>
      </c>
      <c r="AP212" s="100">
        <f t="shared" si="148"/>
        <v>29843.869609381425</v>
      </c>
      <c r="AQ212" s="1">
        <f t="shared" si="149"/>
        <v>79980</v>
      </c>
      <c r="AR212" s="100">
        <f t="shared" si="132"/>
        <v>454562.42432581238</v>
      </c>
      <c r="AS212" s="100">
        <f t="shared" si="133"/>
        <v>63792.313168851077</v>
      </c>
      <c r="AT212" s="100">
        <f t="shared" si="150"/>
        <v>88691.686831148923</v>
      </c>
      <c r="AU212" s="1">
        <f t="shared" si="134"/>
        <v>152484</v>
      </c>
      <c r="AV212" s="100">
        <f t="shared" si="135"/>
        <v>969647.02345028496</v>
      </c>
    </row>
    <row r="213" spans="4:48">
      <c r="D213" s="39">
        <f t="shared" si="136"/>
        <v>205</v>
      </c>
      <c r="E213" s="40">
        <f t="shared" si="115"/>
        <v>2044</v>
      </c>
      <c r="F213" s="35">
        <f t="shared" si="119"/>
        <v>52442</v>
      </c>
      <c r="G213" s="36">
        <f t="shared" si="121"/>
        <v>7</v>
      </c>
      <c r="H213" s="41">
        <f t="shared" si="120"/>
        <v>31</v>
      </c>
      <c r="I213" s="37" t="s">
        <v>123</v>
      </c>
      <c r="J213" s="27">
        <f t="shared" si="137"/>
        <v>0</v>
      </c>
      <c r="K213" s="27">
        <f t="shared" si="126"/>
        <v>0</v>
      </c>
      <c r="L213" s="27">
        <f t="shared" si="138"/>
        <v>0</v>
      </c>
      <c r="M213" s="27">
        <f t="shared" si="127"/>
        <v>0</v>
      </c>
      <c r="N213" s="27">
        <f t="shared" si="128"/>
        <v>0</v>
      </c>
      <c r="P213" s="72" t="s">
        <v>123</v>
      </c>
      <c r="Q213" s="44">
        <f t="shared" si="116"/>
        <v>186004.29070550937</v>
      </c>
      <c r="R213" s="44">
        <f t="shared" si="122"/>
        <v>977.87296831452579</v>
      </c>
      <c r="S213" s="44">
        <f t="shared" si="117"/>
        <v>2803.1270316854743</v>
      </c>
      <c r="T213" s="44">
        <f t="shared" si="118"/>
        <v>0</v>
      </c>
      <c r="U213" s="43">
        <f t="shared" si="129"/>
        <v>183201.1636738239</v>
      </c>
      <c r="W213" s="72" t="s">
        <v>123</v>
      </c>
      <c r="X213" s="44">
        <f t="shared" si="139"/>
        <v>268558.13362030301</v>
      </c>
      <c r="Y213" s="44">
        <f t="shared" si="123"/>
        <v>1411.880007134245</v>
      </c>
      <c r="Z213" s="44">
        <f t="shared" si="140"/>
        <v>1472.119992865755</v>
      </c>
      <c r="AA213" s="44">
        <f t="shared" si="141"/>
        <v>0</v>
      </c>
      <c r="AB213" s="43">
        <f t="shared" si="130"/>
        <v>267086.01362743723</v>
      </c>
      <c r="AD213" s="72" t="s">
        <v>123</v>
      </c>
      <c r="AE213" s="44">
        <f t="shared" si="142"/>
        <v>515084.59912447253</v>
      </c>
      <c r="AF213" s="44">
        <f t="shared" si="124"/>
        <v>2769.1794763341163</v>
      </c>
      <c r="AG213" s="44">
        <f t="shared" si="143"/>
        <v>3272.8205236658837</v>
      </c>
      <c r="AH213" s="44">
        <f t="shared" si="144"/>
        <v>0</v>
      </c>
      <c r="AI213" s="43">
        <f t="shared" si="131"/>
        <v>511811.77860080666</v>
      </c>
      <c r="AK213" s="101">
        <f t="shared" si="114"/>
        <v>2044</v>
      </c>
      <c r="AL213" s="101">
        <f t="shared" si="125"/>
        <v>7</v>
      </c>
      <c r="AM213" s="118">
        <f t="shared" si="145"/>
        <v>977.87296831452579</v>
      </c>
      <c r="AN213" s="100">
        <f t="shared" si="146"/>
        <v>1411.880007134245</v>
      </c>
      <c r="AO213" s="100">
        <f t="shared" si="147"/>
        <v>2769.1794763341163</v>
      </c>
      <c r="AP213" s="100">
        <f t="shared" si="148"/>
        <v>2389.7529754487709</v>
      </c>
      <c r="AQ213" s="1">
        <f t="shared" si="149"/>
        <v>6665</v>
      </c>
      <c r="AR213" s="100">
        <f t="shared" si="132"/>
        <v>450287.17730126111</v>
      </c>
      <c r="AS213" s="100">
        <f t="shared" si="133"/>
        <v>5158.9324517828873</v>
      </c>
      <c r="AT213" s="100">
        <f t="shared" si="150"/>
        <v>7548.0675482171137</v>
      </c>
      <c r="AU213" s="1">
        <f t="shared" si="134"/>
        <v>12707</v>
      </c>
      <c r="AV213" s="100">
        <f t="shared" si="135"/>
        <v>962098.95590206771</v>
      </c>
    </row>
    <row r="214" spans="4:48">
      <c r="D214" s="39">
        <f t="shared" si="136"/>
        <v>206</v>
      </c>
      <c r="E214" s="40">
        <f t="shared" si="115"/>
        <v>2044</v>
      </c>
      <c r="F214" s="35">
        <f t="shared" si="119"/>
        <v>52473</v>
      </c>
      <c r="G214" s="36">
        <f t="shared" si="121"/>
        <v>8</v>
      </c>
      <c r="H214" s="41">
        <f t="shared" si="120"/>
        <v>31</v>
      </c>
      <c r="I214" s="37" t="s">
        <v>123</v>
      </c>
      <c r="J214" s="27">
        <f t="shared" si="137"/>
        <v>0</v>
      </c>
      <c r="K214" s="27">
        <f t="shared" si="126"/>
        <v>0</v>
      </c>
      <c r="L214" s="27">
        <f t="shared" si="138"/>
        <v>0</v>
      </c>
      <c r="M214" s="27">
        <f t="shared" si="127"/>
        <v>0</v>
      </c>
      <c r="N214" s="27">
        <f t="shared" si="128"/>
        <v>0</v>
      </c>
      <c r="P214" s="72" t="s">
        <v>123</v>
      </c>
      <c r="Q214" s="44">
        <f t="shared" si="116"/>
        <v>183201.1636738239</v>
      </c>
      <c r="R214" s="44">
        <f t="shared" si="122"/>
        <v>963.13619992794713</v>
      </c>
      <c r="S214" s="44">
        <f t="shared" si="117"/>
        <v>2817.863800072053</v>
      </c>
      <c r="T214" s="44">
        <f t="shared" si="118"/>
        <v>0</v>
      </c>
      <c r="U214" s="43">
        <f t="shared" si="129"/>
        <v>180383.29987375185</v>
      </c>
      <c r="W214" s="72" t="s">
        <v>123</v>
      </c>
      <c r="X214" s="44">
        <f t="shared" si="139"/>
        <v>267086.01362743723</v>
      </c>
      <c r="Y214" s="44">
        <f t="shared" si="123"/>
        <v>1404.140689177231</v>
      </c>
      <c r="Z214" s="44">
        <f t="shared" si="140"/>
        <v>1479.859310822769</v>
      </c>
      <c r="AA214" s="44">
        <f t="shared" si="141"/>
        <v>0</v>
      </c>
      <c r="AB214" s="43">
        <f t="shared" si="130"/>
        <v>265606.15431661444</v>
      </c>
      <c r="AD214" s="72" t="s">
        <v>123</v>
      </c>
      <c r="AE214" s="44">
        <f t="shared" si="142"/>
        <v>511811.77860080666</v>
      </c>
      <c r="AF214" s="44">
        <f t="shared" si="124"/>
        <v>2751.584255200994</v>
      </c>
      <c r="AG214" s="44">
        <f t="shared" si="143"/>
        <v>3290.415744799006</v>
      </c>
      <c r="AH214" s="44">
        <f t="shared" si="144"/>
        <v>0</v>
      </c>
      <c r="AI214" s="43">
        <f t="shared" si="131"/>
        <v>508521.36285600765</v>
      </c>
      <c r="AK214" s="101">
        <f t="shared" si="114"/>
        <v>2044</v>
      </c>
      <c r="AL214" s="101">
        <f t="shared" si="125"/>
        <v>8</v>
      </c>
      <c r="AM214" s="118">
        <f t="shared" si="145"/>
        <v>1941.0091682424729</v>
      </c>
      <c r="AN214" s="100">
        <f t="shared" si="146"/>
        <v>2816.0206963114761</v>
      </c>
      <c r="AO214" s="100">
        <f t="shared" si="147"/>
        <v>5520.7637315351103</v>
      </c>
      <c r="AP214" s="100">
        <f t="shared" si="148"/>
        <v>4757.0298645539488</v>
      </c>
      <c r="AQ214" s="1">
        <f t="shared" si="149"/>
        <v>13330</v>
      </c>
      <c r="AR214" s="100">
        <f t="shared" si="132"/>
        <v>445989.45419036632</v>
      </c>
      <c r="AS214" s="100">
        <f t="shared" si="133"/>
        <v>10277.793596089059</v>
      </c>
      <c r="AT214" s="100">
        <f t="shared" si="150"/>
        <v>15136.206403910941</v>
      </c>
      <c r="AU214" s="1">
        <f t="shared" si="134"/>
        <v>25414</v>
      </c>
      <c r="AV214" s="100">
        <f t="shared" si="135"/>
        <v>954510.81704637397</v>
      </c>
    </row>
    <row r="215" spans="4:48">
      <c r="D215" s="39">
        <f t="shared" si="136"/>
        <v>207</v>
      </c>
      <c r="E215" s="40">
        <f t="shared" si="115"/>
        <v>2044</v>
      </c>
      <c r="F215" s="35">
        <f t="shared" si="119"/>
        <v>52504</v>
      </c>
      <c r="G215" s="36">
        <f t="shared" si="121"/>
        <v>9</v>
      </c>
      <c r="H215" s="41">
        <f t="shared" si="120"/>
        <v>30</v>
      </c>
      <c r="I215" s="37" t="s">
        <v>123</v>
      </c>
      <c r="J215" s="27">
        <f t="shared" si="137"/>
        <v>0</v>
      </c>
      <c r="K215" s="27">
        <f t="shared" si="126"/>
        <v>0</v>
      </c>
      <c r="L215" s="27">
        <f t="shared" si="138"/>
        <v>0</v>
      </c>
      <c r="M215" s="27">
        <f t="shared" si="127"/>
        <v>0</v>
      </c>
      <c r="N215" s="27">
        <f t="shared" si="128"/>
        <v>0</v>
      </c>
      <c r="P215" s="72" t="s">
        <v>123</v>
      </c>
      <c r="Q215" s="44">
        <f t="shared" si="116"/>
        <v>180383.29987375185</v>
      </c>
      <c r="R215" s="44">
        <f t="shared" si="122"/>
        <v>917.73092565906063</v>
      </c>
      <c r="S215" s="44">
        <f t="shared" si="117"/>
        <v>2863.2690743409394</v>
      </c>
      <c r="T215" s="44">
        <f t="shared" si="118"/>
        <v>0</v>
      </c>
      <c r="U215" s="43">
        <f t="shared" si="129"/>
        <v>177520.03079941092</v>
      </c>
      <c r="W215" s="72" t="s">
        <v>123</v>
      </c>
      <c r="X215" s="44">
        <f t="shared" si="139"/>
        <v>265606.15431661444</v>
      </c>
      <c r="Y215" s="44">
        <f t="shared" si="123"/>
        <v>1351.3167905916521</v>
      </c>
      <c r="Z215" s="44">
        <f t="shared" si="140"/>
        <v>1532.6832094083479</v>
      </c>
      <c r="AA215" s="44">
        <f t="shared" si="141"/>
        <v>0</v>
      </c>
      <c r="AB215" s="43">
        <f t="shared" si="130"/>
        <v>264073.47110720607</v>
      </c>
      <c r="AD215" s="72" t="s">
        <v>123</v>
      </c>
      <c r="AE215" s="44">
        <f t="shared" si="142"/>
        <v>508521.36285600765</v>
      </c>
      <c r="AF215" s="44">
        <f t="shared" si="124"/>
        <v>2645.704296064544</v>
      </c>
      <c r="AG215" s="44">
        <f t="shared" si="143"/>
        <v>3396.295703935456</v>
      </c>
      <c r="AH215" s="44">
        <f t="shared" si="144"/>
        <v>0</v>
      </c>
      <c r="AI215" s="43">
        <f t="shared" si="131"/>
        <v>505125.06715207221</v>
      </c>
      <c r="AK215" s="101">
        <f t="shared" ref="AK215:AK278" si="151">E215</f>
        <v>2044</v>
      </c>
      <c r="AL215" s="101">
        <f t="shared" si="125"/>
        <v>9</v>
      </c>
      <c r="AM215" s="118">
        <f t="shared" si="145"/>
        <v>2858.7400939015333</v>
      </c>
      <c r="AN215" s="100">
        <f t="shared" si="146"/>
        <v>4167.3374869031286</v>
      </c>
      <c r="AO215" s="100">
        <f t="shared" si="147"/>
        <v>8166.4680275996543</v>
      </c>
      <c r="AP215" s="100">
        <f t="shared" si="148"/>
        <v>7026.0775808046619</v>
      </c>
      <c r="AQ215" s="1">
        <f t="shared" si="149"/>
        <v>19995</v>
      </c>
      <c r="AR215" s="100">
        <f t="shared" si="132"/>
        <v>441593.50190661696</v>
      </c>
      <c r="AS215" s="100">
        <f t="shared" si="133"/>
        <v>15192.545608404316</v>
      </c>
      <c r="AT215" s="100">
        <f t="shared" si="150"/>
        <v>22928.454391595682</v>
      </c>
      <c r="AU215" s="1">
        <f t="shared" si="134"/>
        <v>38121</v>
      </c>
      <c r="AV215" s="100">
        <f t="shared" si="135"/>
        <v>946718.56905868917</v>
      </c>
    </row>
    <row r="216" spans="4:48">
      <c r="D216" s="39">
        <f t="shared" si="136"/>
        <v>208</v>
      </c>
      <c r="E216" s="40">
        <f t="shared" si="115"/>
        <v>2044</v>
      </c>
      <c r="F216" s="35">
        <f t="shared" si="119"/>
        <v>52534</v>
      </c>
      <c r="G216" s="36">
        <f t="shared" si="121"/>
        <v>10</v>
      </c>
      <c r="H216" s="41">
        <f t="shared" si="120"/>
        <v>31</v>
      </c>
      <c r="I216" s="37" t="s">
        <v>123</v>
      </c>
      <c r="J216" s="27">
        <f t="shared" si="137"/>
        <v>0</v>
      </c>
      <c r="K216" s="27">
        <f t="shared" si="126"/>
        <v>0</v>
      </c>
      <c r="L216" s="27">
        <f t="shared" si="138"/>
        <v>0</v>
      </c>
      <c r="M216" s="27">
        <f t="shared" si="127"/>
        <v>0</v>
      </c>
      <c r="N216" s="27">
        <f t="shared" si="128"/>
        <v>0</v>
      </c>
      <c r="P216" s="72" t="s">
        <v>123</v>
      </c>
      <c r="Q216" s="44">
        <f t="shared" si="116"/>
        <v>177520.03079941092</v>
      </c>
      <c r="R216" s="44">
        <f t="shared" si="122"/>
        <v>933.26900575613593</v>
      </c>
      <c r="S216" s="44">
        <f t="shared" si="117"/>
        <v>2847.7309942438642</v>
      </c>
      <c r="T216" s="44">
        <f t="shared" si="118"/>
        <v>0</v>
      </c>
      <c r="U216" s="43">
        <f t="shared" si="129"/>
        <v>174672.29980516704</v>
      </c>
      <c r="W216" s="72" t="s">
        <v>123</v>
      </c>
      <c r="X216" s="44">
        <f t="shared" si="139"/>
        <v>264073.47110720607</v>
      </c>
      <c r="Y216" s="44">
        <f t="shared" si="123"/>
        <v>1388.3029690619665</v>
      </c>
      <c r="Z216" s="44">
        <f t="shared" si="140"/>
        <v>1495.6970309380335</v>
      </c>
      <c r="AA216" s="44">
        <f t="shared" si="141"/>
        <v>0</v>
      </c>
      <c r="AB216" s="43">
        <f t="shared" si="130"/>
        <v>262577.77407626802</v>
      </c>
      <c r="AD216" s="72" t="s">
        <v>123</v>
      </c>
      <c r="AE216" s="44">
        <f t="shared" si="142"/>
        <v>505125.06715207221</v>
      </c>
      <c r="AF216" s="44">
        <f t="shared" si="124"/>
        <v>2715.6353952671543</v>
      </c>
      <c r="AG216" s="44">
        <f t="shared" si="143"/>
        <v>3326.3646047328457</v>
      </c>
      <c r="AH216" s="44">
        <f t="shared" si="144"/>
        <v>0</v>
      </c>
      <c r="AI216" s="43">
        <f t="shared" si="131"/>
        <v>501798.70254733937</v>
      </c>
      <c r="AK216" s="101">
        <f t="shared" si="151"/>
        <v>2044</v>
      </c>
      <c r="AL216" s="101">
        <f t="shared" si="125"/>
        <v>10</v>
      </c>
      <c r="AM216" s="118">
        <f t="shared" si="145"/>
        <v>3792.0090996576691</v>
      </c>
      <c r="AN216" s="100">
        <f t="shared" si="146"/>
        <v>5555.6404559650946</v>
      </c>
      <c r="AO216" s="100">
        <f t="shared" si="147"/>
        <v>10882.103422866809</v>
      </c>
      <c r="AP216" s="100">
        <f t="shared" si="148"/>
        <v>9347.6495556227637</v>
      </c>
      <c r="AQ216" s="1">
        <f t="shared" si="149"/>
        <v>26660</v>
      </c>
      <c r="AR216" s="100">
        <f t="shared" si="132"/>
        <v>437250.07388143509</v>
      </c>
      <c r="AS216" s="100">
        <f t="shared" si="133"/>
        <v>20229.752978489574</v>
      </c>
      <c r="AT216" s="100">
        <f t="shared" si="150"/>
        <v>30598.247021510426</v>
      </c>
      <c r="AU216" s="1">
        <f t="shared" si="134"/>
        <v>50828</v>
      </c>
      <c r="AV216" s="100">
        <f t="shared" si="135"/>
        <v>939048.77642877446</v>
      </c>
    </row>
    <row r="217" spans="4:48">
      <c r="D217" s="39">
        <f t="shared" si="136"/>
        <v>209</v>
      </c>
      <c r="E217" s="40">
        <f t="shared" si="115"/>
        <v>2044</v>
      </c>
      <c r="F217" s="35">
        <f t="shared" si="119"/>
        <v>52565</v>
      </c>
      <c r="G217" s="36">
        <f t="shared" si="121"/>
        <v>11</v>
      </c>
      <c r="H217" s="41">
        <f t="shared" si="120"/>
        <v>30</v>
      </c>
      <c r="I217" s="37" t="s">
        <v>123</v>
      </c>
      <c r="J217" s="27">
        <f t="shared" si="137"/>
        <v>0</v>
      </c>
      <c r="K217" s="27">
        <f t="shared" si="126"/>
        <v>0</v>
      </c>
      <c r="L217" s="27">
        <f t="shared" si="138"/>
        <v>0</v>
      </c>
      <c r="M217" s="27">
        <f t="shared" si="127"/>
        <v>0</v>
      </c>
      <c r="N217" s="27">
        <f t="shared" si="128"/>
        <v>0</v>
      </c>
      <c r="P217" s="72" t="s">
        <v>123</v>
      </c>
      <c r="Q217" s="44">
        <f t="shared" si="116"/>
        <v>174672.29980516704</v>
      </c>
      <c r="R217" s="44">
        <f t="shared" si="122"/>
        <v>888.67523489916493</v>
      </c>
      <c r="S217" s="44">
        <f t="shared" si="117"/>
        <v>2892.3247651008351</v>
      </c>
      <c r="T217" s="44">
        <f t="shared" si="118"/>
        <v>0</v>
      </c>
      <c r="U217" s="43">
        <f t="shared" si="129"/>
        <v>171779.9750400662</v>
      </c>
      <c r="W217" s="72" t="s">
        <v>123</v>
      </c>
      <c r="X217" s="44">
        <f t="shared" si="139"/>
        <v>262577.77407626802</v>
      </c>
      <c r="Y217" s="44">
        <f t="shared" si="123"/>
        <v>1335.9093875606293</v>
      </c>
      <c r="Z217" s="44">
        <f t="shared" si="140"/>
        <v>1548.0906124393707</v>
      </c>
      <c r="AA217" s="44">
        <f t="shared" si="141"/>
        <v>0</v>
      </c>
      <c r="AB217" s="43">
        <f t="shared" si="130"/>
        <v>261029.68346382864</v>
      </c>
      <c r="AD217" s="72" t="s">
        <v>123</v>
      </c>
      <c r="AE217" s="44">
        <f t="shared" si="142"/>
        <v>501798.70254733937</v>
      </c>
      <c r="AF217" s="44">
        <f t="shared" si="124"/>
        <v>2610.7280442120477</v>
      </c>
      <c r="AG217" s="44">
        <f t="shared" si="143"/>
        <v>3431.2719557879523</v>
      </c>
      <c r="AH217" s="44">
        <f t="shared" si="144"/>
        <v>0</v>
      </c>
      <c r="AI217" s="43">
        <f t="shared" si="131"/>
        <v>498367.43059155141</v>
      </c>
      <c r="AK217" s="101">
        <f t="shared" si="151"/>
        <v>2044</v>
      </c>
      <c r="AL217" s="101">
        <f t="shared" si="125"/>
        <v>11</v>
      </c>
      <c r="AM217" s="118">
        <f t="shared" si="145"/>
        <v>4680.6843345568341</v>
      </c>
      <c r="AN217" s="100">
        <f t="shared" si="146"/>
        <v>6891.5498435257241</v>
      </c>
      <c r="AO217" s="100">
        <f t="shared" si="147"/>
        <v>13492.831467078857</v>
      </c>
      <c r="AP217" s="100">
        <f t="shared" si="148"/>
        <v>11572.234178082559</v>
      </c>
      <c r="AQ217" s="1">
        <f t="shared" si="149"/>
        <v>33325</v>
      </c>
      <c r="AR217" s="100">
        <f t="shared" si="132"/>
        <v>432809.65850389481</v>
      </c>
      <c r="AS217" s="100">
        <f t="shared" si="133"/>
        <v>25065.065645161416</v>
      </c>
      <c r="AT217" s="100">
        <f t="shared" si="150"/>
        <v>38469.934354838588</v>
      </c>
      <c r="AU217" s="1">
        <f t="shared" si="134"/>
        <v>63535</v>
      </c>
      <c r="AV217" s="100">
        <f t="shared" si="135"/>
        <v>931177.08909544628</v>
      </c>
    </row>
    <row r="218" spans="4:48">
      <c r="D218" s="39">
        <f t="shared" si="136"/>
        <v>210</v>
      </c>
      <c r="E218" s="40">
        <f t="shared" si="115"/>
        <v>2044</v>
      </c>
      <c r="F218" s="35">
        <f t="shared" si="119"/>
        <v>52595</v>
      </c>
      <c r="G218" s="36">
        <f t="shared" si="121"/>
        <v>12</v>
      </c>
      <c r="H218" s="41">
        <f t="shared" si="120"/>
        <v>31</v>
      </c>
      <c r="I218" s="37" t="s">
        <v>123</v>
      </c>
      <c r="J218" s="27">
        <f t="shared" si="137"/>
        <v>0</v>
      </c>
      <c r="K218" s="27">
        <f t="shared" si="126"/>
        <v>0</v>
      </c>
      <c r="L218" s="27">
        <f t="shared" si="138"/>
        <v>0</v>
      </c>
      <c r="M218" s="27">
        <f t="shared" si="127"/>
        <v>0</v>
      </c>
      <c r="N218" s="27">
        <f t="shared" si="128"/>
        <v>0</v>
      </c>
      <c r="P218" s="72" t="s">
        <v>123</v>
      </c>
      <c r="Q218" s="44">
        <f t="shared" si="116"/>
        <v>171779.9750400662</v>
      </c>
      <c r="R218" s="44">
        <f t="shared" si="122"/>
        <v>903.09203864214533</v>
      </c>
      <c r="S218" s="44">
        <f t="shared" si="117"/>
        <v>2877.9079613578547</v>
      </c>
      <c r="T218" s="44">
        <f t="shared" si="118"/>
        <v>0</v>
      </c>
      <c r="U218" s="43">
        <f t="shared" si="129"/>
        <v>168902.06707870835</v>
      </c>
      <c r="W218" s="72" t="s">
        <v>123</v>
      </c>
      <c r="X218" s="44">
        <f t="shared" si="139"/>
        <v>261029.68346382864</v>
      </c>
      <c r="Y218" s="44">
        <f t="shared" si="123"/>
        <v>1372.3009852020293</v>
      </c>
      <c r="Z218" s="44">
        <f t="shared" si="140"/>
        <v>1511.6990147979707</v>
      </c>
      <c r="AA218" s="44">
        <f t="shared" si="141"/>
        <v>0</v>
      </c>
      <c r="AB218" s="43">
        <f t="shared" si="130"/>
        <v>259517.98444903066</v>
      </c>
      <c r="AD218" s="72" t="s">
        <v>123</v>
      </c>
      <c r="AE218" s="44">
        <f t="shared" si="142"/>
        <v>498367.43059155141</v>
      </c>
      <c r="AF218" s="44">
        <f t="shared" si="124"/>
        <v>2679.3052302734282</v>
      </c>
      <c r="AG218" s="44">
        <f t="shared" si="143"/>
        <v>3362.6947697265718</v>
      </c>
      <c r="AH218" s="44">
        <f t="shared" si="144"/>
        <v>0</v>
      </c>
      <c r="AI218" s="43">
        <f t="shared" si="131"/>
        <v>495004.73582182481</v>
      </c>
      <c r="AK218" s="101">
        <f t="shared" si="151"/>
        <v>2044</v>
      </c>
      <c r="AL218" s="101">
        <f t="shared" si="125"/>
        <v>12</v>
      </c>
      <c r="AM218" s="118">
        <f t="shared" si="145"/>
        <v>5583.7763731989799</v>
      </c>
      <c r="AN218" s="100">
        <f t="shared" si="146"/>
        <v>8263.8508287277527</v>
      </c>
      <c r="AO218" s="100">
        <f t="shared" si="147"/>
        <v>16172.136697352285</v>
      </c>
      <c r="AP218" s="100">
        <f t="shared" si="148"/>
        <v>13847.627201926733</v>
      </c>
      <c r="AQ218" s="1">
        <f t="shared" si="149"/>
        <v>39990</v>
      </c>
      <c r="AR218" s="100">
        <f t="shared" si="132"/>
        <v>428420.05152773904</v>
      </c>
      <c r="AS218" s="100">
        <f t="shared" si="133"/>
        <v>30019.763899279016</v>
      </c>
      <c r="AT218" s="100">
        <f t="shared" si="150"/>
        <v>46222.236100720991</v>
      </c>
      <c r="AU218" s="1">
        <f t="shared" si="134"/>
        <v>76242</v>
      </c>
      <c r="AV218" s="100">
        <f t="shared" si="135"/>
        <v>923424.78734956379</v>
      </c>
    </row>
    <row r="219" spans="4:48">
      <c r="D219" s="39">
        <f t="shared" si="136"/>
        <v>211</v>
      </c>
      <c r="E219" s="40">
        <f t="shared" si="115"/>
        <v>2044</v>
      </c>
      <c r="F219" s="35">
        <f t="shared" si="119"/>
        <v>52626</v>
      </c>
      <c r="G219" s="36">
        <f t="shared" si="121"/>
        <v>1</v>
      </c>
      <c r="H219" s="41">
        <f t="shared" si="120"/>
        <v>31</v>
      </c>
      <c r="I219" s="37" t="s">
        <v>123</v>
      </c>
      <c r="J219" s="27">
        <f t="shared" si="137"/>
        <v>0</v>
      </c>
      <c r="K219" s="27">
        <f t="shared" si="126"/>
        <v>0</v>
      </c>
      <c r="L219" s="27">
        <f t="shared" si="138"/>
        <v>0</v>
      </c>
      <c r="M219" s="27">
        <f t="shared" si="127"/>
        <v>0</v>
      </c>
      <c r="N219" s="27">
        <f t="shared" si="128"/>
        <v>0</v>
      </c>
      <c r="P219" s="72" t="s">
        <v>123</v>
      </c>
      <c r="Q219" s="44">
        <f t="shared" si="116"/>
        <v>168902.06707870835</v>
      </c>
      <c r="R219" s="44">
        <f t="shared" si="122"/>
        <v>887.96212744474906</v>
      </c>
      <c r="S219" s="44">
        <f t="shared" si="117"/>
        <v>2893.0378725552509</v>
      </c>
      <c r="T219" s="44">
        <f t="shared" si="118"/>
        <v>0</v>
      </c>
      <c r="U219" s="43">
        <f t="shared" si="129"/>
        <v>166009.02920615309</v>
      </c>
      <c r="W219" s="72" t="s">
        <v>123</v>
      </c>
      <c r="X219" s="44">
        <f t="shared" si="139"/>
        <v>259517.98444903066</v>
      </c>
      <c r="Y219" s="44">
        <f t="shared" si="123"/>
        <v>1364.3535900253285</v>
      </c>
      <c r="Z219" s="44">
        <f t="shared" si="140"/>
        <v>1519.6464099746715</v>
      </c>
      <c r="AA219" s="44">
        <f t="shared" si="141"/>
        <v>0</v>
      </c>
      <c r="AB219" s="43">
        <f t="shared" si="130"/>
        <v>257998.33803905599</v>
      </c>
      <c r="AD219" s="72" t="s">
        <v>123</v>
      </c>
      <c r="AE219" s="44">
        <f t="shared" si="142"/>
        <v>495004.73582182481</v>
      </c>
      <c r="AF219" s="44">
        <f t="shared" si="124"/>
        <v>2661.2268304196346</v>
      </c>
      <c r="AG219" s="44">
        <f t="shared" si="143"/>
        <v>3380.7731695803654</v>
      </c>
      <c r="AH219" s="44">
        <f t="shared" si="144"/>
        <v>0</v>
      </c>
      <c r="AI219" s="43">
        <f t="shared" si="131"/>
        <v>491623.96265224443</v>
      </c>
      <c r="AK219" s="101">
        <f t="shared" si="151"/>
        <v>2044</v>
      </c>
      <c r="AL219" s="101">
        <f t="shared" si="125"/>
        <v>1</v>
      </c>
      <c r="AM219" s="118">
        <f t="shared" si="145"/>
        <v>6471.7385006437289</v>
      </c>
      <c r="AN219" s="100">
        <f t="shared" si="146"/>
        <v>9628.204418753081</v>
      </c>
      <c r="AO219" s="100">
        <f t="shared" si="147"/>
        <v>18833.363527771919</v>
      </c>
      <c r="AP219" s="100">
        <f t="shared" si="148"/>
        <v>16099.94291939681</v>
      </c>
      <c r="AQ219" s="1">
        <f t="shared" si="149"/>
        <v>46655</v>
      </c>
      <c r="AR219" s="100">
        <f t="shared" si="132"/>
        <v>424007.36724520905</v>
      </c>
      <c r="AS219" s="100">
        <f t="shared" si="133"/>
        <v>34933.306447168725</v>
      </c>
      <c r="AT219" s="100">
        <f t="shared" si="150"/>
        <v>54015.693552831282</v>
      </c>
      <c r="AU219" s="1">
        <f t="shared" si="134"/>
        <v>88949</v>
      </c>
      <c r="AV219" s="100">
        <f t="shared" si="135"/>
        <v>915631.32989745354</v>
      </c>
    </row>
    <row r="220" spans="4:48">
      <c r="D220" s="39">
        <f t="shared" si="136"/>
        <v>212</v>
      </c>
      <c r="E220" s="40">
        <f t="shared" si="115"/>
        <v>2044</v>
      </c>
      <c r="F220" s="35">
        <f t="shared" si="119"/>
        <v>52656</v>
      </c>
      <c r="G220" s="36">
        <f t="shared" si="121"/>
        <v>2</v>
      </c>
      <c r="H220" s="41">
        <f t="shared" si="120"/>
        <v>29</v>
      </c>
      <c r="I220" s="37" t="s">
        <v>123</v>
      </c>
      <c r="J220" s="27">
        <f t="shared" si="137"/>
        <v>0</v>
      </c>
      <c r="K220" s="27">
        <f t="shared" si="126"/>
        <v>0</v>
      </c>
      <c r="L220" s="27">
        <f t="shared" si="138"/>
        <v>0</v>
      </c>
      <c r="M220" s="27">
        <f t="shared" si="127"/>
        <v>0</v>
      </c>
      <c r="N220" s="27">
        <f t="shared" si="128"/>
        <v>0</v>
      </c>
      <c r="P220" s="72" t="s">
        <v>123</v>
      </c>
      <c r="Q220" s="44">
        <f t="shared" si="116"/>
        <v>166009.02920615309</v>
      </c>
      <c r="R220" s="44">
        <f t="shared" si="122"/>
        <v>816.44605021360383</v>
      </c>
      <c r="S220" s="44">
        <f t="shared" si="117"/>
        <v>2964.5539497863961</v>
      </c>
      <c r="T220" s="44">
        <f t="shared" si="118"/>
        <v>0</v>
      </c>
      <c r="U220" s="43">
        <f t="shared" si="129"/>
        <v>163044.47525636668</v>
      </c>
      <c r="W220" s="72" t="s">
        <v>123</v>
      </c>
      <c r="X220" s="44">
        <f t="shared" si="139"/>
        <v>257998.33803905599</v>
      </c>
      <c r="Y220" s="44">
        <f t="shared" si="123"/>
        <v>1268.8570318189297</v>
      </c>
      <c r="Z220" s="44">
        <f t="shared" si="140"/>
        <v>1615.1429681810703</v>
      </c>
      <c r="AA220" s="44">
        <f t="shared" si="141"/>
        <v>0</v>
      </c>
      <c r="AB220" s="43">
        <f t="shared" si="130"/>
        <v>256383.19507087491</v>
      </c>
      <c r="AD220" s="72" t="s">
        <v>123</v>
      </c>
      <c r="AE220" s="44">
        <f t="shared" si="142"/>
        <v>491623.96265224443</v>
      </c>
      <c r="AF220" s="44">
        <f t="shared" si="124"/>
        <v>2472.5318033992467</v>
      </c>
      <c r="AG220" s="44">
        <f t="shared" si="143"/>
        <v>3569.4681966007533</v>
      </c>
      <c r="AH220" s="44">
        <f t="shared" si="144"/>
        <v>0</v>
      </c>
      <c r="AI220" s="43">
        <f t="shared" si="131"/>
        <v>488054.4944556437</v>
      </c>
      <c r="AK220" s="101">
        <f t="shared" si="151"/>
        <v>2044</v>
      </c>
      <c r="AL220" s="101">
        <f t="shared" si="125"/>
        <v>2</v>
      </c>
      <c r="AM220" s="118">
        <f t="shared" si="145"/>
        <v>7288.1845508573324</v>
      </c>
      <c r="AN220" s="100">
        <f t="shared" si="146"/>
        <v>10897.061450572011</v>
      </c>
      <c r="AO220" s="100">
        <f t="shared" si="147"/>
        <v>21305.895331171167</v>
      </c>
      <c r="AP220" s="100">
        <f t="shared" si="148"/>
        <v>18185.246001429343</v>
      </c>
      <c r="AQ220" s="1">
        <f t="shared" si="149"/>
        <v>53320</v>
      </c>
      <c r="AR220" s="100">
        <f t="shared" si="132"/>
        <v>419427.67032724159</v>
      </c>
      <c r="AS220" s="100">
        <f t="shared" si="133"/>
        <v>39491.141332600513</v>
      </c>
      <c r="AT220" s="100">
        <f t="shared" si="150"/>
        <v>62164.858667399501</v>
      </c>
      <c r="AU220" s="1">
        <f t="shared" si="134"/>
        <v>101656.00000000001</v>
      </c>
      <c r="AV220" s="100">
        <f t="shared" si="135"/>
        <v>907482.16478288523</v>
      </c>
    </row>
    <row r="221" spans="4:48">
      <c r="D221" s="39">
        <f t="shared" si="136"/>
        <v>213</v>
      </c>
      <c r="E221" s="40">
        <f t="shared" si="115"/>
        <v>2044</v>
      </c>
      <c r="F221" s="35">
        <f t="shared" si="119"/>
        <v>52686</v>
      </c>
      <c r="G221" s="36">
        <f t="shared" si="121"/>
        <v>3</v>
      </c>
      <c r="H221" s="41">
        <f t="shared" si="120"/>
        <v>31</v>
      </c>
      <c r="I221" s="37" t="s">
        <v>123</v>
      </c>
      <c r="J221" s="27">
        <f t="shared" si="137"/>
        <v>0</v>
      </c>
      <c r="K221" s="27">
        <f t="shared" si="126"/>
        <v>0</v>
      </c>
      <c r="L221" s="27">
        <f t="shared" si="138"/>
        <v>0</v>
      </c>
      <c r="M221" s="27">
        <f t="shared" si="127"/>
        <v>0</v>
      </c>
      <c r="N221" s="27">
        <f t="shared" si="128"/>
        <v>0</v>
      </c>
      <c r="P221" s="72" t="s">
        <v>123</v>
      </c>
      <c r="Q221" s="44">
        <f t="shared" si="116"/>
        <v>163044.47525636668</v>
      </c>
      <c r="R221" s="44">
        <f t="shared" si="122"/>
        <v>857.16724265600556</v>
      </c>
      <c r="S221" s="44">
        <f t="shared" si="117"/>
        <v>2923.8327573439947</v>
      </c>
      <c r="T221" s="44">
        <f t="shared" si="118"/>
        <v>0</v>
      </c>
      <c r="U221" s="43">
        <f t="shared" si="129"/>
        <v>160120.64249902268</v>
      </c>
      <c r="W221" s="72" t="s">
        <v>123</v>
      </c>
      <c r="X221" s="44">
        <f t="shared" si="139"/>
        <v>256383.19507087491</v>
      </c>
      <c r="Y221" s="44">
        <f t="shared" si="123"/>
        <v>1347.8731863602791</v>
      </c>
      <c r="Z221" s="44">
        <f t="shared" si="140"/>
        <v>1536.1268136397209</v>
      </c>
      <c r="AA221" s="44">
        <f t="shared" si="141"/>
        <v>0</v>
      </c>
      <c r="AB221" s="43">
        <f t="shared" si="130"/>
        <v>254847.06825723519</v>
      </c>
      <c r="AD221" s="72" t="s">
        <v>123</v>
      </c>
      <c r="AE221" s="44">
        <f t="shared" si="142"/>
        <v>488054.4944556437</v>
      </c>
      <c r="AF221" s="44">
        <f t="shared" si="124"/>
        <v>2623.8611903296155</v>
      </c>
      <c r="AG221" s="44">
        <f t="shared" si="143"/>
        <v>3418.1388096703845</v>
      </c>
      <c r="AH221" s="44">
        <f t="shared" si="144"/>
        <v>0</v>
      </c>
      <c r="AI221" s="43">
        <f t="shared" si="131"/>
        <v>484636.35564597329</v>
      </c>
      <c r="AK221" s="101">
        <f t="shared" si="151"/>
        <v>2044</v>
      </c>
      <c r="AL221" s="101">
        <f t="shared" si="125"/>
        <v>3</v>
      </c>
      <c r="AM221" s="118">
        <f t="shared" si="145"/>
        <v>8145.3517935133377</v>
      </c>
      <c r="AN221" s="100">
        <f t="shared" si="146"/>
        <v>12244.93463693229</v>
      </c>
      <c r="AO221" s="100">
        <f t="shared" si="147"/>
        <v>23929.756521500782</v>
      </c>
      <c r="AP221" s="100">
        <f t="shared" si="148"/>
        <v>20390.286430445627</v>
      </c>
      <c r="AQ221" s="1">
        <f t="shared" si="149"/>
        <v>59985</v>
      </c>
      <c r="AR221" s="100">
        <f t="shared" si="132"/>
        <v>414967.71075625787</v>
      </c>
      <c r="AS221" s="100">
        <f t="shared" si="133"/>
        <v>44320.042951946409</v>
      </c>
      <c r="AT221" s="100">
        <f t="shared" si="150"/>
        <v>70042.957048053606</v>
      </c>
      <c r="AU221" s="1">
        <f t="shared" si="134"/>
        <v>114363.00000000001</v>
      </c>
      <c r="AV221" s="100">
        <f t="shared" si="135"/>
        <v>899604.06640223111</v>
      </c>
    </row>
    <row r="222" spans="4:48">
      <c r="D222" s="39">
        <f t="shared" si="136"/>
        <v>214</v>
      </c>
      <c r="E222" s="40">
        <f t="shared" si="115"/>
        <v>2044</v>
      </c>
      <c r="F222" s="35">
        <f t="shared" si="119"/>
        <v>52717</v>
      </c>
      <c r="G222" s="36">
        <f t="shared" si="121"/>
        <v>4</v>
      </c>
      <c r="H222" s="41">
        <f t="shared" si="120"/>
        <v>30</v>
      </c>
      <c r="I222" s="37" t="s">
        <v>123</v>
      </c>
      <c r="J222" s="27">
        <f t="shared" si="137"/>
        <v>0</v>
      </c>
      <c r="K222" s="27">
        <f t="shared" si="126"/>
        <v>0</v>
      </c>
      <c r="L222" s="27">
        <f t="shared" si="138"/>
        <v>0</v>
      </c>
      <c r="M222" s="27">
        <f t="shared" si="127"/>
        <v>0</v>
      </c>
      <c r="N222" s="27">
        <f t="shared" si="128"/>
        <v>0</v>
      </c>
      <c r="P222" s="72" t="s">
        <v>123</v>
      </c>
      <c r="Q222" s="44">
        <f t="shared" si="116"/>
        <v>160120.64249902268</v>
      </c>
      <c r="R222" s="44">
        <f t="shared" si="122"/>
        <v>814.64118663201396</v>
      </c>
      <c r="S222" s="44">
        <f t="shared" si="117"/>
        <v>2966.3588133679859</v>
      </c>
      <c r="T222" s="44">
        <f t="shared" si="118"/>
        <v>0</v>
      </c>
      <c r="U222" s="43">
        <f t="shared" si="129"/>
        <v>157154.28368565469</v>
      </c>
      <c r="W222" s="72" t="s">
        <v>123</v>
      </c>
      <c r="X222" s="44">
        <f t="shared" si="139"/>
        <v>254847.06825723519</v>
      </c>
      <c r="Y222" s="44">
        <f t="shared" si="123"/>
        <v>1296.5780979553033</v>
      </c>
      <c r="Z222" s="44">
        <f t="shared" si="140"/>
        <v>1587.4219020446967</v>
      </c>
      <c r="AA222" s="44">
        <f t="shared" si="141"/>
        <v>0</v>
      </c>
      <c r="AB222" s="43">
        <f t="shared" si="130"/>
        <v>253259.64635519049</v>
      </c>
      <c r="AD222" s="72" t="s">
        <v>123</v>
      </c>
      <c r="AE222" s="44">
        <f t="shared" si="142"/>
        <v>484636.35564597329</v>
      </c>
      <c r="AF222" s="44">
        <f t="shared" si="124"/>
        <v>2521.4368201964471</v>
      </c>
      <c r="AG222" s="44">
        <f t="shared" si="143"/>
        <v>3520.5631798035529</v>
      </c>
      <c r="AH222" s="44">
        <f t="shared" si="144"/>
        <v>0</v>
      </c>
      <c r="AI222" s="43">
        <f t="shared" si="131"/>
        <v>481115.79246616975</v>
      </c>
      <c r="AK222" s="101">
        <f t="shared" si="151"/>
        <v>2044</v>
      </c>
      <c r="AL222" s="101">
        <f t="shared" si="125"/>
        <v>4</v>
      </c>
      <c r="AM222" s="118">
        <f t="shared" si="145"/>
        <v>8959.9929801453509</v>
      </c>
      <c r="AN222" s="100">
        <f t="shared" si="146"/>
        <v>13541.512734887594</v>
      </c>
      <c r="AO222" s="100">
        <f t="shared" si="147"/>
        <v>26451.193341697228</v>
      </c>
      <c r="AP222" s="100">
        <f t="shared" si="148"/>
        <v>22501.505715032945</v>
      </c>
      <c r="AQ222" s="1">
        <f t="shared" si="149"/>
        <v>66650</v>
      </c>
      <c r="AR222" s="100">
        <f t="shared" si="132"/>
        <v>410413.93004084518</v>
      </c>
      <c r="AS222" s="100">
        <f t="shared" si="133"/>
        <v>48952.699056730169</v>
      </c>
      <c r="AT222" s="100">
        <f t="shared" si="150"/>
        <v>78117.300943269831</v>
      </c>
      <c r="AU222" s="1">
        <f t="shared" si="134"/>
        <v>127070</v>
      </c>
      <c r="AV222" s="100">
        <f t="shared" si="135"/>
        <v>891529.72250701487</v>
      </c>
    </row>
    <row r="223" spans="4:48">
      <c r="D223" s="39">
        <f t="shared" si="136"/>
        <v>215</v>
      </c>
      <c r="E223" s="40">
        <f t="shared" si="115"/>
        <v>2044</v>
      </c>
      <c r="F223" s="35">
        <f t="shared" si="119"/>
        <v>52747</v>
      </c>
      <c r="G223" s="36">
        <f t="shared" si="121"/>
        <v>5</v>
      </c>
      <c r="H223" s="41">
        <f t="shared" si="120"/>
        <v>31</v>
      </c>
      <c r="I223" s="37" t="s">
        <v>123</v>
      </c>
      <c r="J223" s="27">
        <f t="shared" si="137"/>
        <v>0</v>
      </c>
      <c r="K223" s="27">
        <f t="shared" si="126"/>
        <v>0</v>
      </c>
      <c r="L223" s="27">
        <f t="shared" si="138"/>
        <v>0</v>
      </c>
      <c r="M223" s="27">
        <f t="shared" si="127"/>
        <v>0</v>
      </c>
      <c r="N223" s="27">
        <f t="shared" si="128"/>
        <v>0</v>
      </c>
      <c r="P223" s="72" t="s">
        <v>123</v>
      </c>
      <c r="Q223" s="44">
        <f t="shared" si="116"/>
        <v>157154.28368565469</v>
      </c>
      <c r="R223" s="44">
        <f t="shared" si="122"/>
        <v>826.20097250521303</v>
      </c>
      <c r="S223" s="44">
        <f t="shared" si="117"/>
        <v>2954.799027494787</v>
      </c>
      <c r="T223" s="44">
        <f t="shared" si="118"/>
        <v>0</v>
      </c>
      <c r="U223" s="43">
        <f t="shared" si="129"/>
        <v>154199.4846581599</v>
      </c>
      <c r="W223" s="72" t="s">
        <v>123</v>
      </c>
      <c r="X223" s="44">
        <f t="shared" si="139"/>
        <v>253259.64635519049</v>
      </c>
      <c r="Y223" s="44">
        <f t="shared" si="123"/>
        <v>1331.451877783493</v>
      </c>
      <c r="Z223" s="44">
        <f t="shared" si="140"/>
        <v>1552.548122216507</v>
      </c>
      <c r="AA223" s="44">
        <f t="shared" si="141"/>
        <v>0</v>
      </c>
      <c r="AB223" s="43">
        <f t="shared" si="130"/>
        <v>251707.09823297398</v>
      </c>
      <c r="AD223" s="72" t="s">
        <v>123</v>
      </c>
      <c r="AE223" s="44">
        <f t="shared" si="142"/>
        <v>481115.79246616975</v>
      </c>
      <c r="AF223" s="44">
        <f t="shared" si="124"/>
        <v>2586.5575878256573</v>
      </c>
      <c r="AG223" s="44">
        <f t="shared" si="143"/>
        <v>3455.4424121743427</v>
      </c>
      <c r="AH223" s="44">
        <f t="shared" si="144"/>
        <v>0</v>
      </c>
      <c r="AI223" s="43">
        <f t="shared" si="131"/>
        <v>477660.35005399538</v>
      </c>
      <c r="AK223" s="101">
        <f t="shared" si="151"/>
        <v>2044</v>
      </c>
      <c r="AL223" s="101">
        <f t="shared" si="125"/>
        <v>5</v>
      </c>
      <c r="AM223" s="118">
        <f t="shared" si="145"/>
        <v>9786.193952650563</v>
      </c>
      <c r="AN223" s="100">
        <f t="shared" si="146"/>
        <v>14872.964612671087</v>
      </c>
      <c r="AO223" s="100">
        <f t="shared" si="147"/>
        <v>29037.750929522885</v>
      </c>
      <c r="AP223" s="100">
        <f t="shared" si="148"/>
        <v>24659.15856532165</v>
      </c>
      <c r="AQ223" s="1">
        <f t="shared" si="149"/>
        <v>73315</v>
      </c>
      <c r="AR223" s="100">
        <f t="shared" si="132"/>
        <v>405906.58289113385</v>
      </c>
      <c r="AS223" s="100">
        <f t="shared" si="133"/>
        <v>53696.909494844534</v>
      </c>
      <c r="AT223" s="100">
        <f t="shared" si="150"/>
        <v>86080.090505155458</v>
      </c>
      <c r="AU223" s="1">
        <f t="shared" si="134"/>
        <v>139777</v>
      </c>
      <c r="AV223" s="100">
        <f t="shared" si="135"/>
        <v>883566.93294512923</v>
      </c>
    </row>
    <row r="224" spans="4:48">
      <c r="D224" s="39">
        <f t="shared" si="136"/>
        <v>216</v>
      </c>
      <c r="E224" s="40">
        <f t="shared" si="115"/>
        <v>2044</v>
      </c>
      <c r="F224" s="35">
        <f t="shared" si="119"/>
        <v>52778</v>
      </c>
      <c r="G224" s="36">
        <f t="shared" si="121"/>
        <v>6</v>
      </c>
      <c r="H224" s="41">
        <f t="shared" si="120"/>
        <v>30</v>
      </c>
      <c r="I224" s="37" t="s">
        <v>123</v>
      </c>
      <c r="J224" s="27">
        <f t="shared" si="137"/>
        <v>0</v>
      </c>
      <c r="K224" s="27">
        <f t="shared" si="126"/>
        <v>0</v>
      </c>
      <c r="L224" s="27">
        <f t="shared" si="138"/>
        <v>0</v>
      </c>
      <c r="M224" s="27">
        <f t="shared" si="127"/>
        <v>0</v>
      </c>
      <c r="N224" s="27">
        <f t="shared" si="128"/>
        <v>0</v>
      </c>
      <c r="P224" s="72" t="s">
        <v>123</v>
      </c>
      <c r="Q224" s="44">
        <f t="shared" si="116"/>
        <v>154199.4846581599</v>
      </c>
      <c r="R224" s="44">
        <f t="shared" si="122"/>
        <v>784.51628221973408</v>
      </c>
      <c r="S224" s="44">
        <f t="shared" si="117"/>
        <v>2996.483717780266</v>
      </c>
      <c r="T224" s="44">
        <f t="shared" si="118"/>
        <v>0</v>
      </c>
      <c r="U224" s="43">
        <f t="shared" si="129"/>
        <v>151203.00094037963</v>
      </c>
      <c r="W224" s="72" t="s">
        <v>123</v>
      </c>
      <c r="X224" s="44">
        <f t="shared" si="139"/>
        <v>251707.09823297398</v>
      </c>
      <c r="Y224" s="44">
        <f t="shared" si="123"/>
        <v>1280.6029627907744</v>
      </c>
      <c r="Z224" s="44">
        <f t="shared" si="140"/>
        <v>1603.3970372092256</v>
      </c>
      <c r="AA224" s="44">
        <f t="shared" si="141"/>
        <v>0</v>
      </c>
      <c r="AB224" s="43">
        <f t="shared" si="130"/>
        <v>250103.70119576476</v>
      </c>
      <c r="AD224" s="72" t="s">
        <v>123</v>
      </c>
      <c r="AE224" s="44">
        <f t="shared" si="142"/>
        <v>477660.35005399538</v>
      </c>
      <c r="AF224" s="44">
        <f t="shared" si="124"/>
        <v>2485.1424787740743</v>
      </c>
      <c r="AG224" s="44">
        <f t="shared" si="143"/>
        <v>3556.8575212259257</v>
      </c>
      <c r="AH224" s="44">
        <f t="shared" si="144"/>
        <v>0</v>
      </c>
      <c r="AI224" s="43">
        <f t="shared" si="131"/>
        <v>474103.49253276945</v>
      </c>
      <c r="AK224" s="101">
        <f t="shared" si="151"/>
        <v>2044</v>
      </c>
      <c r="AL224" s="101">
        <f t="shared" si="125"/>
        <v>6</v>
      </c>
      <c r="AM224" s="118">
        <f t="shared" si="145"/>
        <v>10570.710234870297</v>
      </c>
      <c r="AN224" s="100">
        <f t="shared" si="146"/>
        <v>16153.567575461861</v>
      </c>
      <c r="AO224" s="100">
        <f t="shared" si="147"/>
        <v>31522.893408296957</v>
      </c>
      <c r="AP224" s="100">
        <f t="shared" si="148"/>
        <v>26724.277810332158</v>
      </c>
      <c r="AQ224" s="1">
        <f t="shared" si="149"/>
        <v>79980</v>
      </c>
      <c r="AR224" s="100">
        <f t="shared" si="132"/>
        <v>401306.70213614439</v>
      </c>
      <c r="AS224" s="100">
        <f t="shared" si="133"/>
        <v>58247.171218629112</v>
      </c>
      <c r="AT224" s="100">
        <f t="shared" si="150"/>
        <v>94236.828781370888</v>
      </c>
      <c r="AU224" s="1">
        <f t="shared" si="134"/>
        <v>152484</v>
      </c>
      <c r="AV224" s="100">
        <f t="shared" si="135"/>
        <v>875410.19466891384</v>
      </c>
    </row>
    <row r="225" spans="4:48">
      <c r="D225" s="39">
        <f t="shared" si="136"/>
        <v>217</v>
      </c>
      <c r="E225" s="40">
        <f t="shared" si="115"/>
        <v>2045</v>
      </c>
      <c r="F225" s="35">
        <f t="shared" si="119"/>
        <v>52808</v>
      </c>
      <c r="G225" s="36">
        <f t="shared" si="121"/>
        <v>7</v>
      </c>
      <c r="H225" s="41">
        <f t="shared" si="120"/>
        <v>31</v>
      </c>
      <c r="I225" s="37" t="s">
        <v>123</v>
      </c>
      <c r="J225" s="27">
        <f t="shared" si="137"/>
        <v>0</v>
      </c>
      <c r="K225" s="27">
        <f t="shared" si="126"/>
        <v>0</v>
      </c>
      <c r="L225" s="27">
        <f t="shared" si="138"/>
        <v>0</v>
      </c>
      <c r="M225" s="27">
        <f t="shared" si="127"/>
        <v>0</v>
      </c>
      <c r="N225" s="27">
        <f t="shared" si="128"/>
        <v>0</v>
      </c>
      <c r="P225" s="72" t="s">
        <v>123</v>
      </c>
      <c r="Q225" s="44">
        <f t="shared" si="116"/>
        <v>151203.00094037963</v>
      </c>
      <c r="R225" s="44">
        <f t="shared" si="122"/>
        <v>794.91353014929985</v>
      </c>
      <c r="S225" s="44">
        <f t="shared" si="117"/>
        <v>2986.0864698507003</v>
      </c>
      <c r="T225" s="44">
        <f t="shared" si="118"/>
        <v>0</v>
      </c>
      <c r="U225" s="43">
        <f t="shared" si="129"/>
        <v>148216.91447052892</v>
      </c>
      <c r="W225" s="72" t="s">
        <v>123</v>
      </c>
      <c r="X225" s="44">
        <f t="shared" si="139"/>
        <v>250103.70119576476</v>
      </c>
      <c r="Y225" s="44">
        <f t="shared" si="123"/>
        <v>1314.8602526700081</v>
      </c>
      <c r="Z225" s="44">
        <f t="shared" si="140"/>
        <v>1569.1397473299919</v>
      </c>
      <c r="AA225" s="44">
        <f t="shared" si="141"/>
        <v>0</v>
      </c>
      <c r="AB225" s="43">
        <f t="shared" si="130"/>
        <v>248534.56144843478</v>
      </c>
      <c r="AD225" s="72" t="s">
        <v>123</v>
      </c>
      <c r="AE225" s="44">
        <f t="shared" si="142"/>
        <v>474103.49253276945</v>
      </c>
      <c r="AF225" s="44">
        <f t="shared" si="124"/>
        <v>2548.8583106768588</v>
      </c>
      <c r="AG225" s="44">
        <f t="shared" si="143"/>
        <v>3493.1416893231412</v>
      </c>
      <c r="AH225" s="44">
        <f t="shared" si="144"/>
        <v>0</v>
      </c>
      <c r="AI225" s="43">
        <f t="shared" si="131"/>
        <v>470610.35084344633</v>
      </c>
      <c r="AK225" s="101">
        <f t="shared" si="151"/>
        <v>2045</v>
      </c>
      <c r="AL225" s="101">
        <f t="shared" si="125"/>
        <v>7</v>
      </c>
      <c r="AM225" s="118">
        <f t="shared" si="145"/>
        <v>794.91353014929985</v>
      </c>
      <c r="AN225" s="100">
        <f t="shared" si="146"/>
        <v>1314.8602526700081</v>
      </c>
      <c r="AO225" s="100">
        <f t="shared" si="147"/>
        <v>2548.8583106768588</v>
      </c>
      <c r="AP225" s="100">
        <f t="shared" si="148"/>
        <v>2109.7737828193081</v>
      </c>
      <c r="AQ225" s="1">
        <f t="shared" si="149"/>
        <v>6665</v>
      </c>
      <c r="AR225" s="100">
        <f t="shared" si="132"/>
        <v>396751.47591896367</v>
      </c>
      <c r="AS225" s="100">
        <f t="shared" si="133"/>
        <v>4658.6320934961668</v>
      </c>
      <c r="AT225" s="100">
        <f t="shared" si="150"/>
        <v>8048.3679065038341</v>
      </c>
      <c r="AU225" s="1">
        <f t="shared" si="134"/>
        <v>12707</v>
      </c>
      <c r="AV225" s="100">
        <f t="shared" si="135"/>
        <v>867361.82676241</v>
      </c>
    </row>
    <row r="226" spans="4:48">
      <c r="D226" s="39">
        <f t="shared" si="136"/>
        <v>218</v>
      </c>
      <c r="E226" s="40">
        <f t="shared" si="115"/>
        <v>2045</v>
      </c>
      <c r="F226" s="35">
        <f t="shared" si="119"/>
        <v>52839</v>
      </c>
      <c r="G226" s="36">
        <f t="shared" si="121"/>
        <v>8</v>
      </c>
      <c r="H226" s="41">
        <f t="shared" si="120"/>
        <v>31</v>
      </c>
      <c r="I226" s="37" t="s">
        <v>123</v>
      </c>
      <c r="J226" s="27">
        <f t="shared" si="137"/>
        <v>0</v>
      </c>
      <c r="K226" s="27">
        <f t="shared" si="126"/>
        <v>0</v>
      </c>
      <c r="L226" s="27">
        <f t="shared" si="138"/>
        <v>0</v>
      </c>
      <c r="M226" s="27">
        <f t="shared" si="127"/>
        <v>0</v>
      </c>
      <c r="N226" s="27">
        <f t="shared" si="128"/>
        <v>0</v>
      </c>
      <c r="P226" s="72" t="s">
        <v>123</v>
      </c>
      <c r="Q226" s="44">
        <f t="shared" si="116"/>
        <v>148216.91447052892</v>
      </c>
      <c r="R226" s="44">
        <f t="shared" si="122"/>
        <v>779.21489637670675</v>
      </c>
      <c r="S226" s="44">
        <f t="shared" si="117"/>
        <v>3001.7851036232933</v>
      </c>
      <c r="T226" s="44">
        <f t="shared" si="118"/>
        <v>0</v>
      </c>
      <c r="U226" s="43">
        <f t="shared" si="129"/>
        <v>145215.12936690563</v>
      </c>
      <c r="W226" s="72" t="s">
        <v>123</v>
      </c>
      <c r="X226" s="44">
        <f t="shared" si="139"/>
        <v>248534.56144843478</v>
      </c>
      <c r="Y226" s="44">
        <f t="shared" si="123"/>
        <v>1306.6108766120587</v>
      </c>
      <c r="Z226" s="44">
        <f t="shared" si="140"/>
        <v>1577.3891233879413</v>
      </c>
      <c r="AA226" s="44">
        <f t="shared" si="141"/>
        <v>0</v>
      </c>
      <c r="AB226" s="43">
        <f t="shared" si="130"/>
        <v>246957.17232504682</v>
      </c>
      <c r="AD226" s="72" t="s">
        <v>123</v>
      </c>
      <c r="AE226" s="44">
        <f t="shared" si="142"/>
        <v>470610.35084344633</v>
      </c>
      <c r="AF226" s="44">
        <f t="shared" si="124"/>
        <v>2530.0786067399854</v>
      </c>
      <c r="AG226" s="44">
        <f t="shared" si="143"/>
        <v>3511.9213932600146</v>
      </c>
      <c r="AH226" s="44">
        <f t="shared" si="144"/>
        <v>0</v>
      </c>
      <c r="AI226" s="43">
        <f t="shared" si="131"/>
        <v>467098.42945018632</v>
      </c>
      <c r="AK226" s="101">
        <f t="shared" si="151"/>
        <v>2045</v>
      </c>
      <c r="AL226" s="101">
        <f t="shared" si="125"/>
        <v>8</v>
      </c>
      <c r="AM226" s="118">
        <f t="shared" si="145"/>
        <v>1574.1284265260065</v>
      </c>
      <c r="AN226" s="100">
        <f t="shared" si="146"/>
        <v>2621.4711292820666</v>
      </c>
      <c r="AO226" s="100">
        <f t="shared" si="147"/>
        <v>5078.9369174168442</v>
      </c>
      <c r="AP226" s="100">
        <f t="shared" si="148"/>
        <v>4195.5995558080731</v>
      </c>
      <c r="AQ226" s="1">
        <f t="shared" si="149"/>
        <v>13330</v>
      </c>
      <c r="AR226" s="100">
        <f t="shared" si="132"/>
        <v>392172.30169195245</v>
      </c>
      <c r="AS226" s="100">
        <f t="shared" si="133"/>
        <v>9274.5364732249182</v>
      </c>
      <c r="AT226" s="100">
        <f t="shared" si="150"/>
        <v>16139.463526775082</v>
      </c>
      <c r="AU226" s="1">
        <f t="shared" si="134"/>
        <v>25414</v>
      </c>
      <c r="AV226" s="100">
        <f t="shared" si="135"/>
        <v>859270.73114213883</v>
      </c>
    </row>
    <row r="227" spans="4:48">
      <c r="D227" s="39">
        <f t="shared" si="136"/>
        <v>219</v>
      </c>
      <c r="E227" s="40">
        <f t="shared" si="115"/>
        <v>2045</v>
      </c>
      <c r="F227" s="35">
        <f t="shared" si="119"/>
        <v>52870</v>
      </c>
      <c r="G227" s="36">
        <f t="shared" si="121"/>
        <v>9</v>
      </c>
      <c r="H227" s="41">
        <f t="shared" si="120"/>
        <v>30</v>
      </c>
      <c r="I227" s="37" t="s">
        <v>123</v>
      </c>
      <c r="J227" s="27">
        <f t="shared" si="137"/>
        <v>0</v>
      </c>
      <c r="K227" s="27">
        <f t="shared" si="126"/>
        <v>0</v>
      </c>
      <c r="L227" s="27">
        <f t="shared" si="138"/>
        <v>0</v>
      </c>
      <c r="M227" s="27">
        <f t="shared" si="127"/>
        <v>0</v>
      </c>
      <c r="N227" s="27">
        <f t="shared" si="128"/>
        <v>0</v>
      </c>
      <c r="P227" s="72" t="s">
        <v>123</v>
      </c>
      <c r="Q227" s="44">
        <f t="shared" si="116"/>
        <v>145215.12936690563</v>
      </c>
      <c r="R227" s="44">
        <f t="shared" si="122"/>
        <v>738.80683625847598</v>
      </c>
      <c r="S227" s="44">
        <f t="shared" si="117"/>
        <v>3042.1931637415241</v>
      </c>
      <c r="T227" s="44">
        <f t="shared" si="118"/>
        <v>0</v>
      </c>
      <c r="U227" s="43">
        <f t="shared" si="129"/>
        <v>142172.93620316411</v>
      </c>
      <c r="W227" s="72" t="s">
        <v>123</v>
      </c>
      <c r="X227" s="44">
        <f t="shared" si="139"/>
        <v>246957.17232504682</v>
      </c>
      <c r="Y227" s="44">
        <f t="shared" si="123"/>
        <v>1256.4369013907176</v>
      </c>
      <c r="Z227" s="44">
        <f t="shared" si="140"/>
        <v>1627.5630986092824</v>
      </c>
      <c r="AA227" s="44">
        <f t="shared" si="141"/>
        <v>0</v>
      </c>
      <c r="AB227" s="43">
        <f t="shared" si="130"/>
        <v>245329.60922643755</v>
      </c>
      <c r="AD227" s="72" t="s">
        <v>123</v>
      </c>
      <c r="AE227" s="44">
        <f t="shared" si="142"/>
        <v>467098.42945018632</v>
      </c>
      <c r="AF227" s="44">
        <f t="shared" si="124"/>
        <v>2430.1915548654897</v>
      </c>
      <c r="AG227" s="44">
        <f t="shared" si="143"/>
        <v>3611.8084451345103</v>
      </c>
      <c r="AH227" s="44">
        <f t="shared" si="144"/>
        <v>0</v>
      </c>
      <c r="AI227" s="43">
        <f t="shared" si="131"/>
        <v>463486.62100505183</v>
      </c>
      <c r="AK227" s="101">
        <f t="shared" si="151"/>
        <v>2045</v>
      </c>
      <c r="AL227" s="101">
        <f t="shared" si="125"/>
        <v>9</v>
      </c>
      <c r="AM227" s="118">
        <f t="shared" si="145"/>
        <v>2312.9352627844823</v>
      </c>
      <c r="AN227" s="100">
        <f t="shared" si="146"/>
        <v>3877.9080306727842</v>
      </c>
      <c r="AO227" s="100">
        <f t="shared" si="147"/>
        <v>7509.1284722823339</v>
      </c>
      <c r="AP227" s="100">
        <f t="shared" si="148"/>
        <v>6190.8432934572666</v>
      </c>
      <c r="AQ227" s="1">
        <f t="shared" si="149"/>
        <v>19995</v>
      </c>
      <c r="AR227" s="100">
        <f t="shared" si="132"/>
        <v>387502.54542960168</v>
      </c>
      <c r="AS227" s="100">
        <f t="shared" si="133"/>
        <v>13699.9717657396</v>
      </c>
      <c r="AT227" s="100">
        <f t="shared" si="150"/>
        <v>24421.0282342604</v>
      </c>
      <c r="AU227" s="1">
        <f t="shared" si="134"/>
        <v>38121</v>
      </c>
      <c r="AV227" s="100">
        <f t="shared" si="135"/>
        <v>850989.16643465357</v>
      </c>
    </row>
    <row r="228" spans="4:48">
      <c r="D228" s="39">
        <f t="shared" si="136"/>
        <v>220</v>
      </c>
      <c r="E228" s="40">
        <f t="shared" si="115"/>
        <v>2045</v>
      </c>
      <c r="F228" s="35">
        <f t="shared" si="119"/>
        <v>52900</v>
      </c>
      <c r="G228" s="36">
        <f t="shared" si="121"/>
        <v>10</v>
      </c>
      <c r="H228" s="41">
        <f t="shared" si="120"/>
        <v>31</v>
      </c>
      <c r="I228" s="37" t="s">
        <v>123</v>
      </c>
      <c r="J228" s="27">
        <f t="shared" si="137"/>
        <v>0</v>
      </c>
      <c r="K228" s="27">
        <f t="shared" si="126"/>
        <v>0</v>
      </c>
      <c r="L228" s="27">
        <f t="shared" si="138"/>
        <v>0</v>
      </c>
      <c r="M228" s="27">
        <f t="shared" si="127"/>
        <v>0</v>
      </c>
      <c r="N228" s="27">
        <f t="shared" si="128"/>
        <v>0</v>
      </c>
      <c r="P228" s="72" t="s">
        <v>123</v>
      </c>
      <c r="Q228" s="44">
        <f t="shared" si="116"/>
        <v>142172.93620316411</v>
      </c>
      <c r="R228" s="44">
        <f t="shared" si="122"/>
        <v>747.44012953493575</v>
      </c>
      <c r="S228" s="44">
        <f t="shared" si="117"/>
        <v>3033.5598704650643</v>
      </c>
      <c r="T228" s="44">
        <f t="shared" si="118"/>
        <v>0</v>
      </c>
      <c r="U228" s="43">
        <f t="shared" si="129"/>
        <v>139139.37633269903</v>
      </c>
      <c r="W228" s="72" t="s">
        <v>123</v>
      </c>
      <c r="X228" s="44">
        <f t="shared" si="139"/>
        <v>245329.60922643755</v>
      </c>
      <c r="Y228" s="44">
        <f t="shared" si="123"/>
        <v>1289.7616086153723</v>
      </c>
      <c r="Z228" s="44">
        <f t="shared" si="140"/>
        <v>1594.2383913846277</v>
      </c>
      <c r="AA228" s="44">
        <f t="shared" si="141"/>
        <v>0</v>
      </c>
      <c r="AB228" s="43">
        <f t="shared" si="130"/>
        <v>243735.37083505292</v>
      </c>
      <c r="AD228" s="72" t="s">
        <v>123</v>
      </c>
      <c r="AE228" s="44">
        <f t="shared" si="142"/>
        <v>463486.62100505183</v>
      </c>
      <c r="AF228" s="44">
        <f t="shared" si="124"/>
        <v>2491.7802641046937</v>
      </c>
      <c r="AG228" s="44">
        <f t="shared" si="143"/>
        <v>3550.2197358953063</v>
      </c>
      <c r="AH228" s="44">
        <f t="shared" si="144"/>
        <v>0</v>
      </c>
      <c r="AI228" s="43">
        <f t="shared" si="131"/>
        <v>459936.40126915654</v>
      </c>
      <c r="AK228" s="101">
        <f t="shared" si="151"/>
        <v>2045</v>
      </c>
      <c r="AL228" s="101">
        <f t="shared" si="125"/>
        <v>10</v>
      </c>
      <c r="AM228" s="118">
        <f t="shared" si="145"/>
        <v>3060.3753923194181</v>
      </c>
      <c r="AN228" s="100">
        <f t="shared" si="146"/>
        <v>5167.6696392881568</v>
      </c>
      <c r="AO228" s="100">
        <f t="shared" si="147"/>
        <v>10000.908736387028</v>
      </c>
      <c r="AP228" s="100">
        <f t="shared" si="148"/>
        <v>8228.0450316075749</v>
      </c>
      <c r="AQ228" s="1">
        <f t="shared" si="149"/>
        <v>26660</v>
      </c>
      <c r="AR228" s="100">
        <f t="shared" si="132"/>
        <v>382874.74716775195</v>
      </c>
      <c r="AS228" s="100">
        <f t="shared" si="133"/>
        <v>18228.953767994601</v>
      </c>
      <c r="AT228" s="100">
        <f t="shared" si="150"/>
        <v>32599.046232005399</v>
      </c>
      <c r="AU228" s="1">
        <f t="shared" si="134"/>
        <v>50828</v>
      </c>
      <c r="AV228" s="100">
        <f t="shared" si="135"/>
        <v>842811.14843690849</v>
      </c>
    </row>
    <row r="229" spans="4:48">
      <c r="D229" s="39">
        <f t="shared" si="136"/>
        <v>221</v>
      </c>
      <c r="E229" s="40">
        <f t="shared" si="115"/>
        <v>2045</v>
      </c>
      <c r="F229" s="35">
        <f t="shared" si="119"/>
        <v>52931</v>
      </c>
      <c r="G229" s="36">
        <f t="shared" si="121"/>
        <v>11</v>
      </c>
      <c r="H229" s="41">
        <f t="shared" si="120"/>
        <v>30</v>
      </c>
      <c r="I229" s="37" t="s">
        <v>123</v>
      </c>
      <c r="J229" s="27">
        <f t="shared" si="137"/>
        <v>0</v>
      </c>
      <c r="K229" s="27">
        <f t="shared" si="126"/>
        <v>0</v>
      </c>
      <c r="L229" s="27">
        <f t="shared" si="138"/>
        <v>0</v>
      </c>
      <c r="M229" s="27">
        <f t="shared" si="127"/>
        <v>0</v>
      </c>
      <c r="N229" s="27">
        <f t="shared" si="128"/>
        <v>0</v>
      </c>
      <c r="P229" s="72" t="s">
        <v>123</v>
      </c>
      <c r="Q229" s="44">
        <f t="shared" si="116"/>
        <v>139139.37633269903</v>
      </c>
      <c r="R229" s="44">
        <f t="shared" si="122"/>
        <v>707.89540232827972</v>
      </c>
      <c r="S229" s="44">
        <f t="shared" si="117"/>
        <v>3073.1045976717205</v>
      </c>
      <c r="T229" s="44">
        <f t="shared" si="118"/>
        <v>0</v>
      </c>
      <c r="U229" s="43">
        <f t="shared" si="129"/>
        <v>136066.27173502732</v>
      </c>
      <c r="W229" s="72" t="s">
        <v>123</v>
      </c>
      <c r="X229" s="44">
        <f t="shared" si="139"/>
        <v>243735.37083505292</v>
      </c>
      <c r="Y229" s="44">
        <f t="shared" si="123"/>
        <v>1240.0454346320362</v>
      </c>
      <c r="Z229" s="44">
        <f t="shared" si="140"/>
        <v>1643.9545653679638</v>
      </c>
      <c r="AA229" s="44">
        <f t="shared" si="141"/>
        <v>0</v>
      </c>
      <c r="AB229" s="43">
        <f t="shared" si="130"/>
        <v>242091.41626968497</v>
      </c>
      <c r="AD229" s="72" t="s">
        <v>123</v>
      </c>
      <c r="AE229" s="44">
        <f t="shared" si="142"/>
        <v>459936.40126915654</v>
      </c>
      <c r="AF229" s="44">
        <f t="shared" si="124"/>
        <v>2392.9293863291186</v>
      </c>
      <c r="AG229" s="44">
        <f t="shared" si="143"/>
        <v>3649.0706136708814</v>
      </c>
      <c r="AH229" s="44">
        <f t="shared" si="144"/>
        <v>0</v>
      </c>
      <c r="AI229" s="43">
        <f t="shared" si="131"/>
        <v>456287.33065548568</v>
      </c>
      <c r="AK229" s="101">
        <f t="shared" si="151"/>
        <v>2045</v>
      </c>
      <c r="AL229" s="101">
        <f t="shared" si="125"/>
        <v>11</v>
      </c>
      <c r="AM229" s="118">
        <f t="shared" si="145"/>
        <v>3768.2707946476976</v>
      </c>
      <c r="AN229" s="100">
        <f t="shared" si="146"/>
        <v>6407.7150739201934</v>
      </c>
      <c r="AO229" s="100">
        <f t="shared" si="147"/>
        <v>12393.838122716146</v>
      </c>
      <c r="AP229" s="100">
        <f t="shared" si="148"/>
        <v>10175.985868567892</v>
      </c>
      <c r="AQ229" s="1">
        <f t="shared" si="149"/>
        <v>33325</v>
      </c>
      <c r="AR229" s="100">
        <f t="shared" si="132"/>
        <v>378157.68800471228</v>
      </c>
      <c r="AS229" s="100">
        <f t="shared" si="133"/>
        <v>22569.823991284036</v>
      </c>
      <c r="AT229" s="100">
        <f t="shared" si="150"/>
        <v>40965.176008715971</v>
      </c>
      <c r="AU229" s="1">
        <f t="shared" si="134"/>
        <v>63535.000000000007</v>
      </c>
      <c r="AV229" s="100">
        <f t="shared" si="135"/>
        <v>834445.01866019797</v>
      </c>
    </row>
    <row r="230" spans="4:48">
      <c r="D230" s="39">
        <f t="shared" si="136"/>
        <v>222</v>
      </c>
      <c r="E230" s="40">
        <f t="shared" si="115"/>
        <v>2045</v>
      </c>
      <c r="F230" s="35">
        <f t="shared" si="119"/>
        <v>52961</v>
      </c>
      <c r="G230" s="36">
        <f t="shared" si="121"/>
        <v>12</v>
      </c>
      <c r="H230" s="41">
        <f t="shared" si="120"/>
        <v>31</v>
      </c>
      <c r="I230" s="37" t="s">
        <v>123</v>
      </c>
      <c r="J230" s="27">
        <f t="shared" si="137"/>
        <v>0</v>
      </c>
      <c r="K230" s="27">
        <f t="shared" si="126"/>
        <v>0</v>
      </c>
      <c r="L230" s="27">
        <f t="shared" si="138"/>
        <v>0</v>
      </c>
      <c r="M230" s="27">
        <f t="shared" si="127"/>
        <v>0</v>
      </c>
      <c r="N230" s="27">
        <f t="shared" si="128"/>
        <v>0</v>
      </c>
      <c r="P230" s="72" t="s">
        <v>123</v>
      </c>
      <c r="Q230" s="44">
        <f t="shared" si="116"/>
        <v>136066.27173502732</v>
      </c>
      <c r="R230" s="44">
        <f t="shared" si="122"/>
        <v>715.33580502012023</v>
      </c>
      <c r="S230" s="44">
        <f t="shared" si="117"/>
        <v>3065.6641949798795</v>
      </c>
      <c r="T230" s="44">
        <f t="shared" si="118"/>
        <v>0</v>
      </c>
      <c r="U230" s="43">
        <f t="shared" si="129"/>
        <v>133000.60754004744</v>
      </c>
      <c r="W230" s="72" t="s">
        <v>123</v>
      </c>
      <c r="X230" s="44">
        <f t="shared" si="139"/>
        <v>242091.41626968497</v>
      </c>
      <c r="Y230" s="44">
        <f t="shared" si="123"/>
        <v>1272.7375854243792</v>
      </c>
      <c r="Z230" s="44">
        <f t="shared" si="140"/>
        <v>1611.2624145756208</v>
      </c>
      <c r="AA230" s="44">
        <f t="shared" si="141"/>
        <v>0</v>
      </c>
      <c r="AB230" s="43">
        <f t="shared" si="130"/>
        <v>240480.15385510935</v>
      </c>
      <c r="AD230" s="72" t="s">
        <v>123</v>
      </c>
      <c r="AE230" s="44">
        <f t="shared" si="142"/>
        <v>456287.33065548568</v>
      </c>
      <c r="AF230" s="44">
        <f t="shared" si="124"/>
        <v>2453.0756957404369</v>
      </c>
      <c r="AG230" s="44">
        <f t="shared" si="143"/>
        <v>3588.9243042595631</v>
      </c>
      <c r="AH230" s="44">
        <f t="shared" si="144"/>
        <v>0</v>
      </c>
      <c r="AI230" s="43">
        <f t="shared" si="131"/>
        <v>452698.40635122609</v>
      </c>
      <c r="AK230" s="101">
        <f t="shared" si="151"/>
        <v>2045</v>
      </c>
      <c r="AL230" s="101">
        <f t="shared" si="125"/>
        <v>12</v>
      </c>
      <c r="AM230" s="118">
        <f t="shared" si="145"/>
        <v>4483.606599667818</v>
      </c>
      <c r="AN230" s="100">
        <f t="shared" si="146"/>
        <v>7680.4526593445726</v>
      </c>
      <c r="AO230" s="100">
        <f t="shared" si="147"/>
        <v>14846.913818456584</v>
      </c>
      <c r="AP230" s="100">
        <f t="shared" si="148"/>
        <v>12164.059259012391</v>
      </c>
      <c r="AQ230" s="1">
        <f t="shared" si="149"/>
        <v>39990</v>
      </c>
      <c r="AR230" s="100">
        <f t="shared" si="132"/>
        <v>373480.76139515679</v>
      </c>
      <c r="AS230" s="100">
        <f t="shared" si="133"/>
        <v>27010.973077468974</v>
      </c>
      <c r="AT230" s="100">
        <f t="shared" si="150"/>
        <v>49231.026922531033</v>
      </c>
      <c r="AU230" s="1">
        <f t="shared" si="134"/>
        <v>76242</v>
      </c>
      <c r="AV230" s="100">
        <f t="shared" si="135"/>
        <v>826179.16774638288</v>
      </c>
    </row>
    <row r="231" spans="4:48">
      <c r="D231" s="39">
        <f t="shared" si="136"/>
        <v>223</v>
      </c>
      <c r="E231" s="40">
        <f t="shared" si="115"/>
        <v>2045</v>
      </c>
      <c r="F231" s="35">
        <f t="shared" si="119"/>
        <v>52992</v>
      </c>
      <c r="G231" s="36">
        <f t="shared" si="121"/>
        <v>1</v>
      </c>
      <c r="H231" s="41">
        <f t="shared" si="120"/>
        <v>31</v>
      </c>
      <c r="I231" s="37" t="s">
        <v>123</v>
      </c>
      <c r="J231" s="27">
        <f t="shared" si="137"/>
        <v>0</v>
      </c>
      <c r="K231" s="27">
        <f t="shared" si="126"/>
        <v>0</v>
      </c>
      <c r="L231" s="27">
        <f t="shared" si="138"/>
        <v>0</v>
      </c>
      <c r="M231" s="27">
        <f t="shared" si="127"/>
        <v>0</v>
      </c>
      <c r="N231" s="27">
        <f t="shared" si="128"/>
        <v>0</v>
      </c>
      <c r="P231" s="72" t="s">
        <v>123</v>
      </c>
      <c r="Q231" s="44">
        <f t="shared" si="116"/>
        <v>133000.60754004744</v>
      </c>
      <c r="R231" s="44">
        <f t="shared" si="122"/>
        <v>699.21881043451231</v>
      </c>
      <c r="S231" s="44">
        <f t="shared" si="117"/>
        <v>3081.7811895654877</v>
      </c>
      <c r="T231" s="44">
        <f t="shared" si="118"/>
        <v>0</v>
      </c>
      <c r="U231" s="43">
        <f t="shared" si="129"/>
        <v>129918.82635048195</v>
      </c>
      <c r="W231" s="72" t="s">
        <v>123</v>
      </c>
      <c r="X231" s="44">
        <f t="shared" si="139"/>
        <v>240480.15385510935</v>
      </c>
      <c r="Y231" s="44">
        <f t="shared" si="123"/>
        <v>1264.2667595412856</v>
      </c>
      <c r="Z231" s="44">
        <f t="shared" si="140"/>
        <v>1619.7332404587144</v>
      </c>
      <c r="AA231" s="44">
        <f t="shared" si="141"/>
        <v>0</v>
      </c>
      <c r="AB231" s="43">
        <f t="shared" si="130"/>
        <v>238860.42061465065</v>
      </c>
      <c r="AD231" s="72" t="s">
        <v>123</v>
      </c>
      <c r="AE231" s="44">
        <f t="shared" si="142"/>
        <v>452698.40635122609</v>
      </c>
      <c r="AF231" s="44">
        <f t="shared" si="124"/>
        <v>2433.7810487205779</v>
      </c>
      <c r="AG231" s="44">
        <f t="shared" si="143"/>
        <v>3608.2189512794221</v>
      </c>
      <c r="AH231" s="44">
        <f t="shared" si="144"/>
        <v>0</v>
      </c>
      <c r="AI231" s="43">
        <f t="shared" si="131"/>
        <v>449090.18739994668</v>
      </c>
      <c r="AK231" s="101">
        <f t="shared" si="151"/>
        <v>2045</v>
      </c>
      <c r="AL231" s="101">
        <f t="shared" si="125"/>
        <v>1</v>
      </c>
      <c r="AM231" s="118">
        <f t="shared" si="145"/>
        <v>5182.8254101023304</v>
      </c>
      <c r="AN231" s="100">
        <f t="shared" si="146"/>
        <v>8944.7194188858575</v>
      </c>
      <c r="AO231" s="100">
        <f t="shared" si="147"/>
        <v>17280.694867177161</v>
      </c>
      <c r="AP231" s="100">
        <f t="shared" si="148"/>
        <v>14127.544828988188</v>
      </c>
      <c r="AQ231" s="1">
        <f t="shared" si="149"/>
        <v>46655</v>
      </c>
      <c r="AR231" s="100">
        <f t="shared" si="132"/>
        <v>368779.2469651326</v>
      </c>
      <c r="AS231" s="100">
        <f t="shared" si="133"/>
        <v>31408.23969616535</v>
      </c>
      <c r="AT231" s="100">
        <f t="shared" si="150"/>
        <v>57540.760303834657</v>
      </c>
      <c r="AU231" s="1">
        <f t="shared" si="134"/>
        <v>88949</v>
      </c>
      <c r="AV231" s="100">
        <f t="shared" si="135"/>
        <v>817869.43436507927</v>
      </c>
    </row>
    <row r="232" spans="4:48">
      <c r="D232" s="39">
        <f t="shared" si="136"/>
        <v>224</v>
      </c>
      <c r="E232" s="40">
        <f t="shared" si="115"/>
        <v>2045</v>
      </c>
      <c r="F232" s="35">
        <f t="shared" si="119"/>
        <v>53021</v>
      </c>
      <c r="G232" s="36">
        <f t="shared" si="121"/>
        <v>2</v>
      </c>
      <c r="H232" s="41">
        <f t="shared" si="120"/>
        <v>28</v>
      </c>
      <c r="I232" s="37" t="s">
        <v>123</v>
      </c>
      <c r="J232" s="27">
        <f t="shared" si="137"/>
        <v>0</v>
      </c>
      <c r="K232" s="27">
        <f t="shared" si="126"/>
        <v>0</v>
      </c>
      <c r="L232" s="27">
        <f t="shared" si="138"/>
        <v>0</v>
      </c>
      <c r="M232" s="27">
        <f t="shared" si="127"/>
        <v>0</v>
      </c>
      <c r="N232" s="27">
        <f t="shared" si="128"/>
        <v>0</v>
      </c>
      <c r="P232" s="72" t="s">
        <v>123</v>
      </c>
      <c r="Q232" s="44">
        <f t="shared" si="116"/>
        <v>129918.82635048195</v>
      </c>
      <c r="R232" s="44">
        <f t="shared" si="122"/>
        <v>616.91865707028842</v>
      </c>
      <c r="S232" s="44">
        <f t="shared" si="117"/>
        <v>3164.0813429297114</v>
      </c>
      <c r="T232" s="44">
        <f t="shared" si="118"/>
        <v>0</v>
      </c>
      <c r="U232" s="43">
        <f t="shared" si="129"/>
        <v>126754.74500755224</v>
      </c>
      <c r="W232" s="72" t="s">
        <v>123</v>
      </c>
      <c r="X232" s="44">
        <f t="shared" si="139"/>
        <v>238860.42061465065</v>
      </c>
      <c r="Y232" s="44">
        <f t="shared" si="123"/>
        <v>1134.2270712583902</v>
      </c>
      <c r="Z232" s="44">
        <f t="shared" si="140"/>
        <v>1749.7729287416098</v>
      </c>
      <c r="AA232" s="44">
        <f t="shared" si="141"/>
        <v>0</v>
      </c>
      <c r="AB232" s="43">
        <f t="shared" si="130"/>
        <v>237110.64768590903</v>
      </c>
      <c r="AD232" s="72" t="s">
        <v>123</v>
      </c>
      <c r="AE232" s="44">
        <f t="shared" si="142"/>
        <v>449090.18739994668</v>
      </c>
      <c r="AF232" s="44">
        <f t="shared" si="124"/>
        <v>2180.7327346511379</v>
      </c>
      <c r="AG232" s="44">
        <f t="shared" si="143"/>
        <v>3861.2672653488621</v>
      </c>
      <c r="AH232" s="44">
        <f t="shared" si="144"/>
        <v>0</v>
      </c>
      <c r="AI232" s="43">
        <f t="shared" si="131"/>
        <v>445228.92013459781</v>
      </c>
      <c r="AK232" s="101">
        <f t="shared" si="151"/>
        <v>2045</v>
      </c>
      <c r="AL232" s="101">
        <f t="shared" si="125"/>
        <v>2</v>
      </c>
      <c r="AM232" s="118">
        <f t="shared" si="145"/>
        <v>5799.744067172619</v>
      </c>
      <c r="AN232" s="100">
        <f t="shared" si="146"/>
        <v>10078.946490144248</v>
      </c>
      <c r="AO232" s="100">
        <f t="shared" si="147"/>
        <v>19461.427601828298</v>
      </c>
      <c r="AP232" s="100">
        <f t="shared" si="148"/>
        <v>15878.690557316866</v>
      </c>
      <c r="AQ232" s="1">
        <f t="shared" si="149"/>
        <v>53320</v>
      </c>
      <c r="AR232" s="100">
        <f t="shared" si="132"/>
        <v>363865.39269346127</v>
      </c>
      <c r="AS232" s="100">
        <f t="shared" si="133"/>
        <v>35340.11815914516</v>
      </c>
      <c r="AT232" s="100">
        <f t="shared" si="150"/>
        <v>66315.88184085484</v>
      </c>
      <c r="AU232" s="1">
        <f t="shared" si="134"/>
        <v>101656</v>
      </c>
      <c r="AV232" s="100">
        <f t="shared" si="135"/>
        <v>809094.31282805908</v>
      </c>
    </row>
    <row r="233" spans="4:48">
      <c r="D233" s="39">
        <f t="shared" si="136"/>
        <v>225</v>
      </c>
      <c r="E233" s="40">
        <f t="shared" si="115"/>
        <v>2045</v>
      </c>
      <c r="F233" s="35">
        <f t="shared" si="119"/>
        <v>53051</v>
      </c>
      <c r="G233" s="36">
        <f t="shared" si="121"/>
        <v>3</v>
      </c>
      <c r="H233" s="41">
        <f t="shared" si="120"/>
        <v>31</v>
      </c>
      <c r="I233" s="37" t="s">
        <v>123</v>
      </c>
      <c r="J233" s="27">
        <f t="shared" si="137"/>
        <v>0</v>
      </c>
      <c r="K233" s="27">
        <f t="shared" si="126"/>
        <v>0</v>
      </c>
      <c r="L233" s="27">
        <f t="shared" si="138"/>
        <v>0</v>
      </c>
      <c r="M233" s="27">
        <f t="shared" si="127"/>
        <v>0</v>
      </c>
      <c r="N233" s="27">
        <f t="shared" si="128"/>
        <v>0</v>
      </c>
      <c r="P233" s="72" t="s">
        <v>123</v>
      </c>
      <c r="Q233" s="44">
        <f t="shared" si="116"/>
        <v>126754.74500755224</v>
      </c>
      <c r="R233" s="44">
        <f t="shared" si="122"/>
        <v>666.38268546573136</v>
      </c>
      <c r="S233" s="44">
        <f t="shared" si="117"/>
        <v>3114.6173145342686</v>
      </c>
      <c r="T233" s="44">
        <f t="shared" si="118"/>
        <v>0</v>
      </c>
      <c r="U233" s="43">
        <f t="shared" si="129"/>
        <v>123640.12769301797</v>
      </c>
      <c r="W233" s="72" t="s">
        <v>123</v>
      </c>
      <c r="X233" s="44">
        <f t="shared" si="139"/>
        <v>237110.64768590903</v>
      </c>
      <c r="Y233" s="44">
        <f t="shared" si="123"/>
        <v>1246.5523886150434</v>
      </c>
      <c r="Z233" s="44">
        <f t="shared" si="140"/>
        <v>1637.4476113849566</v>
      </c>
      <c r="AA233" s="44">
        <f t="shared" si="141"/>
        <v>0</v>
      </c>
      <c r="AB233" s="43">
        <f t="shared" si="130"/>
        <v>235473.20007452407</v>
      </c>
      <c r="AD233" s="72" t="s">
        <v>123</v>
      </c>
      <c r="AE233" s="44">
        <f t="shared" si="142"/>
        <v>445228.92013459781</v>
      </c>
      <c r="AF233" s="44">
        <f t="shared" si="124"/>
        <v>2393.6238629592362</v>
      </c>
      <c r="AG233" s="44">
        <f t="shared" si="143"/>
        <v>3648.3761370407638</v>
      </c>
      <c r="AH233" s="44">
        <f t="shared" si="144"/>
        <v>0</v>
      </c>
      <c r="AI233" s="43">
        <f t="shared" si="131"/>
        <v>441580.54399755702</v>
      </c>
      <c r="AK233" s="101">
        <f t="shared" si="151"/>
        <v>2045</v>
      </c>
      <c r="AL233" s="101">
        <f t="shared" si="125"/>
        <v>3</v>
      </c>
      <c r="AM233" s="118">
        <f t="shared" si="145"/>
        <v>6466.1267526383508</v>
      </c>
      <c r="AN233" s="100">
        <f t="shared" si="146"/>
        <v>11325.498878759292</v>
      </c>
      <c r="AO233" s="100">
        <f t="shared" si="147"/>
        <v>21855.051464787535</v>
      </c>
      <c r="AP233" s="100">
        <f t="shared" si="148"/>
        <v>17791.625631397641</v>
      </c>
      <c r="AQ233" s="1">
        <f t="shared" si="149"/>
        <v>59985</v>
      </c>
      <c r="AR233" s="100">
        <f t="shared" si="132"/>
        <v>359113.32776754204</v>
      </c>
      <c r="AS233" s="100">
        <f t="shared" si="133"/>
        <v>39646.677096185173</v>
      </c>
      <c r="AT233" s="100">
        <f t="shared" si="150"/>
        <v>74716.322903814813</v>
      </c>
      <c r="AU233" s="1">
        <f t="shared" si="134"/>
        <v>114362.99999999999</v>
      </c>
      <c r="AV233" s="100">
        <f t="shared" si="135"/>
        <v>800693.871765099</v>
      </c>
    </row>
    <row r="234" spans="4:48">
      <c r="D234" s="39">
        <f t="shared" si="136"/>
        <v>226</v>
      </c>
      <c r="E234" s="40">
        <f t="shared" si="115"/>
        <v>2045</v>
      </c>
      <c r="F234" s="35">
        <f t="shared" si="119"/>
        <v>53082</v>
      </c>
      <c r="G234" s="36">
        <f t="shared" si="121"/>
        <v>4</v>
      </c>
      <c r="H234" s="41">
        <f t="shared" si="120"/>
        <v>30</v>
      </c>
      <c r="I234" s="37" t="s">
        <v>123</v>
      </c>
      <c r="J234" s="27">
        <f t="shared" si="137"/>
        <v>0</v>
      </c>
      <c r="K234" s="27">
        <f t="shared" si="126"/>
        <v>0</v>
      </c>
      <c r="L234" s="27">
        <f t="shared" si="138"/>
        <v>0</v>
      </c>
      <c r="M234" s="27">
        <f t="shared" si="127"/>
        <v>0</v>
      </c>
      <c r="N234" s="27">
        <f t="shared" si="128"/>
        <v>0</v>
      </c>
      <c r="P234" s="72" t="s">
        <v>123</v>
      </c>
      <c r="Q234" s="44">
        <f t="shared" si="116"/>
        <v>123640.12769301797</v>
      </c>
      <c r="R234" s="44">
        <f t="shared" si="122"/>
        <v>629.04032089297084</v>
      </c>
      <c r="S234" s="44">
        <f t="shared" si="117"/>
        <v>3151.9596791070289</v>
      </c>
      <c r="T234" s="44">
        <f t="shared" si="118"/>
        <v>0</v>
      </c>
      <c r="U234" s="43">
        <f t="shared" si="129"/>
        <v>120488.16801391094</v>
      </c>
      <c r="W234" s="72" t="s">
        <v>123</v>
      </c>
      <c r="X234" s="44">
        <f t="shared" si="139"/>
        <v>235473.20007452407</v>
      </c>
      <c r="Y234" s="44">
        <f t="shared" si="123"/>
        <v>1198.0102261325785</v>
      </c>
      <c r="Z234" s="44">
        <f t="shared" si="140"/>
        <v>1685.9897738674215</v>
      </c>
      <c r="AA234" s="44">
        <f t="shared" si="141"/>
        <v>0</v>
      </c>
      <c r="AB234" s="43">
        <f t="shared" si="130"/>
        <v>233787.21030065665</v>
      </c>
      <c r="AD234" s="72" t="s">
        <v>123</v>
      </c>
      <c r="AE234" s="44">
        <f t="shared" si="142"/>
        <v>441580.54399755702</v>
      </c>
      <c r="AF234" s="44">
        <f t="shared" si="124"/>
        <v>2297.4286384968786</v>
      </c>
      <c r="AG234" s="44">
        <f t="shared" si="143"/>
        <v>3744.5713615031214</v>
      </c>
      <c r="AH234" s="44">
        <f t="shared" si="144"/>
        <v>0</v>
      </c>
      <c r="AI234" s="43">
        <f t="shared" si="131"/>
        <v>437835.97263605392</v>
      </c>
      <c r="AK234" s="101">
        <f t="shared" si="151"/>
        <v>2045</v>
      </c>
      <c r="AL234" s="101">
        <f t="shared" si="125"/>
        <v>4</v>
      </c>
      <c r="AM234" s="118">
        <f t="shared" si="145"/>
        <v>7095.1670735313219</v>
      </c>
      <c r="AN234" s="100">
        <f t="shared" si="146"/>
        <v>12523.509104891871</v>
      </c>
      <c r="AO234" s="100">
        <f t="shared" si="147"/>
        <v>24152.480103284415</v>
      </c>
      <c r="AP234" s="100">
        <f t="shared" si="148"/>
        <v>19618.676178423193</v>
      </c>
      <c r="AQ234" s="1">
        <f t="shared" si="149"/>
        <v>66650</v>
      </c>
      <c r="AR234" s="100">
        <f t="shared" si="132"/>
        <v>354275.37831456761</v>
      </c>
      <c r="AS234" s="100">
        <f t="shared" si="133"/>
        <v>43771.156281707605</v>
      </c>
      <c r="AT234" s="100">
        <f t="shared" si="150"/>
        <v>83298.843718292395</v>
      </c>
      <c r="AU234" s="1">
        <f t="shared" si="134"/>
        <v>127070</v>
      </c>
      <c r="AV234" s="100">
        <f t="shared" si="135"/>
        <v>792111.35095062153</v>
      </c>
    </row>
    <row r="235" spans="4:48">
      <c r="D235" s="39">
        <f t="shared" si="136"/>
        <v>227</v>
      </c>
      <c r="E235" s="40">
        <f t="shared" si="115"/>
        <v>2045</v>
      </c>
      <c r="F235" s="35">
        <f t="shared" si="119"/>
        <v>53112</v>
      </c>
      <c r="G235" s="36">
        <f t="shared" si="121"/>
        <v>5</v>
      </c>
      <c r="H235" s="41">
        <f t="shared" si="120"/>
        <v>31</v>
      </c>
      <c r="I235" s="37" t="s">
        <v>123</v>
      </c>
      <c r="J235" s="27">
        <f t="shared" si="137"/>
        <v>0</v>
      </c>
      <c r="K235" s="27">
        <f t="shared" si="126"/>
        <v>0</v>
      </c>
      <c r="L235" s="27">
        <f t="shared" si="138"/>
        <v>0</v>
      </c>
      <c r="M235" s="27">
        <f t="shared" si="127"/>
        <v>0</v>
      </c>
      <c r="N235" s="27">
        <f t="shared" si="128"/>
        <v>0</v>
      </c>
      <c r="P235" s="72" t="s">
        <v>123</v>
      </c>
      <c r="Q235" s="44">
        <f t="shared" si="116"/>
        <v>120488.16801391094</v>
      </c>
      <c r="R235" s="44">
        <f t="shared" si="122"/>
        <v>633.4376591832704</v>
      </c>
      <c r="S235" s="44">
        <f t="shared" si="117"/>
        <v>3147.5623408167294</v>
      </c>
      <c r="T235" s="44">
        <f t="shared" si="118"/>
        <v>0</v>
      </c>
      <c r="U235" s="43">
        <f t="shared" si="129"/>
        <v>117340.60567309421</v>
      </c>
      <c r="W235" s="72" t="s">
        <v>123</v>
      </c>
      <c r="X235" s="44">
        <f t="shared" si="139"/>
        <v>233787.21030065665</v>
      </c>
      <c r="Y235" s="44">
        <f t="shared" si="123"/>
        <v>1229.0802132765207</v>
      </c>
      <c r="Z235" s="44">
        <f t="shared" si="140"/>
        <v>1654.9197867234793</v>
      </c>
      <c r="AA235" s="44">
        <f t="shared" si="141"/>
        <v>0</v>
      </c>
      <c r="AB235" s="43">
        <f t="shared" si="130"/>
        <v>232132.29051393317</v>
      </c>
      <c r="AD235" s="72" t="s">
        <v>123</v>
      </c>
      <c r="AE235" s="44">
        <f t="shared" si="142"/>
        <v>437835.97263605392</v>
      </c>
      <c r="AF235" s="44">
        <f t="shared" si="124"/>
        <v>2353.8781619280235</v>
      </c>
      <c r="AG235" s="44">
        <f t="shared" si="143"/>
        <v>3688.1218380719765</v>
      </c>
      <c r="AH235" s="44">
        <f t="shared" si="144"/>
        <v>0</v>
      </c>
      <c r="AI235" s="43">
        <f t="shared" si="131"/>
        <v>434147.85079798196</v>
      </c>
      <c r="AK235" s="101">
        <f t="shared" si="151"/>
        <v>2045</v>
      </c>
      <c r="AL235" s="101">
        <f t="shared" si="125"/>
        <v>5</v>
      </c>
      <c r="AM235" s="118">
        <f t="shared" si="145"/>
        <v>7728.6047327145925</v>
      </c>
      <c r="AN235" s="100">
        <f t="shared" si="146"/>
        <v>13752.589318168391</v>
      </c>
      <c r="AO235" s="100">
        <f t="shared" si="147"/>
        <v>26506.358265212439</v>
      </c>
      <c r="AP235" s="100">
        <f t="shared" si="148"/>
        <v>21481.194050882983</v>
      </c>
      <c r="AQ235" s="1">
        <f t="shared" si="149"/>
        <v>73315</v>
      </c>
      <c r="AR235" s="100">
        <f t="shared" si="132"/>
        <v>349472.89618702739</v>
      </c>
      <c r="AS235" s="100">
        <f t="shared" si="133"/>
        <v>47987.552316095418</v>
      </c>
      <c r="AT235" s="100">
        <f t="shared" si="150"/>
        <v>91789.447683904582</v>
      </c>
      <c r="AU235" s="1">
        <f t="shared" si="134"/>
        <v>139777</v>
      </c>
      <c r="AV235" s="100">
        <f t="shared" si="135"/>
        <v>783620.74698500941</v>
      </c>
    </row>
    <row r="236" spans="4:48">
      <c r="D236" s="39">
        <f t="shared" si="136"/>
        <v>228</v>
      </c>
      <c r="E236" s="40">
        <f t="shared" si="115"/>
        <v>2045</v>
      </c>
      <c r="F236" s="35">
        <f t="shared" si="119"/>
        <v>53143</v>
      </c>
      <c r="G236" s="36">
        <f t="shared" si="121"/>
        <v>6</v>
      </c>
      <c r="H236" s="41">
        <f t="shared" si="120"/>
        <v>30</v>
      </c>
      <c r="I236" s="37" t="s">
        <v>123</v>
      </c>
      <c r="J236" s="27">
        <f t="shared" si="137"/>
        <v>0</v>
      </c>
      <c r="K236" s="27">
        <f t="shared" si="126"/>
        <v>0</v>
      </c>
      <c r="L236" s="27">
        <f t="shared" si="138"/>
        <v>0</v>
      </c>
      <c r="M236" s="27">
        <f t="shared" si="127"/>
        <v>0</v>
      </c>
      <c r="N236" s="27">
        <f t="shared" si="128"/>
        <v>0</v>
      </c>
      <c r="P236" s="72" t="s">
        <v>123</v>
      </c>
      <c r="Q236" s="44">
        <f t="shared" si="116"/>
        <v>117340.60567309421</v>
      </c>
      <c r="R236" s="44">
        <f t="shared" si="122"/>
        <v>596.99042393133129</v>
      </c>
      <c r="S236" s="44">
        <f t="shared" si="117"/>
        <v>3184.0095760686686</v>
      </c>
      <c r="T236" s="44">
        <f t="shared" si="118"/>
        <v>0</v>
      </c>
      <c r="U236" s="43">
        <f t="shared" si="129"/>
        <v>114156.59609702554</v>
      </c>
      <c r="W236" s="72" t="s">
        <v>123</v>
      </c>
      <c r="X236" s="44">
        <f t="shared" si="139"/>
        <v>232132.29051393317</v>
      </c>
      <c r="Y236" s="44">
        <f t="shared" si="123"/>
        <v>1181.0127766695175</v>
      </c>
      <c r="Z236" s="44">
        <f t="shared" si="140"/>
        <v>1702.9872233304825</v>
      </c>
      <c r="AA236" s="44">
        <f t="shared" si="141"/>
        <v>0</v>
      </c>
      <c r="AB236" s="43">
        <f t="shared" si="130"/>
        <v>230429.30329060269</v>
      </c>
      <c r="AD236" s="72" t="s">
        <v>123</v>
      </c>
      <c r="AE236" s="44">
        <f t="shared" si="142"/>
        <v>434147.85079798196</v>
      </c>
      <c r="AF236" s="44">
        <f t="shared" si="124"/>
        <v>2258.7582703160761</v>
      </c>
      <c r="AG236" s="44">
        <f t="shared" si="143"/>
        <v>3783.2417296839239</v>
      </c>
      <c r="AH236" s="44">
        <f t="shared" si="144"/>
        <v>0</v>
      </c>
      <c r="AI236" s="43">
        <f t="shared" si="131"/>
        <v>430364.60906829801</v>
      </c>
      <c r="AK236" s="101">
        <f t="shared" si="151"/>
        <v>2045</v>
      </c>
      <c r="AL236" s="101">
        <f t="shared" si="125"/>
        <v>6</v>
      </c>
      <c r="AM236" s="118">
        <f t="shared" si="145"/>
        <v>8325.5951566459244</v>
      </c>
      <c r="AN236" s="100">
        <f t="shared" si="146"/>
        <v>14933.602094837908</v>
      </c>
      <c r="AO236" s="100">
        <f t="shared" si="147"/>
        <v>28765.116535528516</v>
      </c>
      <c r="AP236" s="100">
        <f t="shared" si="148"/>
        <v>23259.197251483834</v>
      </c>
      <c r="AQ236" s="1">
        <f t="shared" si="149"/>
        <v>79980</v>
      </c>
      <c r="AR236" s="100">
        <f t="shared" si="132"/>
        <v>344585.89938762825</v>
      </c>
      <c r="AS236" s="100">
        <f t="shared" si="133"/>
        <v>52024.313787012346</v>
      </c>
      <c r="AT236" s="100">
        <f t="shared" si="150"/>
        <v>100459.68621298765</v>
      </c>
      <c r="AU236" s="1">
        <f t="shared" si="134"/>
        <v>152484</v>
      </c>
      <c r="AV236" s="100">
        <f t="shared" si="135"/>
        <v>774950.50845592632</v>
      </c>
    </row>
    <row r="237" spans="4:48">
      <c r="D237" s="39">
        <f t="shared" si="136"/>
        <v>229</v>
      </c>
      <c r="E237" s="40">
        <f t="shared" ref="E237:E300" si="152">IF(MONTH(EDATE($E$5,D237))&lt;7,YEAR(EDATE($E$5,D237)),YEAR(EDATE($E$5,D237))+1)</f>
        <v>2046</v>
      </c>
      <c r="F237" s="35">
        <f t="shared" si="119"/>
        <v>53173</v>
      </c>
      <c r="G237" s="36">
        <f t="shared" si="121"/>
        <v>7</v>
      </c>
      <c r="H237" s="41">
        <f t="shared" si="120"/>
        <v>31</v>
      </c>
      <c r="I237" s="37" t="s">
        <v>123</v>
      </c>
      <c r="J237" s="27">
        <f t="shared" si="137"/>
        <v>0</v>
      </c>
      <c r="K237" s="27">
        <f t="shared" si="126"/>
        <v>0</v>
      </c>
      <c r="L237" s="27">
        <f t="shared" si="138"/>
        <v>0</v>
      </c>
      <c r="M237" s="27">
        <f t="shared" si="127"/>
        <v>0</v>
      </c>
      <c r="N237" s="27">
        <f t="shared" si="128"/>
        <v>0</v>
      </c>
      <c r="P237" s="72" t="s">
        <v>123</v>
      </c>
      <c r="Q237" s="44">
        <f t="shared" ref="Q237:Q300" si="153">IF(P237="PI",IF(U236&lt;=0,0,U236),(IF(P237="IO",Q236,"")))*IF(U236&lt;=0,0,1)</f>
        <v>114156.59609702554</v>
      </c>
      <c r="R237" s="44">
        <f t="shared" si="122"/>
        <v>600.15093767282815</v>
      </c>
      <c r="S237" s="44">
        <f t="shared" ref="S237:S300" si="154">IF(P237="IO",0,$R$6-R237)*IF(Q237&gt;0,1,0)</f>
        <v>3180.8490623271719</v>
      </c>
      <c r="T237" s="44">
        <f t="shared" ref="T237:T300" si="155">IF(P237="IO",$R$6-R237+IF(ISNUMBER(T236),T236,0),IF(ISNUMBER(T236),T236,0))</f>
        <v>0</v>
      </c>
      <c r="U237" s="43">
        <f t="shared" si="129"/>
        <v>110975.74703469838</v>
      </c>
      <c r="W237" s="72" t="s">
        <v>123</v>
      </c>
      <c r="X237" s="44">
        <f t="shared" si="139"/>
        <v>230429.30329060269</v>
      </c>
      <c r="Y237" s="44">
        <f t="shared" si="123"/>
        <v>1211.4268221488699</v>
      </c>
      <c r="Z237" s="44">
        <f t="shared" si="140"/>
        <v>1672.5731778511301</v>
      </c>
      <c r="AA237" s="44">
        <f t="shared" si="141"/>
        <v>0</v>
      </c>
      <c r="AB237" s="43">
        <f t="shared" si="130"/>
        <v>228756.73011275157</v>
      </c>
      <c r="AD237" s="72" t="s">
        <v>123</v>
      </c>
      <c r="AE237" s="44">
        <f t="shared" si="142"/>
        <v>430364.60906829801</v>
      </c>
      <c r="AF237" s="44">
        <f t="shared" si="124"/>
        <v>2313.710883218414</v>
      </c>
      <c r="AG237" s="44">
        <f t="shared" si="143"/>
        <v>3728.289116781586</v>
      </c>
      <c r="AH237" s="44">
        <f t="shared" si="144"/>
        <v>0</v>
      </c>
      <c r="AI237" s="43">
        <f t="shared" si="131"/>
        <v>426636.3199515164</v>
      </c>
      <c r="AK237" s="101">
        <f t="shared" si="151"/>
        <v>2046</v>
      </c>
      <c r="AL237" s="101">
        <f t="shared" si="125"/>
        <v>7</v>
      </c>
      <c r="AM237" s="118">
        <f t="shared" si="145"/>
        <v>600.15093767282815</v>
      </c>
      <c r="AN237" s="100">
        <f t="shared" si="146"/>
        <v>1211.4268221488699</v>
      </c>
      <c r="AO237" s="100">
        <f t="shared" si="147"/>
        <v>2313.710883218414</v>
      </c>
      <c r="AP237" s="100">
        <f t="shared" si="148"/>
        <v>1811.577759821698</v>
      </c>
      <c r="AQ237" s="1">
        <f t="shared" si="149"/>
        <v>6665</v>
      </c>
      <c r="AR237" s="100">
        <f t="shared" si="132"/>
        <v>339732.47714744997</v>
      </c>
      <c r="AS237" s="100">
        <f t="shared" si="133"/>
        <v>4125.2886430401122</v>
      </c>
      <c r="AT237" s="100">
        <f t="shared" si="150"/>
        <v>8581.7113569598878</v>
      </c>
      <c r="AU237" s="1">
        <f t="shared" si="134"/>
        <v>12707</v>
      </c>
      <c r="AV237" s="100">
        <f t="shared" si="135"/>
        <v>766368.79709896632</v>
      </c>
    </row>
    <row r="238" spans="4:48">
      <c r="D238" s="39">
        <f t="shared" si="136"/>
        <v>230</v>
      </c>
      <c r="E238" s="40">
        <f t="shared" si="152"/>
        <v>2046</v>
      </c>
      <c r="F238" s="35">
        <f t="shared" si="119"/>
        <v>53204</v>
      </c>
      <c r="G238" s="36">
        <f t="shared" si="121"/>
        <v>8</v>
      </c>
      <c r="H238" s="41">
        <f t="shared" si="120"/>
        <v>31</v>
      </c>
      <c r="I238" s="37" t="s">
        <v>123</v>
      </c>
      <c r="J238" s="27">
        <f t="shared" si="137"/>
        <v>0</v>
      </c>
      <c r="K238" s="27">
        <f t="shared" si="126"/>
        <v>0</v>
      </c>
      <c r="L238" s="27">
        <f t="shared" si="138"/>
        <v>0</v>
      </c>
      <c r="M238" s="27">
        <f t="shared" si="127"/>
        <v>0</v>
      </c>
      <c r="N238" s="27">
        <f t="shared" si="128"/>
        <v>0</v>
      </c>
      <c r="P238" s="72" t="s">
        <v>123</v>
      </c>
      <c r="Q238" s="44">
        <f t="shared" si="153"/>
        <v>110975.74703469838</v>
      </c>
      <c r="R238" s="44">
        <f t="shared" si="122"/>
        <v>583.4283862599525</v>
      </c>
      <c r="S238" s="44">
        <f t="shared" si="154"/>
        <v>3197.5716137400477</v>
      </c>
      <c r="T238" s="44">
        <f t="shared" si="155"/>
        <v>0</v>
      </c>
      <c r="U238" s="43">
        <f t="shared" si="129"/>
        <v>107778.17542095833</v>
      </c>
      <c r="W238" s="72" t="s">
        <v>123</v>
      </c>
      <c r="X238" s="44">
        <f t="shared" si="139"/>
        <v>228756.73011275157</v>
      </c>
      <c r="Y238" s="44">
        <f t="shared" si="123"/>
        <v>1202.633669625641</v>
      </c>
      <c r="Z238" s="44">
        <f t="shared" si="140"/>
        <v>1681.366330374359</v>
      </c>
      <c r="AA238" s="44">
        <f t="shared" si="141"/>
        <v>0</v>
      </c>
      <c r="AB238" s="43">
        <f t="shared" si="130"/>
        <v>227075.36378237722</v>
      </c>
      <c r="AD238" s="72" t="s">
        <v>123</v>
      </c>
      <c r="AE238" s="44">
        <f t="shared" si="142"/>
        <v>426636.3199515164</v>
      </c>
      <c r="AF238" s="44">
        <f t="shared" si="124"/>
        <v>2293.6669880571521</v>
      </c>
      <c r="AG238" s="44">
        <f t="shared" si="143"/>
        <v>3748.3330119428479</v>
      </c>
      <c r="AH238" s="44">
        <f t="shared" si="144"/>
        <v>0</v>
      </c>
      <c r="AI238" s="43">
        <f t="shared" si="131"/>
        <v>422887.98693957354</v>
      </c>
      <c r="AK238" s="101">
        <f t="shared" si="151"/>
        <v>2046</v>
      </c>
      <c r="AL238" s="101">
        <f t="shared" si="125"/>
        <v>8</v>
      </c>
      <c r="AM238" s="118">
        <f t="shared" si="145"/>
        <v>1183.5793239327807</v>
      </c>
      <c r="AN238" s="100">
        <f t="shared" si="146"/>
        <v>2414.0604917745109</v>
      </c>
      <c r="AO238" s="100">
        <f t="shared" si="147"/>
        <v>4607.3778712755666</v>
      </c>
      <c r="AP238" s="100">
        <f t="shared" si="148"/>
        <v>3597.6398157072917</v>
      </c>
      <c r="AQ238" s="1">
        <f t="shared" si="149"/>
        <v>13330</v>
      </c>
      <c r="AR238" s="100">
        <f t="shared" si="132"/>
        <v>334853.53920333553</v>
      </c>
      <c r="AS238" s="100">
        <f t="shared" si="133"/>
        <v>8205.0176869828574</v>
      </c>
      <c r="AT238" s="100">
        <f t="shared" si="150"/>
        <v>17208.982313017143</v>
      </c>
      <c r="AU238" s="1">
        <f t="shared" si="134"/>
        <v>25414</v>
      </c>
      <c r="AV238" s="100">
        <f t="shared" si="135"/>
        <v>757741.52614290908</v>
      </c>
    </row>
    <row r="239" spans="4:48">
      <c r="D239" s="39">
        <f t="shared" si="136"/>
        <v>231</v>
      </c>
      <c r="E239" s="40">
        <f t="shared" si="152"/>
        <v>2046</v>
      </c>
      <c r="F239" s="35">
        <f t="shared" si="119"/>
        <v>53235</v>
      </c>
      <c r="G239" s="36">
        <f t="shared" si="121"/>
        <v>9</v>
      </c>
      <c r="H239" s="41">
        <f t="shared" si="120"/>
        <v>30</v>
      </c>
      <c r="I239" s="37" t="s">
        <v>123</v>
      </c>
      <c r="J239" s="27">
        <f t="shared" si="137"/>
        <v>0</v>
      </c>
      <c r="K239" s="27">
        <f t="shared" si="126"/>
        <v>0</v>
      </c>
      <c r="L239" s="27">
        <f t="shared" si="138"/>
        <v>0</v>
      </c>
      <c r="M239" s="27">
        <f t="shared" si="127"/>
        <v>0</v>
      </c>
      <c r="N239" s="27">
        <f t="shared" si="128"/>
        <v>0</v>
      </c>
      <c r="P239" s="72" t="s">
        <v>123</v>
      </c>
      <c r="Q239" s="44">
        <f t="shared" si="153"/>
        <v>107778.17542095833</v>
      </c>
      <c r="R239" s="44">
        <f t="shared" si="122"/>
        <v>548.33992262114964</v>
      </c>
      <c r="S239" s="44">
        <f t="shared" si="154"/>
        <v>3232.6600773788505</v>
      </c>
      <c r="T239" s="44">
        <f t="shared" si="155"/>
        <v>0</v>
      </c>
      <c r="U239" s="43">
        <f t="shared" si="129"/>
        <v>104545.51534357948</v>
      </c>
      <c r="W239" s="72" t="s">
        <v>123</v>
      </c>
      <c r="X239" s="44">
        <f t="shared" si="139"/>
        <v>227075.36378237722</v>
      </c>
      <c r="Y239" s="44">
        <f t="shared" si="123"/>
        <v>1155.2847960106149</v>
      </c>
      <c r="Z239" s="44">
        <f t="shared" si="140"/>
        <v>1728.7152039893851</v>
      </c>
      <c r="AA239" s="44">
        <f t="shared" si="141"/>
        <v>0</v>
      </c>
      <c r="AB239" s="43">
        <f t="shared" si="130"/>
        <v>225346.64857838783</v>
      </c>
      <c r="AD239" s="72" t="s">
        <v>123</v>
      </c>
      <c r="AE239" s="44">
        <f t="shared" si="142"/>
        <v>422887.98693957354</v>
      </c>
      <c r="AF239" s="44">
        <f t="shared" si="124"/>
        <v>2200.1761293102745</v>
      </c>
      <c r="AG239" s="44">
        <f t="shared" si="143"/>
        <v>3841.8238706897255</v>
      </c>
      <c r="AH239" s="44">
        <f t="shared" si="144"/>
        <v>0</v>
      </c>
      <c r="AI239" s="43">
        <f t="shared" si="131"/>
        <v>419046.16306888382</v>
      </c>
      <c r="AK239" s="101">
        <f t="shared" si="151"/>
        <v>2046</v>
      </c>
      <c r="AL239" s="101">
        <f t="shared" si="125"/>
        <v>9</v>
      </c>
      <c r="AM239" s="118">
        <f t="shared" si="145"/>
        <v>1731.9192465539304</v>
      </c>
      <c r="AN239" s="100">
        <f t="shared" si="146"/>
        <v>3569.3452877851259</v>
      </c>
      <c r="AO239" s="100">
        <f t="shared" si="147"/>
        <v>6807.5540005858411</v>
      </c>
      <c r="AP239" s="100">
        <f t="shared" si="148"/>
        <v>5301.2645343390559</v>
      </c>
      <c r="AQ239" s="1">
        <f t="shared" si="149"/>
        <v>19995</v>
      </c>
      <c r="AR239" s="100">
        <f t="shared" si="132"/>
        <v>329892.16392196732</v>
      </c>
      <c r="AS239" s="100">
        <f t="shared" si="133"/>
        <v>12108.818534924896</v>
      </c>
      <c r="AT239" s="100">
        <f t="shared" si="150"/>
        <v>26012.181465075104</v>
      </c>
      <c r="AU239" s="1">
        <f t="shared" si="134"/>
        <v>38121</v>
      </c>
      <c r="AV239" s="100">
        <f t="shared" si="135"/>
        <v>748938.3269908512</v>
      </c>
    </row>
    <row r="240" spans="4:48">
      <c r="D240" s="39">
        <f t="shared" si="136"/>
        <v>232</v>
      </c>
      <c r="E240" s="40">
        <f t="shared" si="152"/>
        <v>2046</v>
      </c>
      <c r="F240" s="35">
        <f t="shared" si="119"/>
        <v>53265</v>
      </c>
      <c r="G240" s="36">
        <f t="shared" si="121"/>
        <v>10</v>
      </c>
      <c r="H240" s="41">
        <f t="shared" si="120"/>
        <v>31</v>
      </c>
      <c r="I240" s="37" t="s">
        <v>123</v>
      </c>
      <c r="J240" s="27">
        <f t="shared" si="137"/>
        <v>0</v>
      </c>
      <c r="K240" s="27">
        <f t="shared" si="126"/>
        <v>0</v>
      </c>
      <c r="L240" s="27">
        <f t="shared" si="138"/>
        <v>0</v>
      </c>
      <c r="M240" s="27">
        <f t="shared" si="127"/>
        <v>0</v>
      </c>
      <c r="N240" s="27">
        <f t="shared" si="128"/>
        <v>0</v>
      </c>
      <c r="P240" s="72" t="s">
        <v>123</v>
      </c>
      <c r="Q240" s="44">
        <f t="shared" si="153"/>
        <v>104545.51534357948</v>
      </c>
      <c r="R240" s="44">
        <f t="shared" si="122"/>
        <v>549.62298463779359</v>
      </c>
      <c r="S240" s="44">
        <f t="shared" si="154"/>
        <v>3231.3770153622063</v>
      </c>
      <c r="T240" s="44">
        <f t="shared" si="155"/>
        <v>0</v>
      </c>
      <c r="U240" s="43">
        <f t="shared" si="129"/>
        <v>101314.13832821728</v>
      </c>
      <c r="W240" s="72" t="s">
        <v>123</v>
      </c>
      <c r="X240" s="44">
        <f t="shared" si="139"/>
        <v>225346.64857838783</v>
      </c>
      <c r="Y240" s="44">
        <f t="shared" si="123"/>
        <v>1184.7059834440231</v>
      </c>
      <c r="Z240" s="44">
        <f t="shared" si="140"/>
        <v>1699.2940165559769</v>
      </c>
      <c r="AA240" s="44">
        <f t="shared" si="141"/>
        <v>0</v>
      </c>
      <c r="AB240" s="43">
        <f t="shared" si="130"/>
        <v>223647.35456183186</v>
      </c>
      <c r="AD240" s="72" t="s">
        <v>123</v>
      </c>
      <c r="AE240" s="44">
        <f t="shared" si="142"/>
        <v>419046.16306888382</v>
      </c>
      <c r="AF240" s="44">
        <f t="shared" si="124"/>
        <v>2252.8610569590978</v>
      </c>
      <c r="AG240" s="44">
        <f t="shared" si="143"/>
        <v>3789.1389430409022</v>
      </c>
      <c r="AH240" s="44">
        <f t="shared" si="144"/>
        <v>0</v>
      </c>
      <c r="AI240" s="43">
        <f t="shared" si="131"/>
        <v>415257.0241258429</v>
      </c>
      <c r="AK240" s="101">
        <f t="shared" si="151"/>
        <v>2046</v>
      </c>
      <c r="AL240" s="101">
        <f t="shared" si="125"/>
        <v>10</v>
      </c>
      <c r="AM240" s="118">
        <f t="shared" si="145"/>
        <v>2281.5422311917241</v>
      </c>
      <c r="AN240" s="100">
        <f t="shared" si="146"/>
        <v>4754.0512712291493</v>
      </c>
      <c r="AO240" s="100">
        <f t="shared" si="147"/>
        <v>9060.4150575449385</v>
      </c>
      <c r="AP240" s="100">
        <f t="shared" si="148"/>
        <v>7035.5935024208738</v>
      </c>
      <c r="AQ240" s="1">
        <f t="shared" si="149"/>
        <v>26660</v>
      </c>
      <c r="AR240" s="100">
        <f t="shared" si="132"/>
        <v>324961.49289004912</v>
      </c>
      <c r="AS240" s="100">
        <f t="shared" si="133"/>
        <v>16096.008559965812</v>
      </c>
      <c r="AT240" s="100">
        <f t="shared" si="150"/>
        <v>34731.991440034188</v>
      </c>
      <c r="AU240" s="1">
        <f t="shared" si="134"/>
        <v>50828</v>
      </c>
      <c r="AV240" s="100">
        <f t="shared" si="135"/>
        <v>740218.51701589208</v>
      </c>
    </row>
    <row r="241" spans="4:48">
      <c r="D241" s="39">
        <f t="shared" si="136"/>
        <v>233</v>
      </c>
      <c r="E241" s="40">
        <f t="shared" si="152"/>
        <v>2046</v>
      </c>
      <c r="F241" s="35">
        <f t="shared" si="119"/>
        <v>53296</v>
      </c>
      <c r="G241" s="36">
        <f t="shared" si="121"/>
        <v>11</v>
      </c>
      <c r="H241" s="41">
        <f t="shared" si="120"/>
        <v>30</v>
      </c>
      <c r="I241" s="37" t="s">
        <v>123</v>
      </c>
      <c r="J241" s="27">
        <f t="shared" si="137"/>
        <v>0</v>
      </c>
      <c r="K241" s="27">
        <f t="shared" si="126"/>
        <v>0</v>
      </c>
      <c r="L241" s="27">
        <f t="shared" si="138"/>
        <v>0</v>
      </c>
      <c r="M241" s="27">
        <f t="shared" si="127"/>
        <v>0</v>
      </c>
      <c r="N241" s="27">
        <f t="shared" si="128"/>
        <v>0</v>
      </c>
      <c r="P241" s="72" t="s">
        <v>123</v>
      </c>
      <c r="Q241" s="44">
        <f t="shared" si="153"/>
        <v>101314.13832821728</v>
      </c>
      <c r="R241" s="44">
        <f t="shared" si="122"/>
        <v>515.45302705616291</v>
      </c>
      <c r="S241" s="44">
        <f t="shared" si="154"/>
        <v>3265.5469729438373</v>
      </c>
      <c r="T241" s="44">
        <f t="shared" si="155"/>
        <v>0</v>
      </c>
      <c r="U241" s="43">
        <f t="shared" si="129"/>
        <v>98048.591355273442</v>
      </c>
      <c r="W241" s="72" t="s">
        <v>123</v>
      </c>
      <c r="X241" s="44">
        <f t="shared" si="139"/>
        <v>223647.35456183186</v>
      </c>
      <c r="Y241" s="44">
        <f t="shared" si="123"/>
        <v>1137.8442121132102</v>
      </c>
      <c r="Z241" s="44">
        <f t="shared" si="140"/>
        <v>1746.1557878867898</v>
      </c>
      <c r="AA241" s="44">
        <f t="shared" si="141"/>
        <v>0</v>
      </c>
      <c r="AB241" s="43">
        <f t="shared" si="130"/>
        <v>221901.19877394507</v>
      </c>
      <c r="AD241" s="72" t="s">
        <v>123</v>
      </c>
      <c r="AE241" s="44">
        <f t="shared" si="142"/>
        <v>415257.0241258429</v>
      </c>
      <c r="AF241" s="44">
        <f t="shared" si="124"/>
        <v>2160.4742159314401</v>
      </c>
      <c r="AG241" s="44">
        <f t="shared" si="143"/>
        <v>3881.5257840685599</v>
      </c>
      <c r="AH241" s="44">
        <f t="shared" si="144"/>
        <v>0</v>
      </c>
      <c r="AI241" s="43">
        <f t="shared" si="131"/>
        <v>411375.49834177434</v>
      </c>
      <c r="AK241" s="101">
        <f t="shared" si="151"/>
        <v>2046</v>
      </c>
      <c r="AL241" s="101">
        <f t="shared" si="125"/>
        <v>11</v>
      </c>
      <c r="AM241" s="118">
        <f t="shared" si="145"/>
        <v>2796.9952582478873</v>
      </c>
      <c r="AN241" s="100">
        <f t="shared" si="146"/>
        <v>5891.8954833423595</v>
      </c>
      <c r="AO241" s="100">
        <f t="shared" si="147"/>
        <v>11220.889273476379</v>
      </c>
      <c r="AP241" s="100">
        <f t="shared" si="148"/>
        <v>8688.8907415902468</v>
      </c>
      <c r="AQ241" s="1">
        <f t="shared" si="149"/>
        <v>33325</v>
      </c>
      <c r="AR241" s="100">
        <f t="shared" si="132"/>
        <v>319949.79012921848</v>
      </c>
      <c r="AS241" s="100">
        <f t="shared" si="133"/>
        <v>19909.780015066626</v>
      </c>
      <c r="AT241" s="100">
        <f t="shared" si="150"/>
        <v>43625.219984933377</v>
      </c>
      <c r="AU241" s="1">
        <f t="shared" si="134"/>
        <v>63535</v>
      </c>
      <c r="AV241" s="100">
        <f t="shared" si="135"/>
        <v>731325.28847099282</v>
      </c>
    </row>
    <row r="242" spans="4:48">
      <c r="D242" s="39">
        <f t="shared" si="136"/>
        <v>234</v>
      </c>
      <c r="E242" s="40">
        <f t="shared" si="152"/>
        <v>2046</v>
      </c>
      <c r="F242" s="35">
        <f t="shared" si="119"/>
        <v>53326</v>
      </c>
      <c r="G242" s="36">
        <f t="shared" si="121"/>
        <v>12</v>
      </c>
      <c r="H242" s="41">
        <f t="shared" si="120"/>
        <v>31</v>
      </c>
      <c r="I242" s="37" t="s">
        <v>123</v>
      </c>
      <c r="J242" s="27">
        <f t="shared" si="137"/>
        <v>0</v>
      </c>
      <c r="K242" s="27">
        <f t="shared" si="126"/>
        <v>0</v>
      </c>
      <c r="L242" s="27">
        <f t="shared" si="138"/>
        <v>0</v>
      </c>
      <c r="M242" s="27">
        <f t="shared" si="127"/>
        <v>0</v>
      </c>
      <c r="N242" s="27">
        <f t="shared" si="128"/>
        <v>0</v>
      </c>
      <c r="P242" s="72" t="s">
        <v>123</v>
      </c>
      <c r="Q242" s="44">
        <f t="shared" si="153"/>
        <v>98048.591355273442</v>
      </c>
      <c r="R242" s="44">
        <f t="shared" si="122"/>
        <v>515.46696425105256</v>
      </c>
      <c r="S242" s="44">
        <f t="shared" si="154"/>
        <v>3265.5330357489474</v>
      </c>
      <c r="T242" s="44">
        <f t="shared" si="155"/>
        <v>0</v>
      </c>
      <c r="U242" s="43">
        <f t="shared" si="129"/>
        <v>94783.058319524498</v>
      </c>
      <c r="W242" s="72" t="s">
        <v>123</v>
      </c>
      <c r="X242" s="44">
        <f t="shared" si="139"/>
        <v>221901.19877394507</v>
      </c>
      <c r="Y242" s="44">
        <f t="shared" si="123"/>
        <v>1166.5923570611594</v>
      </c>
      <c r="Z242" s="44">
        <f t="shared" si="140"/>
        <v>1717.4076429388406</v>
      </c>
      <c r="AA242" s="44">
        <f t="shared" si="141"/>
        <v>0</v>
      </c>
      <c r="AB242" s="43">
        <f t="shared" si="130"/>
        <v>220183.79113100623</v>
      </c>
      <c r="AD242" s="72" t="s">
        <v>123</v>
      </c>
      <c r="AE242" s="44">
        <f t="shared" si="142"/>
        <v>411375.49834177434</v>
      </c>
      <c r="AF242" s="44">
        <f t="shared" si="124"/>
        <v>2211.622302454969</v>
      </c>
      <c r="AG242" s="44">
        <f t="shared" si="143"/>
        <v>3830.377697545031</v>
      </c>
      <c r="AH242" s="44">
        <f t="shared" si="144"/>
        <v>0</v>
      </c>
      <c r="AI242" s="43">
        <f t="shared" si="131"/>
        <v>407545.12064422929</v>
      </c>
      <c r="AK242" s="101">
        <f t="shared" si="151"/>
        <v>2046</v>
      </c>
      <c r="AL242" s="101">
        <f t="shared" si="125"/>
        <v>12</v>
      </c>
      <c r="AM242" s="118">
        <f t="shared" si="145"/>
        <v>3312.4622224989398</v>
      </c>
      <c r="AN242" s="100">
        <f t="shared" si="146"/>
        <v>7058.4878404035189</v>
      </c>
      <c r="AO242" s="100">
        <f t="shared" si="147"/>
        <v>13432.511575931348</v>
      </c>
      <c r="AP242" s="100">
        <f t="shared" si="148"/>
        <v>10370.950062902459</v>
      </c>
      <c r="AQ242" s="1">
        <f t="shared" si="149"/>
        <v>39990</v>
      </c>
      <c r="AR242" s="100">
        <f t="shared" si="132"/>
        <v>314966.84945053072</v>
      </c>
      <c r="AS242" s="100">
        <f t="shared" si="133"/>
        <v>23803.461638833807</v>
      </c>
      <c r="AT242" s="100">
        <f t="shared" si="150"/>
        <v>52438.538361166196</v>
      </c>
      <c r="AU242" s="1">
        <f t="shared" si="134"/>
        <v>76242</v>
      </c>
      <c r="AV242" s="100">
        <f t="shared" si="135"/>
        <v>722511.97009475995</v>
      </c>
    </row>
    <row r="243" spans="4:48">
      <c r="D243" s="39">
        <f t="shared" si="136"/>
        <v>235</v>
      </c>
      <c r="E243" s="40">
        <f t="shared" si="152"/>
        <v>2046</v>
      </c>
      <c r="F243" s="35">
        <f t="shared" ref="F243:F306" si="156">EDATE($E$5,D243)</f>
        <v>53357</v>
      </c>
      <c r="G243" s="36">
        <f t="shared" si="121"/>
        <v>1</v>
      </c>
      <c r="H243" s="41">
        <f t="shared" ref="H243:H306" si="157">DAY(EOMONTH(F243,0))</f>
        <v>31</v>
      </c>
      <c r="I243" s="37" t="s">
        <v>123</v>
      </c>
      <c r="J243" s="27">
        <f t="shared" si="137"/>
        <v>0</v>
      </c>
      <c r="K243" s="27">
        <f t="shared" si="126"/>
        <v>0</v>
      </c>
      <c r="L243" s="27">
        <f t="shared" si="138"/>
        <v>0</v>
      </c>
      <c r="M243" s="27">
        <f t="shared" si="127"/>
        <v>0</v>
      </c>
      <c r="N243" s="27">
        <f t="shared" si="128"/>
        <v>0</v>
      </c>
      <c r="P243" s="72" t="s">
        <v>123</v>
      </c>
      <c r="Q243" s="44">
        <f t="shared" si="153"/>
        <v>94783.058319524498</v>
      </c>
      <c r="R243" s="44">
        <f t="shared" si="122"/>
        <v>498.29920714886453</v>
      </c>
      <c r="S243" s="44">
        <f t="shared" si="154"/>
        <v>3282.7007928511357</v>
      </c>
      <c r="T243" s="44">
        <f t="shared" si="155"/>
        <v>0</v>
      </c>
      <c r="U243" s="43">
        <f t="shared" si="129"/>
        <v>91500.357526673368</v>
      </c>
      <c r="W243" s="72" t="s">
        <v>123</v>
      </c>
      <c r="X243" s="44">
        <f t="shared" si="139"/>
        <v>220183.79113100623</v>
      </c>
      <c r="Y243" s="44">
        <f t="shared" si="123"/>
        <v>1157.5634980857203</v>
      </c>
      <c r="Z243" s="44">
        <f t="shared" si="140"/>
        <v>1726.4365019142797</v>
      </c>
      <c r="AA243" s="44">
        <f t="shared" si="141"/>
        <v>0</v>
      </c>
      <c r="AB243" s="43">
        <f t="shared" si="130"/>
        <v>218457.35462909195</v>
      </c>
      <c r="AD243" s="72" t="s">
        <v>123</v>
      </c>
      <c r="AE243" s="44">
        <f t="shared" si="142"/>
        <v>407545.12064422929</v>
      </c>
      <c r="AF243" s="44">
        <f t="shared" si="124"/>
        <v>2191.0295623018383</v>
      </c>
      <c r="AG243" s="44">
        <f t="shared" si="143"/>
        <v>3850.9704376981617</v>
      </c>
      <c r="AH243" s="44">
        <f t="shared" si="144"/>
        <v>0</v>
      </c>
      <c r="AI243" s="43">
        <f t="shared" si="131"/>
        <v>403694.15020653111</v>
      </c>
      <c r="AK243" s="101">
        <f t="shared" si="151"/>
        <v>2046</v>
      </c>
      <c r="AL243" s="101">
        <f t="shared" si="125"/>
        <v>1</v>
      </c>
      <c r="AM243" s="118">
        <f t="shared" si="145"/>
        <v>3810.7614296478041</v>
      </c>
      <c r="AN243" s="100">
        <f t="shared" si="146"/>
        <v>8216.0513384892402</v>
      </c>
      <c r="AO243" s="100">
        <f t="shared" si="147"/>
        <v>15623.541138233188</v>
      </c>
      <c r="AP243" s="100">
        <f t="shared" si="148"/>
        <v>12026.812768137044</v>
      </c>
      <c r="AQ243" s="1">
        <f t="shared" si="149"/>
        <v>46655</v>
      </c>
      <c r="AR243" s="100">
        <f t="shared" si="132"/>
        <v>309957.71215576533</v>
      </c>
      <c r="AS243" s="100">
        <f t="shared" si="133"/>
        <v>27650.353906370234</v>
      </c>
      <c r="AT243" s="100">
        <f t="shared" si="150"/>
        <v>61298.646093629774</v>
      </c>
      <c r="AU243" s="1">
        <f t="shared" si="134"/>
        <v>88949</v>
      </c>
      <c r="AV243" s="100">
        <f t="shared" si="135"/>
        <v>713651.86236229644</v>
      </c>
    </row>
    <row r="244" spans="4:48">
      <c r="D244" s="39">
        <f t="shared" si="136"/>
        <v>236</v>
      </c>
      <c r="E244" s="40">
        <f t="shared" si="152"/>
        <v>2046</v>
      </c>
      <c r="F244" s="35">
        <f t="shared" si="156"/>
        <v>53386</v>
      </c>
      <c r="G244" s="36">
        <f t="shared" si="121"/>
        <v>2</v>
      </c>
      <c r="H244" s="41">
        <f t="shared" si="157"/>
        <v>28</v>
      </c>
      <c r="I244" s="37" t="s">
        <v>123</v>
      </c>
      <c r="J244" s="27">
        <f t="shared" si="137"/>
        <v>0</v>
      </c>
      <c r="K244" s="27">
        <f t="shared" si="126"/>
        <v>0</v>
      </c>
      <c r="L244" s="27">
        <f t="shared" si="138"/>
        <v>0</v>
      </c>
      <c r="M244" s="27">
        <f t="shared" si="127"/>
        <v>0</v>
      </c>
      <c r="N244" s="27">
        <f t="shared" si="128"/>
        <v>0</v>
      </c>
      <c r="P244" s="72" t="s">
        <v>123</v>
      </c>
      <c r="Q244" s="44">
        <f t="shared" si="153"/>
        <v>91500.357526673368</v>
      </c>
      <c r="R244" s="44">
        <f t="shared" si="122"/>
        <v>434.48882100063094</v>
      </c>
      <c r="S244" s="44">
        <f t="shared" si="154"/>
        <v>3346.5111789993689</v>
      </c>
      <c r="T244" s="44">
        <f t="shared" si="155"/>
        <v>0</v>
      </c>
      <c r="U244" s="43">
        <f t="shared" si="129"/>
        <v>88153.846347674</v>
      </c>
      <c r="W244" s="72" t="s">
        <v>123</v>
      </c>
      <c r="X244" s="44">
        <f t="shared" si="139"/>
        <v>218457.35462909195</v>
      </c>
      <c r="Y244" s="44">
        <f t="shared" si="123"/>
        <v>1037.3432521729922</v>
      </c>
      <c r="Z244" s="44">
        <f t="shared" si="140"/>
        <v>1846.6567478270078</v>
      </c>
      <c r="AA244" s="44">
        <f t="shared" si="141"/>
        <v>0</v>
      </c>
      <c r="AB244" s="43">
        <f t="shared" si="130"/>
        <v>216610.69788126493</v>
      </c>
      <c r="AD244" s="72" t="s">
        <v>123</v>
      </c>
      <c r="AE244" s="44">
        <f t="shared" si="142"/>
        <v>403694.15020653111</v>
      </c>
      <c r="AF244" s="44">
        <f t="shared" si="124"/>
        <v>1960.2945529480978</v>
      </c>
      <c r="AG244" s="44">
        <f t="shared" si="143"/>
        <v>4081.7054470519024</v>
      </c>
      <c r="AH244" s="44">
        <f t="shared" si="144"/>
        <v>0</v>
      </c>
      <c r="AI244" s="43">
        <f t="shared" si="131"/>
        <v>399612.4447594792</v>
      </c>
      <c r="AK244" s="101">
        <f t="shared" si="151"/>
        <v>2046</v>
      </c>
      <c r="AL244" s="101">
        <f t="shared" si="125"/>
        <v>2</v>
      </c>
      <c r="AM244" s="118">
        <f t="shared" si="145"/>
        <v>4245.2502506484352</v>
      </c>
      <c r="AN244" s="100">
        <f t="shared" si="146"/>
        <v>9253.3945906622321</v>
      </c>
      <c r="AO244" s="100">
        <f t="shared" si="147"/>
        <v>17583.835691181284</v>
      </c>
      <c r="AP244" s="100">
        <f t="shared" si="148"/>
        <v>13498.644841310666</v>
      </c>
      <c r="AQ244" s="1">
        <f t="shared" si="149"/>
        <v>53320</v>
      </c>
      <c r="AR244" s="100">
        <f t="shared" si="132"/>
        <v>304764.54422893893</v>
      </c>
      <c r="AS244" s="100">
        <f t="shared" si="133"/>
        <v>31082.480532491951</v>
      </c>
      <c r="AT244" s="100">
        <f t="shared" si="150"/>
        <v>70573.519467508057</v>
      </c>
      <c r="AU244" s="1">
        <f t="shared" si="134"/>
        <v>101656</v>
      </c>
      <c r="AV244" s="100">
        <f t="shared" si="135"/>
        <v>704376.98898841813</v>
      </c>
    </row>
    <row r="245" spans="4:48">
      <c r="D245" s="39">
        <f t="shared" si="136"/>
        <v>237</v>
      </c>
      <c r="E245" s="40">
        <f t="shared" si="152"/>
        <v>2046</v>
      </c>
      <c r="F245" s="35">
        <f t="shared" si="156"/>
        <v>53416</v>
      </c>
      <c r="G245" s="36">
        <f t="shared" si="121"/>
        <v>3</v>
      </c>
      <c r="H245" s="41">
        <f t="shared" si="157"/>
        <v>31</v>
      </c>
      <c r="I245" s="37" t="s">
        <v>123</v>
      </c>
      <c r="J245" s="27">
        <f t="shared" si="137"/>
        <v>0</v>
      </c>
      <c r="K245" s="27">
        <f t="shared" si="126"/>
        <v>0</v>
      </c>
      <c r="L245" s="27">
        <f t="shared" si="138"/>
        <v>0</v>
      </c>
      <c r="M245" s="27">
        <f t="shared" si="127"/>
        <v>0</v>
      </c>
      <c r="N245" s="27">
        <f t="shared" si="128"/>
        <v>0</v>
      </c>
      <c r="P245" s="72" t="s">
        <v>123</v>
      </c>
      <c r="Q245" s="44">
        <f t="shared" si="153"/>
        <v>88153.846347674</v>
      </c>
      <c r="R245" s="44">
        <f t="shared" si="122"/>
        <v>463.44771440151135</v>
      </c>
      <c r="S245" s="44">
        <f t="shared" si="154"/>
        <v>3317.5522855984887</v>
      </c>
      <c r="T245" s="44">
        <f t="shared" si="155"/>
        <v>0</v>
      </c>
      <c r="U245" s="43">
        <f t="shared" si="129"/>
        <v>84836.294062075511</v>
      </c>
      <c r="W245" s="72" t="s">
        <v>123</v>
      </c>
      <c r="X245" s="44">
        <f t="shared" si="139"/>
        <v>216610.69788126493</v>
      </c>
      <c r="Y245" s="44">
        <f t="shared" si="123"/>
        <v>1138.7788168886557</v>
      </c>
      <c r="Z245" s="44">
        <f t="shared" si="140"/>
        <v>1745.2211831113443</v>
      </c>
      <c r="AA245" s="44">
        <f t="shared" si="141"/>
        <v>0</v>
      </c>
      <c r="AB245" s="43">
        <f t="shared" si="130"/>
        <v>214865.47669815359</v>
      </c>
      <c r="AD245" s="72" t="s">
        <v>123</v>
      </c>
      <c r="AE245" s="44">
        <f t="shared" si="142"/>
        <v>399612.4447594792</v>
      </c>
      <c r="AF245" s="44">
        <f t="shared" si="124"/>
        <v>2148.3821927439067</v>
      </c>
      <c r="AG245" s="44">
        <f t="shared" si="143"/>
        <v>3893.6178072560933</v>
      </c>
      <c r="AH245" s="44">
        <f t="shared" si="144"/>
        <v>0</v>
      </c>
      <c r="AI245" s="43">
        <f t="shared" si="131"/>
        <v>395718.82695222308</v>
      </c>
      <c r="AK245" s="101">
        <f t="shared" si="151"/>
        <v>2046</v>
      </c>
      <c r="AL245" s="101">
        <f t="shared" si="125"/>
        <v>3</v>
      </c>
      <c r="AM245" s="118">
        <f t="shared" si="145"/>
        <v>4708.697965049947</v>
      </c>
      <c r="AN245" s="100">
        <f t="shared" si="146"/>
        <v>10392.173407550888</v>
      </c>
      <c r="AO245" s="100">
        <f t="shared" si="147"/>
        <v>19732.21788392519</v>
      </c>
      <c r="AP245" s="100">
        <f t="shared" si="148"/>
        <v>15100.871372600835</v>
      </c>
      <c r="AQ245" s="1">
        <f t="shared" si="149"/>
        <v>59985</v>
      </c>
      <c r="AR245" s="100">
        <f t="shared" si="132"/>
        <v>299701.77076022909</v>
      </c>
      <c r="AS245" s="100">
        <f t="shared" si="133"/>
        <v>34833.089256526029</v>
      </c>
      <c r="AT245" s="100">
        <f t="shared" si="150"/>
        <v>79529.910743473971</v>
      </c>
      <c r="AU245" s="1">
        <f t="shared" si="134"/>
        <v>114363</v>
      </c>
      <c r="AV245" s="100">
        <f t="shared" si="135"/>
        <v>695420.59771245217</v>
      </c>
    </row>
    <row r="246" spans="4:48">
      <c r="D246" s="39">
        <f t="shared" si="136"/>
        <v>238</v>
      </c>
      <c r="E246" s="40">
        <f t="shared" si="152"/>
        <v>2046</v>
      </c>
      <c r="F246" s="35">
        <f t="shared" si="156"/>
        <v>53447</v>
      </c>
      <c r="G246" s="36">
        <f t="shared" si="121"/>
        <v>4</v>
      </c>
      <c r="H246" s="41">
        <f t="shared" si="157"/>
        <v>30</v>
      </c>
      <c r="I246" s="37" t="s">
        <v>123</v>
      </c>
      <c r="J246" s="27">
        <f t="shared" si="137"/>
        <v>0</v>
      </c>
      <c r="K246" s="27">
        <f t="shared" si="126"/>
        <v>0</v>
      </c>
      <c r="L246" s="27">
        <f t="shared" si="138"/>
        <v>0</v>
      </c>
      <c r="M246" s="27">
        <f t="shared" si="127"/>
        <v>0</v>
      </c>
      <c r="N246" s="27">
        <f t="shared" si="128"/>
        <v>0</v>
      </c>
      <c r="P246" s="72" t="s">
        <v>123</v>
      </c>
      <c r="Q246" s="44">
        <f t="shared" si="153"/>
        <v>84836.294062075511</v>
      </c>
      <c r="R246" s="44">
        <f t="shared" si="122"/>
        <v>431.61917280349098</v>
      </c>
      <c r="S246" s="44">
        <f t="shared" si="154"/>
        <v>3349.380827196509</v>
      </c>
      <c r="T246" s="44">
        <f t="shared" si="155"/>
        <v>0</v>
      </c>
      <c r="U246" s="43">
        <f t="shared" si="129"/>
        <v>81486.913234879001</v>
      </c>
      <c r="W246" s="72" t="s">
        <v>123</v>
      </c>
      <c r="X246" s="44">
        <f t="shared" si="139"/>
        <v>214865.47669815359</v>
      </c>
      <c r="Y246" s="44">
        <f t="shared" si="123"/>
        <v>1093.1649047355374</v>
      </c>
      <c r="Z246" s="44">
        <f t="shared" si="140"/>
        <v>1790.8350952644626</v>
      </c>
      <c r="AA246" s="44">
        <f t="shared" si="141"/>
        <v>0</v>
      </c>
      <c r="AB246" s="43">
        <f t="shared" si="130"/>
        <v>213074.64160288914</v>
      </c>
      <c r="AD246" s="72" t="s">
        <v>123</v>
      </c>
      <c r="AE246" s="44">
        <f t="shared" si="142"/>
        <v>395718.82695222308</v>
      </c>
      <c r="AF246" s="44">
        <f t="shared" si="124"/>
        <v>2058.822061321292</v>
      </c>
      <c r="AG246" s="44">
        <f t="shared" si="143"/>
        <v>3983.177938678708</v>
      </c>
      <c r="AH246" s="44">
        <f t="shared" si="144"/>
        <v>0</v>
      </c>
      <c r="AI246" s="43">
        <f t="shared" si="131"/>
        <v>391735.64901354437</v>
      </c>
      <c r="AK246" s="101">
        <f t="shared" si="151"/>
        <v>2046</v>
      </c>
      <c r="AL246" s="101">
        <f t="shared" si="125"/>
        <v>4</v>
      </c>
      <c r="AM246" s="118">
        <f t="shared" si="145"/>
        <v>5140.317137853438</v>
      </c>
      <c r="AN246" s="100">
        <f t="shared" si="146"/>
        <v>11485.338312286425</v>
      </c>
      <c r="AO246" s="100">
        <f t="shared" si="147"/>
        <v>21791.039945246481</v>
      </c>
      <c r="AP246" s="100">
        <f t="shared" si="148"/>
        <v>16625.655450139864</v>
      </c>
      <c r="AQ246" s="1">
        <f t="shared" si="149"/>
        <v>66650</v>
      </c>
      <c r="AR246" s="100">
        <f t="shared" si="132"/>
        <v>294561.55483776814</v>
      </c>
      <c r="AS246" s="100">
        <f t="shared" si="133"/>
        <v>38416.695395386341</v>
      </c>
      <c r="AT246" s="100">
        <f t="shared" si="150"/>
        <v>88653.304604613659</v>
      </c>
      <c r="AU246" s="1">
        <f t="shared" si="134"/>
        <v>127070</v>
      </c>
      <c r="AV246" s="100">
        <f t="shared" si="135"/>
        <v>686297.20385131252</v>
      </c>
    </row>
    <row r="247" spans="4:48">
      <c r="D247" s="39">
        <f t="shared" si="136"/>
        <v>239</v>
      </c>
      <c r="E247" s="40">
        <f t="shared" si="152"/>
        <v>2046</v>
      </c>
      <c r="F247" s="35">
        <f t="shared" si="156"/>
        <v>53477</v>
      </c>
      <c r="G247" s="36">
        <f t="shared" si="121"/>
        <v>5</v>
      </c>
      <c r="H247" s="41">
        <f t="shared" si="157"/>
        <v>31</v>
      </c>
      <c r="I247" s="37" t="s">
        <v>123</v>
      </c>
      <c r="J247" s="27">
        <f t="shared" si="137"/>
        <v>0</v>
      </c>
      <c r="K247" s="27">
        <f t="shared" si="126"/>
        <v>0</v>
      </c>
      <c r="L247" s="27">
        <f t="shared" si="138"/>
        <v>0</v>
      </c>
      <c r="M247" s="27">
        <f t="shared" si="127"/>
        <v>0</v>
      </c>
      <c r="N247" s="27">
        <f t="shared" si="128"/>
        <v>0</v>
      </c>
      <c r="P247" s="72" t="s">
        <v>123</v>
      </c>
      <c r="Q247" s="44">
        <f t="shared" si="153"/>
        <v>81486.913234879001</v>
      </c>
      <c r="R247" s="44">
        <f t="shared" si="122"/>
        <v>428.3979117983817</v>
      </c>
      <c r="S247" s="44">
        <f t="shared" si="154"/>
        <v>3352.6020882016182</v>
      </c>
      <c r="T247" s="44">
        <f t="shared" si="155"/>
        <v>0</v>
      </c>
      <c r="U247" s="43">
        <f t="shared" si="129"/>
        <v>78134.311146677384</v>
      </c>
      <c r="W247" s="72" t="s">
        <v>123</v>
      </c>
      <c r="X247" s="44">
        <f t="shared" si="139"/>
        <v>213074.64160288914</v>
      </c>
      <c r="Y247" s="44">
        <f t="shared" si="123"/>
        <v>1120.1888486898188</v>
      </c>
      <c r="Z247" s="44">
        <f t="shared" si="140"/>
        <v>1763.8111513101812</v>
      </c>
      <c r="AA247" s="44">
        <f t="shared" si="141"/>
        <v>0</v>
      </c>
      <c r="AB247" s="43">
        <f t="shared" si="130"/>
        <v>211310.83045157895</v>
      </c>
      <c r="AD247" s="72" t="s">
        <v>123</v>
      </c>
      <c r="AE247" s="44">
        <f t="shared" si="142"/>
        <v>391735.64901354437</v>
      </c>
      <c r="AF247" s="44">
        <f t="shared" si="124"/>
        <v>2106.035243998022</v>
      </c>
      <c r="AG247" s="44">
        <f t="shared" si="143"/>
        <v>3935.964756001978</v>
      </c>
      <c r="AH247" s="44">
        <f t="shared" si="144"/>
        <v>0</v>
      </c>
      <c r="AI247" s="43">
        <f t="shared" si="131"/>
        <v>387799.68425754242</v>
      </c>
      <c r="AK247" s="101">
        <f t="shared" si="151"/>
        <v>2046</v>
      </c>
      <c r="AL247" s="101">
        <f t="shared" si="125"/>
        <v>5</v>
      </c>
      <c r="AM247" s="118">
        <f t="shared" si="145"/>
        <v>5568.7150496518198</v>
      </c>
      <c r="AN247" s="100">
        <f t="shared" si="146"/>
        <v>12605.527160976244</v>
      </c>
      <c r="AO247" s="100">
        <f t="shared" si="147"/>
        <v>23897.075189244504</v>
      </c>
      <c r="AP247" s="100">
        <f t="shared" si="148"/>
        <v>18174.242210628065</v>
      </c>
      <c r="AQ247" s="1">
        <f t="shared" si="149"/>
        <v>73315</v>
      </c>
      <c r="AR247" s="100">
        <f t="shared" si="132"/>
        <v>289445.1415982563</v>
      </c>
      <c r="AS247" s="100">
        <f t="shared" si="133"/>
        <v>42071.317399872569</v>
      </c>
      <c r="AT247" s="100">
        <f t="shared" si="150"/>
        <v>97705.682600127431</v>
      </c>
      <c r="AU247" s="1">
        <f t="shared" si="134"/>
        <v>139777</v>
      </c>
      <c r="AV247" s="100">
        <f t="shared" si="135"/>
        <v>677244.82585579879</v>
      </c>
    </row>
    <row r="248" spans="4:48">
      <c r="D248" s="39">
        <f t="shared" si="136"/>
        <v>240</v>
      </c>
      <c r="E248" s="40">
        <f t="shared" si="152"/>
        <v>2046</v>
      </c>
      <c r="F248" s="35">
        <f t="shared" si="156"/>
        <v>53508</v>
      </c>
      <c r="G248" s="36">
        <f t="shared" si="121"/>
        <v>6</v>
      </c>
      <c r="H248" s="41">
        <f t="shared" si="157"/>
        <v>30</v>
      </c>
      <c r="I248" s="37" t="s">
        <v>123</v>
      </c>
      <c r="J248" s="27">
        <f t="shared" si="137"/>
        <v>0</v>
      </c>
      <c r="K248" s="27">
        <f t="shared" si="126"/>
        <v>0</v>
      </c>
      <c r="L248" s="27">
        <f t="shared" si="138"/>
        <v>0</v>
      </c>
      <c r="M248" s="27">
        <f t="shared" si="127"/>
        <v>0</v>
      </c>
      <c r="N248" s="27">
        <f t="shared" si="128"/>
        <v>0</v>
      </c>
      <c r="P248" s="72" t="s">
        <v>123</v>
      </c>
      <c r="Q248" s="44">
        <f t="shared" si="153"/>
        <v>78134.311146677384</v>
      </c>
      <c r="R248" s="44">
        <f t="shared" si="122"/>
        <v>397.52168712158874</v>
      </c>
      <c r="S248" s="44">
        <f t="shared" si="154"/>
        <v>3383.4783128784111</v>
      </c>
      <c r="T248" s="44">
        <f t="shared" si="155"/>
        <v>0</v>
      </c>
      <c r="U248" s="43">
        <f t="shared" si="129"/>
        <v>74750.832833798966</v>
      </c>
      <c r="W248" s="72" t="s">
        <v>123</v>
      </c>
      <c r="X248" s="44">
        <f t="shared" si="139"/>
        <v>211310.83045157895</v>
      </c>
      <c r="Y248" s="44">
        <f t="shared" si="123"/>
        <v>1075.0800332837866</v>
      </c>
      <c r="Z248" s="44">
        <f t="shared" si="140"/>
        <v>1808.9199667162134</v>
      </c>
      <c r="AA248" s="44">
        <f t="shared" si="141"/>
        <v>0</v>
      </c>
      <c r="AB248" s="43">
        <f t="shared" si="130"/>
        <v>209501.91048486275</v>
      </c>
      <c r="AD248" s="72" t="s">
        <v>123</v>
      </c>
      <c r="AE248" s="44">
        <f t="shared" si="142"/>
        <v>387799.68425754242</v>
      </c>
      <c r="AF248" s="44">
        <f t="shared" si="124"/>
        <v>2017.6208230275975</v>
      </c>
      <c r="AG248" s="44">
        <f t="shared" si="143"/>
        <v>4024.3791769724025</v>
      </c>
      <c r="AH248" s="44">
        <f t="shared" si="144"/>
        <v>0</v>
      </c>
      <c r="AI248" s="43">
        <f t="shared" si="131"/>
        <v>383775.30508057005</v>
      </c>
      <c r="AK248" s="101">
        <f t="shared" si="151"/>
        <v>2046</v>
      </c>
      <c r="AL248" s="101">
        <f t="shared" si="125"/>
        <v>6</v>
      </c>
      <c r="AM248" s="118">
        <f t="shared" si="145"/>
        <v>5966.2367367734087</v>
      </c>
      <c r="AN248" s="100">
        <f t="shared" si="146"/>
        <v>13680.60719426003</v>
      </c>
      <c r="AO248" s="100">
        <f t="shared" si="147"/>
        <v>25914.696012272103</v>
      </c>
      <c r="AP248" s="100">
        <f t="shared" si="148"/>
        <v>19646.84393103344</v>
      </c>
      <c r="AQ248" s="1">
        <f t="shared" si="149"/>
        <v>79980</v>
      </c>
      <c r="AR248" s="100">
        <f t="shared" si="132"/>
        <v>284252.7433186617</v>
      </c>
      <c r="AS248" s="100">
        <f t="shared" si="133"/>
        <v>45561.539943305543</v>
      </c>
      <c r="AT248" s="100">
        <f t="shared" si="150"/>
        <v>106922.46005669447</v>
      </c>
      <c r="AU248" s="1">
        <f t="shared" si="134"/>
        <v>152484</v>
      </c>
      <c r="AV248" s="100">
        <f t="shared" si="135"/>
        <v>668028.04839923175</v>
      </c>
    </row>
    <row r="249" spans="4:48">
      <c r="D249" s="39">
        <f t="shared" si="136"/>
        <v>241</v>
      </c>
      <c r="E249" s="40">
        <f t="shared" si="152"/>
        <v>2047</v>
      </c>
      <c r="F249" s="35">
        <f t="shared" si="156"/>
        <v>53538</v>
      </c>
      <c r="G249" s="36">
        <f t="shared" si="121"/>
        <v>7</v>
      </c>
      <c r="H249" s="41">
        <f t="shared" si="157"/>
        <v>31</v>
      </c>
      <c r="I249" s="37" t="s">
        <v>123</v>
      </c>
      <c r="J249" s="27">
        <f t="shared" si="137"/>
        <v>0</v>
      </c>
      <c r="K249" s="27">
        <f t="shared" si="126"/>
        <v>0</v>
      </c>
      <c r="L249" s="27">
        <f t="shared" si="138"/>
        <v>0</v>
      </c>
      <c r="M249" s="27">
        <f t="shared" si="127"/>
        <v>0</v>
      </c>
      <c r="N249" s="27">
        <f t="shared" si="128"/>
        <v>0</v>
      </c>
      <c r="P249" s="72" t="s">
        <v>123</v>
      </c>
      <c r="Q249" s="44">
        <f t="shared" si="153"/>
        <v>74750.832833798966</v>
      </c>
      <c r="R249" s="44">
        <f t="shared" si="122"/>
        <v>392.98458390349822</v>
      </c>
      <c r="S249" s="44">
        <f t="shared" si="154"/>
        <v>3388.0154160965017</v>
      </c>
      <c r="T249" s="44">
        <f t="shared" si="155"/>
        <v>0</v>
      </c>
      <c r="U249" s="43">
        <f t="shared" si="129"/>
        <v>71362.817417702463</v>
      </c>
      <c r="W249" s="72" t="s">
        <v>123</v>
      </c>
      <c r="X249" s="44">
        <f t="shared" si="139"/>
        <v>209501.91048486275</v>
      </c>
      <c r="Y249" s="44">
        <f t="shared" si="123"/>
        <v>1101.4060713134331</v>
      </c>
      <c r="Z249" s="44">
        <f t="shared" si="140"/>
        <v>1782.5939286865669</v>
      </c>
      <c r="AA249" s="44">
        <f t="shared" si="141"/>
        <v>0</v>
      </c>
      <c r="AB249" s="43">
        <f t="shared" si="130"/>
        <v>207719.31655617617</v>
      </c>
      <c r="AD249" s="72" t="s">
        <v>123</v>
      </c>
      <c r="AE249" s="44">
        <f t="shared" si="142"/>
        <v>383775.30508057005</v>
      </c>
      <c r="AF249" s="44">
        <f t="shared" si="124"/>
        <v>2063.2391264646644</v>
      </c>
      <c r="AG249" s="44">
        <f t="shared" si="143"/>
        <v>3978.7608735353356</v>
      </c>
      <c r="AH249" s="44">
        <f t="shared" si="144"/>
        <v>0</v>
      </c>
      <c r="AI249" s="43">
        <f t="shared" si="131"/>
        <v>379796.54420703469</v>
      </c>
      <c r="AK249" s="101">
        <f t="shared" si="151"/>
        <v>2047</v>
      </c>
      <c r="AL249" s="101">
        <f t="shared" si="125"/>
        <v>7</v>
      </c>
      <c r="AM249" s="118">
        <f t="shared" si="145"/>
        <v>392.98458390349822</v>
      </c>
      <c r="AN249" s="100">
        <f t="shared" si="146"/>
        <v>1101.4060713134331</v>
      </c>
      <c r="AO249" s="100">
        <f t="shared" si="147"/>
        <v>2063.2391264646644</v>
      </c>
      <c r="AP249" s="100">
        <f t="shared" si="148"/>
        <v>1494.3906552169315</v>
      </c>
      <c r="AQ249" s="1">
        <f t="shared" si="149"/>
        <v>6665</v>
      </c>
      <c r="AR249" s="100">
        <f t="shared" si="132"/>
        <v>279082.13397387863</v>
      </c>
      <c r="AS249" s="100">
        <f t="shared" si="133"/>
        <v>3557.6297816815959</v>
      </c>
      <c r="AT249" s="100">
        <f t="shared" si="150"/>
        <v>9149.3702183184032</v>
      </c>
      <c r="AU249" s="1">
        <f t="shared" si="134"/>
        <v>12707</v>
      </c>
      <c r="AV249" s="100">
        <f t="shared" si="135"/>
        <v>658878.67818091332</v>
      </c>
    </row>
    <row r="250" spans="4:48">
      <c r="D250" s="39">
        <f t="shared" si="136"/>
        <v>242</v>
      </c>
      <c r="E250" s="40">
        <f t="shared" si="152"/>
        <v>2047</v>
      </c>
      <c r="F250" s="35">
        <f t="shared" si="156"/>
        <v>53569</v>
      </c>
      <c r="G250" s="36">
        <f t="shared" si="121"/>
        <v>8</v>
      </c>
      <c r="H250" s="41">
        <f t="shared" si="157"/>
        <v>31</v>
      </c>
      <c r="I250" s="37" t="s">
        <v>123</v>
      </c>
      <c r="J250" s="27">
        <f t="shared" si="137"/>
        <v>0</v>
      </c>
      <c r="K250" s="27">
        <f t="shared" si="126"/>
        <v>0</v>
      </c>
      <c r="L250" s="27">
        <f t="shared" si="138"/>
        <v>0</v>
      </c>
      <c r="M250" s="27">
        <f t="shared" si="127"/>
        <v>0</v>
      </c>
      <c r="N250" s="27">
        <f t="shared" si="128"/>
        <v>0</v>
      </c>
      <c r="P250" s="72" t="s">
        <v>123</v>
      </c>
      <c r="Q250" s="44">
        <f t="shared" si="153"/>
        <v>71362.817417702463</v>
      </c>
      <c r="R250" s="44">
        <f t="shared" si="122"/>
        <v>375.17290504884727</v>
      </c>
      <c r="S250" s="44">
        <f t="shared" si="154"/>
        <v>3405.8270949511525</v>
      </c>
      <c r="T250" s="44">
        <f t="shared" si="155"/>
        <v>0</v>
      </c>
      <c r="U250" s="43">
        <f t="shared" si="129"/>
        <v>67956.990322751313</v>
      </c>
      <c r="W250" s="72" t="s">
        <v>123</v>
      </c>
      <c r="X250" s="44">
        <f t="shared" si="139"/>
        <v>207719.31655617617</v>
      </c>
      <c r="Y250" s="44">
        <f t="shared" si="123"/>
        <v>1092.0345110675246</v>
      </c>
      <c r="Z250" s="44">
        <f t="shared" si="140"/>
        <v>1791.9654889324754</v>
      </c>
      <c r="AA250" s="44">
        <f t="shared" si="141"/>
        <v>0</v>
      </c>
      <c r="AB250" s="43">
        <f t="shared" si="130"/>
        <v>205927.3510672437</v>
      </c>
      <c r="AD250" s="72" t="s">
        <v>123</v>
      </c>
      <c r="AE250" s="44">
        <f t="shared" si="142"/>
        <v>379796.54420703469</v>
      </c>
      <c r="AF250" s="44">
        <f t="shared" si="124"/>
        <v>2041.8486539656551</v>
      </c>
      <c r="AG250" s="44">
        <f t="shared" si="143"/>
        <v>4000.1513460343449</v>
      </c>
      <c r="AH250" s="44">
        <f t="shared" si="144"/>
        <v>0</v>
      </c>
      <c r="AI250" s="43">
        <f t="shared" si="131"/>
        <v>375796.39286100032</v>
      </c>
      <c r="AK250" s="101">
        <f t="shared" si="151"/>
        <v>2047</v>
      </c>
      <c r="AL250" s="101">
        <f t="shared" si="125"/>
        <v>8</v>
      </c>
      <c r="AM250" s="118">
        <f t="shared" si="145"/>
        <v>768.15748895234549</v>
      </c>
      <c r="AN250" s="100">
        <f t="shared" si="146"/>
        <v>2193.4405823809575</v>
      </c>
      <c r="AO250" s="100">
        <f t="shared" si="147"/>
        <v>4105.08778043032</v>
      </c>
      <c r="AP250" s="100">
        <f t="shared" si="148"/>
        <v>2961.5980713333029</v>
      </c>
      <c r="AQ250" s="1">
        <f t="shared" si="149"/>
        <v>13330</v>
      </c>
      <c r="AR250" s="100">
        <f t="shared" si="132"/>
        <v>273884.34138999501</v>
      </c>
      <c r="AS250" s="100">
        <f t="shared" si="133"/>
        <v>7066.6858517636228</v>
      </c>
      <c r="AT250" s="100">
        <f t="shared" si="150"/>
        <v>18347.314148236379</v>
      </c>
      <c r="AU250" s="1">
        <f t="shared" si="134"/>
        <v>25414</v>
      </c>
      <c r="AV250" s="100">
        <f t="shared" si="135"/>
        <v>649680.73425099533</v>
      </c>
    </row>
    <row r="251" spans="4:48">
      <c r="D251" s="39">
        <f t="shared" si="136"/>
        <v>243</v>
      </c>
      <c r="E251" s="40">
        <f t="shared" si="152"/>
        <v>2047</v>
      </c>
      <c r="F251" s="35">
        <f t="shared" si="156"/>
        <v>53600</v>
      </c>
      <c r="G251" s="36">
        <f t="shared" si="121"/>
        <v>9</v>
      </c>
      <c r="H251" s="41">
        <f t="shared" si="157"/>
        <v>30</v>
      </c>
      <c r="I251" s="37" t="s">
        <v>123</v>
      </c>
      <c r="J251" s="27">
        <f t="shared" si="137"/>
        <v>0</v>
      </c>
      <c r="K251" s="27">
        <f t="shared" si="126"/>
        <v>0</v>
      </c>
      <c r="L251" s="27">
        <f t="shared" si="138"/>
        <v>0</v>
      </c>
      <c r="M251" s="27">
        <f t="shared" si="127"/>
        <v>0</v>
      </c>
      <c r="N251" s="27">
        <f t="shared" si="128"/>
        <v>0</v>
      </c>
      <c r="P251" s="72" t="s">
        <v>123</v>
      </c>
      <c r="Q251" s="44">
        <f t="shared" si="153"/>
        <v>67956.990322751313</v>
      </c>
      <c r="R251" s="44">
        <f t="shared" si="122"/>
        <v>345.74282473794295</v>
      </c>
      <c r="S251" s="44">
        <f t="shared" si="154"/>
        <v>3435.257175262057</v>
      </c>
      <c r="T251" s="44">
        <f t="shared" si="155"/>
        <v>0</v>
      </c>
      <c r="U251" s="43">
        <f t="shared" si="129"/>
        <v>64521.733147489256</v>
      </c>
      <c r="W251" s="72" t="s">
        <v>123</v>
      </c>
      <c r="X251" s="44">
        <f t="shared" si="139"/>
        <v>205927.3510672437</v>
      </c>
      <c r="Y251" s="44">
        <f t="shared" si="123"/>
        <v>1047.6906600873192</v>
      </c>
      <c r="Z251" s="44">
        <f t="shared" si="140"/>
        <v>1836.3093399126808</v>
      </c>
      <c r="AA251" s="44">
        <f t="shared" si="141"/>
        <v>0</v>
      </c>
      <c r="AB251" s="43">
        <f t="shared" si="130"/>
        <v>204091.04172733103</v>
      </c>
      <c r="AD251" s="72" t="s">
        <v>123</v>
      </c>
      <c r="AE251" s="44">
        <f t="shared" si="142"/>
        <v>375796.39286100032</v>
      </c>
      <c r="AF251" s="44">
        <f t="shared" si="124"/>
        <v>1955.1708220357248</v>
      </c>
      <c r="AG251" s="44">
        <f t="shared" si="143"/>
        <v>4086.829177964275</v>
      </c>
      <c r="AH251" s="44">
        <f t="shared" si="144"/>
        <v>0</v>
      </c>
      <c r="AI251" s="43">
        <f t="shared" si="131"/>
        <v>371709.56368303602</v>
      </c>
      <c r="AK251" s="101">
        <f t="shared" si="151"/>
        <v>2047</v>
      </c>
      <c r="AL251" s="101">
        <f t="shared" si="125"/>
        <v>9</v>
      </c>
      <c r="AM251" s="118">
        <f t="shared" si="145"/>
        <v>1113.9003136902884</v>
      </c>
      <c r="AN251" s="100">
        <f t="shared" si="146"/>
        <v>3241.1312424682765</v>
      </c>
      <c r="AO251" s="100">
        <f t="shared" si="147"/>
        <v>6060.258602466045</v>
      </c>
      <c r="AP251" s="100">
        <f t="shared" si="148"/>
        <v>4355.0315561585649</v>
      </c>
      <c r="AQ251" s="1">
        <f t="shared" si="149"/>
        <v>19995</v>
      </c>
      <c r="AR251" s="100">
        <f t="shared" si="132"/>
        <v>268612.77487482026</v>
      </c>
      <c r="AS251" s="100">
        <f t="shared" si="133"/>
        <v>10415.29015862461</v>
      </c>
      <c r="AT251" s="100">
        <f t="shared" si="150"/>
        <v>27705.709841375392</v>
      </c>
      <c r="AU251" s="1">
        <f t="shared" si="134"/>
        <v>38121</v>
      </c>
      <c r="AV251" s="100">
        <f t="shared" si="135"/>
        <v>640322.33855785627</v>
      </c>
    </row>
    <row r="252" spans="4:48">
      <c r="D252" s="39">
        <f t="shared" si="136"/>
        <v>244</v>
      </c>
      <c r="E252" s="40">
        <f t="shared" si="152"/>
        <v>2047</v>
      </c>
      <c r="F252" s="35">
        <f t="shared" si="156"/>
        <v>53630</v>
      </c>
      <c r="G252" s="36">
        <f t="shared" si="121"/>
        <v>10</v>
      </c>
      <c r="H252" s="41">
        <f t="shared" si="157"/>
        <v>31</v>
      </c>
      <c r="I252" s="37" t="s">
        <v>123</v>
      </c>
      <c r="J252" s="27">
        <f t="shared" si="137"/>
        <v>0</v>
      </c>
      <c r="K252" s="27">
        <f t="shared" si="126"/>
        <v>0</v>
      </c>
      <c r="L252" s="27">
        <f t="shared" si="138"/>
        <v>0</v>
      </c>
      <c r="M252" s="27">
        <f t="shared" si="127"/>
        <v>0</v>
      </c>
      <c r="N252" s="27">
        <f t="shared" si="128"/>
        <v>0</v>
      </c>
      <c r="P252" s="72" t="s">
        <v>123</v>
      </c>
      <c r="Q252" s="44">
        <f t="shared" si="153"/>
        <v>64521.733147489256</v>
      </c>
      <c r="R252" s="44">
        <f t="shared" si="122"/>
        <v>339.20754448415653</v>
      </c>
      <c r="S252" s="44">
        <f t="shared" si="154"/>
        <v>3441.7924555158434</v>
      </c>
      <c r="T252" s="44">
        <f t="shared" si="155"/>
        <v>0</v>
      </c>
      <c r="U252" s="43">
        <f t="shared" si="129"/>
        <v>61079.94069197341</v>
      </c>
      <c r="W252" s="72" t="s">
        <v>123</v>
      </c>
      <c r="X252" s="44">
        <f t="shared" si="139"/>
        <v>204091.04172733103</v>
      </c>
      <c r="Y252" s="44">
        <f t="shared" si="123"/>
        <v>1072.9597259467821</v>
      </c>
      <c r="Z252" s="44">
        <f t="shared" si="140"/>
        <v>1811.0402740532179</v>
      </c>
      <c r="AA252" s="44">
        <f t="shared" si="141"/>
        <v>0</v>
      </c>
      <c r="AB252" s="43">
        <f t="shared" si="130"/>
        <v>202280.0014532778</v>
      </c>
      <c r="AD252" s="72" t="s">
        <v>123</v>
      </c>
      <c r="AE252" s="44">
        <f t="shared" si="142"/>
        <v>371709.56368303602</v>
      </c>
      <c r="AF252" s="44">
        <f t="shared" si="124"/>
        <v>1998.3717173019766</v>
      </c>
      <c r="AG252" s="44">
        <f t="shared" si="143"/>
        <v>4043.6282826980232</v>
      </c>
      <c r="AH252" s="44">
        <f t="shared" si="144"/>
        <v>0</v>
      </c>
      <c r="AI252" s="43">
        <f t="shared" si="131"/>
        <v>367665.93540033797</v>
      </c>
      <c r="AK252" s="101">
        <f t="shared" si="151"/>
        <v>2047</v>
      </c>
      <c r="AL252" s="101">
        <f t="shared" si="125"/>
        <v>10</v>
      </c>
      <c r="AM252" s="118">
        <f t="shared" si="145"/>
        <v>1453.107858174445</v>
      </c>
      <c r="AN252" s="100">
        <f t="shared" si="146"/>
        <v>4314.0909684150583</v>
      </c>
      <c r="AO252" s="100">
        <f t="shared" si="147"/>
        <v>8058.6303197680218</v>
      </c>
      <c r="AP252" s="100">
        <f t="shared" si="148"/>
        <v>5767.1988265895034</v>
      </c>
      <c r="AQ252" s="1">
        <f t="shared" si="149"/>
        <v>26660</v>
      </c>
      <c r="AR252" s="100">
        <f t="shared" si="132"/>
        <v>263359.9421452512</v>
      </c>
      <c r="AS252" s="100">
        <f t="shared" si="133"/>
        <v>13825.829146357526</v>
      </c>
      <c r="AT252" s="100">
        <f t="shared" si="150"/>
        <v>37002.170853642478</v>
      </c>
      <c r="AU252" s="1">
        <f t="shared" si="134"/>
        <v>50828</v>
      </c>
      <c r="AV252" s="100">
        <f t="shared" si="135"/>
        <v>631025.87754558912</v>
      </c>
    </row>
    <row r="253" spans="4:48">
      <c r="D253" s="39">
        <f t="shared" si="136"/>
        <v>245</v>
      </c>
      <c r="E253" s="40">
        <f t="shared" si="152"/>
        <v>2047</v>
      </c>
      <c r="F253" s="35">
        <f t="shared" si="156"/>
        <v>53661</v>
      </c>
      <c r="G253" s="36">
        <f t="shared" si="121"/>
        <v>11</v>
      </c>
      <c r="H253" s="41">
        <f t="shared" si="157"/>
        <v>30</v>
      </c>
      <c r="I253" s="37" t="s">
        <v>123</v>
      </c>
      <c r="J253" s="27">
        <f t="shared" si="137"/>
        <v>0</v>
      </c>
      <c r="K253" s="27">
        <f t="shared" si="126"/>
        <v>0</v>
      </c>
      <c r="L253" s="27">
        <f t="shared" si="138"/>
        <v>0</v>
      </c>
      <c r="M253" s="27">
        <f t="shared" si="127"/>
        <v>0</v>
      </c>
      <c r="N253" s="27">
        <f t="shared" si="128"/>
        <v>0</v>
      </c>
      <c r="P253" s="72" t="s">
        <v>123</v>
      </c>
      <c r="Q253" s="44">
        <f t="shared" si="153"/>
        <v>61079.94069197341</v>
      </c>
      <c r="R253" s="44">
        <f t="shared" si="122"/>
        <v>310.75465716436884</v>
      </c>
      <c r="S253" s="44">
        <f t="shared" si="154"/>
        <v>3470.2453428356312</v>
      </c>
      <c r="T253" s="44">
        <f t="shared" si="155"/>
        <v>0</v>
      </c>
      <c r="U253" s="43">
        <f t="shared" si="129"/>
        <v>57609.695349137779</v>
      </c>
      <c r="W253" s="72" t="s">
        <v>123</v>
      </c>
      <c r="X253" s="44">
        <f t="shared" si="139"/>
        <v>202280.0014532778</v>
      </c>
      <c r="Y253" s="44">
        <f t="shared" si="123"/>
        <v>1029.1341443801009</v>
      </c>
      <c r="Z253" s="44">
        <f t="shared" si="140"/>
        <v>1854.8658556198991</v>
      </c>
      <c r="AA253" s="44">
        <f t="shared" si="141"/>
        <v>0</v>
      </c>
      <c r="AB253" s="43">
        <f t="shared" si="130"/>
        <v>200425.13559765791</v>
      </c>
      <c r="AD253" s="72" t="s">
        <v>123</v>
      </c>
      <c r="AE253" s="44">
        <f t="shared" si="142"/>
        <v>367665.93540033797</v>
      </c>
      <c r="AF253" s="44">
        <f t="shared" si="124"/>
        <v>1912.8701680143608</v>
      </c>
      <c r="AG253" s="44">
        <f t="shared" si="143"/>
        <v>4129.1298319856396</v>
      </c>
      <c r="AH253" s="44">
        <f t="shared" si="144"/>
        <v>0</v>
      </c>
      <c r="AI253" s="43">
        <f t="shared" si="131"/>
        <v>363536.80556835234</v>
      </c>
      <c r="AK253" s="101">
        <f t="shared" si="151"/>
        <v>2047</v>
      </c>
      <c r="AL253" s="101">
        <f t="shared" si="125"/>
        <v>11</v>
      </c>
      <c r="AM253" s="118">
        <f t="shared" si="145"/>
        <v>1763.8625153388139</v>
      </c>
      <c r="AN253" s="100">
        <f t="shared" si="146"/>
        <v>5343.2251127951595</v>
      </c>
      <c r="AO253" s="100">
        <f t="shared" si="147"/>
        <v>9971.5004877823831</v>
      </c>
      <c r="AP253" s="100">
        <f t="shared" si="148"/>
        <v>7107.0876281339733</v>
      </c>
      <c r="AQ253" s="1">
        <f t="shared" si="149"/>
        <v>33325</v>
      </c>
      <c r="AR253" s="100">
        <f t="shared" si="132"/>
        <v>258034.8309467957</v>
      </c>
      <c r="AS253" s="100">
        <f t="shared" si="133"/>
        <v>17078.588115916355</v>
      </c>
      <c r="AT253" s="100">
        <f t="shared" si="150"/>
        <v>46456.411884083645</v>
      </c>
      <c r="AU253" s="1">
        <f t="shared" si="134"/>
        <v>63535</v>
      </c>
      <c r="AV253" s="100">
        <f t="shared" si="135"/>
        <v>621571.63651514798</v>
      </c>
    </row>
    <row r="254" spans="4:48">
      <c r="D254" s="39">
        <f t="shared" si="136"/>
        <v>246</v>
      </c>
      <c r="E254" s="40">
        <f t="shared" si="152"/>
        <v>2047</v>
      </c>
      <c r="F254" s="35">
        <f t="shared" si="156"/>
        <v>53691</v>
      </c>
      <c r="G254" s="36">
        <f t="shared" si="121"/>
        <v>12</v>
      </c>
      <c r="H254" s="41">
        <f t="shared" si="157"/>
        <v>31</v>
      </c>
      <c r="I254" s="37" t="s">
        <v>123</v>
      </c>
      <c r="J254" s="27">
        <f t="shared" si="137"/>
        <v>0</v>
      </c>
      <c r="K254" s="27">
        <f t="shared" si="126"/>
        <v>0</v>
      </c>
      <c r="L254" s="27">
        <f t="shared" si="138"/>
        <v>0</v>
      </c>
      <c r="M254" s="27">
        <f t="shared" si="127"/>
        <v>0</v>
      </c>
      <c r="N254" s="27">
        <f t="shared" si="128"/>
        <v>0</v>
      </c>
      <c r="P254" s="72" t="s">
        <v>123</v>
      </c>
      <c r="Q254" s="44">
        <f t="shared" si="153"/>
        <v>57609.695349137779</v>
      </c>
      <c r="R254" s="44">
        <f t="shared" si="122"/>
        <v>302.86916275468627</v>
      </c>
      <c r="S254" s="44">
        <f t="shared" si="154"/>
        <v>3478.1308372453136</v>
      </c>
      <c r="T254" s="44">
        <f t="shared" si="155"/>
        <v>0</v>
      </c>
      <c r="U254" s="43">
        <f t="shared" si="129"/>
        <v>54131.564511892466</v>
      </c>
      <c r="W254" s="72" t="s">
        <v>123</v>
      </c>
      <c r="X254" s="44">
        <f t="shared" si="139"/>
        <v>200425.13559765791</v>
      </c>
      <c r="Y254" s="44">
        <f t="shared" si="123"/>
        <v>1053.6871032831391</v>
      </c>
      <c r="Z254" s="44">
        <f t="shared" si="140"/>
        <v>1830.3128967168609</v>
      </c>
      <c r="AA254" s="44">
        <f t="shared" si="141"/>
        <v>0</v>
      </c>
      <c r="AB254" s="43">
        <f t="shared" si="130"/>
        <v>198594.82270094103</v>
      </c>
      <c r="AD254" s="72" t="s">
        <v>123</v>
      </c>
      <c r="AE254" s="44">
        <f t="shared" si="142"/>
        <v>363536.80556835234</v>
      </c>
      <c r="AF254" s="44">
        <f t="shared" si="124"/>
        <v>1954.4336262103502</v>
      </c>
      <c r="AG254" s="44">
        <f t="shared" si="143"/>
        <v>4087.5663737896498</v>
      </c>
      <c r="AH254" s="44">
        <f t="shared" si="144"/>
        <v>0</v>
      </c>
      <c r="AI254" s="43">
        <f t="shared" si="131"/>
        <v>359449.23919456272</v>
      </c>
      <c r="AK254" s="101">
        <f t="shared" si="151"/>
        <v>2047</v>
      </c>
      <c r="AL254" s="101">
        <f t="shared" si="125"/>
        <v>12</v>
      </c>
      <c r="AM254" s="118">
        <f t="shared" si="145"/>
        <v>2066.7316780935002</v>
      </c>
      <c r="AN254" s="100">
        <f t="shared" si="146"/>
        <v>6396.912216078299</v>
      </c>
      <c r="AO254" s="100">
        <f t="shared" si="147"/>
        <v>11925.934113992733</v>
      </c>
      <c r="AP254" s="100">
        <f t="shared" si="148"/>
        <v>8463.6438941717988</v>
      </c>
      <c r="AQ254" s="1">
        <f t="shared" si="149"/>
        <v>39990</v>
      </c>
      <c r="AR254" s="100">
        <f t="shared" si="132"/>
        <v>252726.38721283351</v>
      </c>
      <c r="AS254" s="100">
        <f t="shared" si="133"/>
        <v>20389.578008164532</v>
      </c>
      <c r="AT254" s="100">
        <f t="shared" si="150"/>
        <v>55852.421991835465</v>
      </c>
      <c r="AU254" s="1">
        <f t="shared" si="134"/>
        <v>76242</v>
      </c>
      <c r="AV254" s="100">
        <f t="shared" si="135"/>
        <v>612175.62640739628</v>
      </c>
    </row>
    <row r="255" spans="4:48">
      <c r="D255" s="39">
        <f t="shared" si="136"/>
        <v>247</v>
      </c>
      <c r="E255" s="40">
        <f t="shared" si="152"/>
        <v>2047</v>
      </c>
      <c r="F255" s="35">
        <f t="shared" si="156"/>
        <v>53722</v>
      </c>
      <c r="G255" s="36">
        <f t="shared" si="121"/>
        <v>1</v>
      </c>
      <c r="H255" s="41">
        <f t="shared" si="157"/>
        <v>31</v>
      </c>
      <c r="I255" s="37" t="s">
        <v>123</v>
      </c>
      <c r="J255" s="27">
        <f t="shared" si="137"/>
        <v>0</v>
      </c>
      <c r="K255" s="27">
        <f t="shared" si="126"/>
        <v>0</v>
      </c>
      <c r="L255" s="27">
        <f t="shared" si="138"/>
        <v>0</v>
      </c>
      <c r="M255" s="27">
        <f t="shared" si="127"/>
        <v>0</v>
      </c>
      <c r="N255" s="27">
        <f t="shared" si="128"/>
        <v>0</v>
      </c>
      <c r="P255" s="72" t="s">
        <v>123</v>
      </c>
      <c r="Q255" s="44">
        <f t="shared" si="153"/>
        <v>54131.564511892466</v>
      </c>
      <c r="R255" s="44">
        <f t="shared" si="122"/>
        <v>284.58372367635741</v>
      </c>
      <c r="S255" s="44">
        <f t="shared" si="154"/>
        <v>3496.4162763236427</v>
      </c>
      <c r="T255" s="44">
        <f t="shared" si="155"/>
        <v>0</v>
      </c>
      <c r="U255" s="43">
        <f t="shared" si="129"/>
        <v>50635.14823556882</v>
      </c>
      <c r="W255" s="72" t="s">
        <v>123</v>
      </c>
      <c r="X255" s="44">
        <f t="shared" si="139"/>
        <v>198594.82270094103</v>
      </c>
      <c r="Y255" s="44">
        <f t="shared" si="123"/>
        <v>1044.0646720022896</v>
      </c>
      <c r="Z255" s="44">
        <f t="shared" si="140"/>
        <v>1839.9353279977104</v>
      </c>
      <c r="AA255" s="44">
        <f t="shared" si="141"/>
        <v>0</v>
      </c>
      <c r="AB255" s="43">
        <f t="shared" si="130"/>
        <v>196754.88737294331</v>
      </c>
      <c r="AD255" s="72" t="s">
        <v>123</v>
      </c>
      <c r="AE255" s="44">
        <f t="shared" si="142"/>
        <v>359449.23919456272</v>
      </c>
      <c r="AF255" s="44">
        <f t="shared" si="124"/>
        <v>1932.4581974561379</v>
      </c>
      <c r="AG255" s="44">
        <f t="shared" si="143"/>
        <v>4109.5418025438621</v>
      </c>
      <c r="AH255" s="44">
        <f t="shared" si="144"/>
        <v>0</v>
      </c>
      <c r="AI255" s="43">
        <f t="shared" si="131"/>
        <v>355339.69739201886</v>
      </c>
      <c r="AK255" s="101">
        <f t="shared" si="151"/>
        <v>2047</v>
      </c>
      <c r="AL255" s="101">
        <f t="shared" si="125"/>
        <v>1</v>
      </c>
      <c r="AM255" s="118">
        <f t="shared" si="145"/>
        <v>2351.3154017698575</v>
      </c>
      <c r="AN255" s="100">
        <f t="shared" si="146"/>
        <v>7440.9768880805887</v>
      </c>
      <c r="AO255" s="100">
        <f t="shared" si="147"/>
        <v>13858.392311448872</v>
      </c>
      <c r="AP255" s="100">
        <f t="shared" si="148"/>
        <v>9792.2922898504457</v>
      </c>
      <c r="AQ255" s="1">
        <f t="shared" si="149"/>
        <v>46655</v>
      </c>
      <c r="AR255" s="100">
        <f t="shared" si="132"/>
        <v>247390.03560851212</v>
      </c>
      <c r="AS255" s="100">
        <f t="shared" si="133"/>
        <v>23650.684601299319</v>
      </c>
      <c r="AT255" s="100">
        <f t="shared" si="150"/>
        <v>65298.315398700681</v>
      </c>
      <c r="AU255" s="1">
        <f t="shared" si="134"/>
        <v>88949</v>
      </c>
      <c r="AV255" s="100">
        <f t="shared" si="135"/>
        <v>602729.73300053098</v>
      </c>
    </row>
    <row r="256" spans="4:48">
      <c r="D256" s="39">
        <f t="shared" si="136"/>
        <v>248</v>
      </c>
      <c r="E256" s="40">
        <f t="shared" si="152"/>
        <v>2047</v>
      </c>
      <c r="F256" s="35">
        <f t="shared" si="156"/>
        <v>53751</v>
      </c>
      <c r="G256" s="36">
        <f t="shared" si="121"/>
        <v>2</v>
      </c>
      <c r="H256" s="41">
        <f t="shared" si="157"/>
        <v>28</v>
      </c>
      <c r="I256" s="37" t="s">
        <v>123</v>
      </c>
      <c r="J256" s="27">
        <f t="shared" si="137"/>
        <v>0</v>
      </c>
      <c r="K256" s="27">
        <f t="shared" si="126"/>
        <v>0</v>
      </c>
      <c r="L256" s="27">
        <f t="shared" si="138"/>
        <v>0</v>
      </c>
      <c r="M256" s="27">
        <f t="shared" si="127"/>
        <v>0</v>
      </c>
      <c r="N256" s="27">
        <f t="shared" si="128"/>
        <v>0</v>
      </c>
      <c r="P256" s="72" t="s">
        <v>123</v>
      </c>
      <c r="Q256" s="44">
        <f t="shared" si="153"/>
        <v>50635.14823556882</v>
      </c>
      <c r="R256" s="44">
        <f t="shared" si="122"/>
        <v>240.44065458051472</v>
      </c>
      <c r="S256" s="44">
        <f t="shared" si="154"/>
        <v>3540.5593454194855</v>
      </c>
      <c r="T256" s="44">
        <f t="shared" si="155"/>
        <v>0</v>
      </c>
      <c r="U256" s="43">
        <f t="shared" si="129"/>
        <v>47094.588890149338</v>
      </c>
      <c r="W256" s="72" t="s">
        <v>123</v>
      </c>
      <c r="X256" s="44">
        <f t="shared" si="139"/>
        <v>196754.88737294331</v>
      </c>
      <c r="Y256" s="44">
        <f t="shared" si="123"/>
        <v>934.2892350542063</v>
      </c>
      <c r="Z256" s="44">
        <f t="shared" si="140"/>
        <v>1949.7107649457937</v>
      </c>
      <c r="AA256" s="44">
        <f t="shared" si="141"/>
        <v>0</v>
      </c>
      <c r="AB256" s="43">
        <f t="shared" si="130"/>
        <v>194805.17660799751</v>
      </c>
      <c r="AD256" s="72" t="s">
        <v>123</v>
      </c>
      <c r="AE256" s="44">
        <f t="shared" si="142"/>
        <v>355339.69739201886</v>
      </c>
      <c r="AF256" s="44">
        <f t="shared" si="124"/>
        <v>1725.490629198943</v>
      </c>
      <c r="AG256" s="44">
        <f t="shared" si="143"/>
        <v>4316.5093708010572</v>
      </c>
      <c r="AH256" s="44">
        <f t="shared" si="144"/>
        <v>0</v>
      </c>
      <c r="AI256" s="43">
        <f t="shared" si="131"/>
        <v>351023.18802121782</v>
      </c>
      <c r="AK256" s="101">
        <f t="shared" si="151"/>
        <v>2047</v>
      </c>
      <c r="AL256" s="101">
        <f t="shared" si="125"/>
        <v>2</v>
      </c>
      <c r="AM256" s="118">
        <f t="shared" si="145"/>
        <v>2591.7560563503721</v>
      </c>
      <c r="AN256" s="100">
        <f t="shared" si="146"/>
        <v>8375.2661231347956</v>
      </c>
      <c r="AO256" s="100">
        <f t="shared" si="147"/>
        <v>15583.882940647814</v>
      </c>
      <c r="AP256" s="100">
        <f t="shared" si="148"/>
        <v>10967.022179485168</v>
      </c>
      <c r="AQ256" s="1">
        <f t="shared" si="149"/>
        <v>53320</v>
      </c>
      <c r="AR256" s="100">
        <f t="shared" si="132"/>
        <v>241899.76549814685</v>
      </c>
      <c r="AS256" s="100">
        <f t="shared" si="133"/>
        <v>26550.905120132982</v>
      </c>
      <c r="AT256" s="100">
        <f t="shared" si="150"/>
        <v>75105.094879867014</v>
      </c>
      <c r="AU256" s="1">
        <f t="shared" si="134"/>
        <v>101656</v>
      </c>
      <c r="AV256" s="100">
        <f t="shared" si="135"/>
        <v>592922.9535193647</v>
      </c>
    </row>
    <row r="257" spans="4:48">
      <c r="D257" s="39">
        <f t="shared" si="136"/>
        <v>249</v>
      </c>
      <c r="E257" s="40">
        <f t="shared" si="152"/>
        <v>2047</v>
      </c>
      <c r="F257" s="35">
        <f t="shared" si="156"/>
        <v>53781</v>
      </c>
      <c r="G257" s="36">
        <f t="shared" si="121"/>
        <v>3</v>
      </c>
      <c r="H257" s="41">
        <f t="shared" si="157"/>
        <v>31</v>
      </c>
      <c r="I257" s="37" t="s">
        <v>123</v>
      </c>
      <c r="J257" s="27">
        <f t="shared" si="137"/>
        <v>0</v>
      </c>
      <c r="K257" s="27">
        <f t="shared" si="126"/>
        <v>0</v>
      </c>
      <c r="L257" s="27">
        <f t="shared" si="138"/>
        <v>0</v>
      </c>
      <c r="M257" s="27">
        <f t="shared" si="127"/>
        <v>0</v>
      </c>
      <c r="N257" s="27">
        <f t="shared" si="128"/>
        <v>0</v>
      </c>
      <c r="P257" s="72" t="s">
        <v>123</v>
      </c>
      <c r="Q257" s="44">
        <f t="shared" si="153"/>
        <v>47094.588890149338</v>
      </c>
      <c r="R257" s="44">
        <f t="shared" si="122"/>
        <v>247.58851129125361</v>
      </c>
      <c r="S257" s="44">
        <f t="shared" si="154"/>
        <v>3533.4114887087462</v>
      </c>
      <c r="T257" s="44">
        <f t="shared" si="155"/>
        <v>0</v>
      </c>
      <c r="U257" s="43">
        <f t="shared" si="129"/>
        <v>43561.177401440589</v>
      </c>
      <c r="W257" s="72" t="s">
        <v>123</v>
      </c>
      <c r="X257" s="44">
        <f t="shared" si="139"/>
        <v>194805.17660799751</v>
      </c>
      <c r="Y257" s="44">
        <f t="shared" si="123"/>
        <v>1024.1415161454422</v>
      </c>
      <c r="Z257" s="44">
        <f t="shared" si="140"/>
        <v>1859.8584838545578</v>
      </c>
      <c r="AA257" s="44">
        <f t="shared" si="141"/>
        <v>0</v>
      </c>
      <c r="AB257" s="43">
        <f t="shared" si="130"/>
        <v>192945.31812414294</v>
      </c>
      <c r="AD257" s="72" t="s">
        <v>123</v>
      </c>
      <c r="AE257" s="44">
        <f t="shared" si="142"/>
        <v>351023.18802121782</v>
      </c>
      <c r="AF257" s="44">
        <f t="shared" si="124"/>
        <v>1887.1583612439335</v>
      </c>
      <c r="AG257" s="44">
        <f t="shared" si="143"/>
        <v>4154.8416387560665</v>
      </c>
      <c r="AH257" s="44">
        <f t="shared" si="144"/>
        <v>0</v>
      </c>
      <c r="AI257" s="43">
        <f t="shared" si="131"/>
        <v>346868.34638246178</v>
      </c>
      <c r="AK257" s="101">
        <f t="shared" si="151"/>
        <v>2047</v>
      </c>
      <c r="AL257" s="101">
        <f t="shared" si="125"/>
        <v>3</v>
      </c>
      <c r="AM257" s="118">
        <f t="shared" si="145"/>
        <v>2839.3445676416259</v>
      </c>
      <c r="AN257" s="100">
        <f t="shared" si="146"/>
        <v>9399.4076392802381</v>
      </c>
      <c r="AO257" s="100">
        <f t="shared" si="147"/>
        <v>17471.041301891746</v>
      </c>
      <c r="AP257" s="100">
        <f t="shared" si="148"/>
        <v>12238.752206921865</v>
      </c>
      <c r="AQ257" s="1">
        <f t="shared" si="149"/>
        <v>59985</v>
      </c>
      <c r="AR257" s="100">
        <f t="shared" si="132"/>
        <v>236506.49552558354</v>
      </c>
      <c r="AS257" s="100">
        <f t="shared" si="133"/>
        <v>29709.793508813611</v>
      </c>
      <c r="AT257" s="100">
        <f t="shared" si="150"/>
        <v>84653.2064911864</v>
      </c>
      <c r="AU257" s="1">
        <f t="shared" si="134"/>
        <v>114363.00000000001</v>
      </c>
      <c r="AV257" s="100">
        <f t="shared" si="135"/>
        <v>583374.84190804535</v>
      </c>
    </row>
    <row r="258" spans="4:48">
      <c r="D258" s="39">
        <f t="shared" si="136"/>
        <v>250</v>
      </c>
      <c r="E258" s="40">
        <f t="shared" si="152"/>
        <v>2047</v>
      </c>
      <c r="F258" s="35">
        <f t="shared" si="156"/>
        <v>53812</v>
      </c>
      <c r="G258" s="36">
        <f t="shared" si="121"/>
        <v>4</v>
      </c>
      <c r="H258" s="41">
        <f t="shared" si="157"/>
        <v>30</v>
      </c>
      <c r="I258" s="37" t="s">
        <v>123</v>
      </c>
      <c r="J258" s="27">
        <f t="shared" si="137"/>
        <v>0</v>
      </c>
      <c r="K258" s="27">
        <f t="shared" si="126"/>
        <v>0</v>
      </c>
      <c r="L258" s="27">
        <f t="shared" si="138"/>
        <v>0</v>
      </c>
      <c r="M258" s="27">
        <f t="shared" si="127"/>
        <v>0</v>
      </c>
      <c r="N258" s="27">
        <f t="shared" si="128"/>
        <v>0</v>
      </c>
      <c r="P258" s="72" t="s">
        <v>123</v>
      </c>
      <c r="Q258" s="44">
        <f t="shared" si="153"/>
        <v>43561.177401440589</v>
      </c>
      <c r="R258" s="44">
        <f t="shared" si="122"/>
        <v>221.62494913554841</v>
      </c>
      <c r="S258" s="44">
        <f t="shared" si="154"/>
        <v>3559.3750508644516</v>
      </c>
      <c r="T258" s="44">
        <f t="shared" si="155"/>
        <v>0</v>
      </c>
      <c r="U258" s="43">
        <f t="shared" si="129"/>
        <v>40001.802350576138</v>
      </c>
      <c r="W258" s="72" t="s">
        <v>123</v>
      </c>
      <c r="X258" s="44">
        <f t="shared" si="139"/>
        <v>192945.31812414294</v>
      </c>
      <c r="Y258" s="44">
        <f t="shared" si="123"/>
        <v>981.64234453844779</v>
      </c>
      <c r="Z258" s="44">
        <f t="shared" si="140"/>
        <v>1902.3576554615522</v>
      </c>
      <c r="AA258" s="44">
        <f t="shared" si="141"/>
        <v>0</v>
      </c>
      <c r="AB258" s="43">
        <f t="shared" si="130"/>
        <v>191042.96046868138</v>
      </c>
      <c r="AD258" s="72" t="s">
        <v>123</v>
      </c>
      <c r="AE258" s="44">
        <f t="shared" si="142"/>
        <v>346868.34638246178</v>
      </c>
      <c r="AF258" s="44">
        <f t="shared" si="124"/>
        <v>1804.6657254254656</v>
      </c>
      <c r="AG258" s="44">
        <f t="shared" si="143"/>
        <v>4237.334274574534</v>
      </c>
      <c r="AH258" s="44">
        <f t="shared" si="144"/>
        <v>0</v>
      </c>
      <c r="AI258" s="43">
        <f t="shared" si="131"/>
        <v>342631.01210788725</v>
      </c>
      <c r="AK258" s="101">
        <f t="shared" si="151"/>
        <v>2047</v>
      </c>
      <c r="AL258" s="101">
        <f t="shared" si="125"/>
        <v>4</v>
      </c>
      <c r="AM258" s="118">
        <f t="shared" si="145"/>
        <v>3060.9695167771742</v>
      </c>
      <c r="AN258" s="100">
        <f t="shared" si="146"/>
        <v>10381.049983818686</v>
      </c>
      <c r="AO258" s="100">
        <f t="shared" si="147"/>
        <v>19275.70702731721</v>
      </c>
      <c r="AP258" s="100">
        <f t="shared" si="148"/>
        <v>13442.019500595859</v>
      </c>
      <c r="AQ258" s="1">
        <f t="shared" si="149"/>
        <v>66650</v>
      </c>
      <c r="AR258" s="100">
        <f t="shared" si="132"/>
        <v>231044.76281925751</v>
      </c>
      <c r="AS258" s="100">
        <f t="shared" si="133"/>
        <v>32717.72652791307</v>
      </c>
      <c r="AT258" s="100">
        <f t="shared" si="150"/>
        <v>94352.273472086934</v>
      </c>
      <c r="AU258" s="1">
        <f t="shared" si="134"/>
        <v>127070</v>
      </c>
      <c r="AV258" s="100">
        <f t="shared" si="135"/>
        <v>573675.77492714475</v>
      </c>
    </row>
    <row r="259" spans="4:48">
      <c r="D259" s="39">
        <f t="shared" si="136"/>
        <v>251</v>
      </c>
      <c r="E259" s="40">
        <f t="shared" si="152"/>
        <v>2047</v>
      </c>
      <c r="F259" s="35">
        <f t="shared" si="156"/>
        <v>53842</v>
      </c>
      <c r="G259" s="36">
        <f t="shared" si="121"/>
        <v>5</v>
      </c>
      <c r="H259" s="41">
        <f t="shared" si="157"/>
        <v>31</v>
      </c>
      <c r="I259" s="37" t="s">
        <v>123</v>
      </c>
      <c r="J259" s="27">
        <f t="shared" si="137"/>
        <v>0</v>
      </c>
      <c r="K259" s="27">
        <f t="shared" si="126"/>
        <v>0</v>
      </c>
      <c r="L259" s="27">
        <f t="shared" si="138"/>
        <v>0</v>
      </c>
      <c r="M259" s="27">
        <f t="shared" si="127"/>
        <v>0</v>
      </c>
      <c r="N259" s="27">
        <f t="shared" si="128"/>
        <v>0</v>
      </c>
      <c r="P259" s="72" t="s">
        <v>123</v>
      </c>
      <c r="Q259" s="44">
        <f t="shared" si="153"/>
        <v>40001.802350576138</v>
      </c>
      <c r="R259" s="44">
        <f t="shared" si="122"/>
        <v>210.29988638498779</v>
      </c>
      <c r="S259" s="44">
        <f t="shared" si="154"/>
        <v>3570.700113615012</v>
      </c>
      <c r="T259" s="44">
        <f t="shared" si="155"/>
        <v>0</v>
      </c>
      <c r="U259" s="43">
        <f t="shared" si="129"/>
        <v>36431.102236961124</v>
      </c>
      <c r="W259" s="72" t="s">
        <v>123</v>
      </c>
      <c r="X259" s="44">
        <f t="shared" si="139"/>
        <v>191042.96046868138</v>
      </c>
      <c r="Y259" s="44">
        <f t="shared" si="123"/>
        <v>1004.3625666941168</v>
      </c>
      <c r="Z259" s="44">
        <f t="shared" si="140"/>
        <v>1879.6374333058832</v>
      </c>
      <c r="AA259" s="44">
        <f t="shared" si="141"/>
        <v>0</v>
      </c>
      <c r="AB259" s="43">
        <f t="shared" si="130"/>
        <v>189163.32303537551</v>
      </c>
      <c r="AD259" s="72" t="s">
        <v>123</v>
      </c>
      <c r="AE259" s="44">
        <f t="shared" si="142"/>
        <v>342631.01210788725</v>
      </c>
      <c r="AF259" s="44">
        <f t="shared" si="124"/>
        <v>1842.0406439981016</v>
      </c>
      <c r="AG259" s="44">
        <f t="shared" si="143"/>
        <v>4199.9593560018984</v>
      </c>
      <c r="AH259" s="44">
        <f t="shared" si="144"/>
        <v>0</v>
      </c>
      <c r="AI259" s="43">
        <f t="shared" si="131"/>
        <v>338431.05275188538</v>
      </c>
      <c r="AK259" s="101">
        <f t="shared" si="151"/>
        <v>2047</v>
      </c>
      <c r="AL259" s="101">
        <f t="shared" si="125"/>
        <v>5</v>
      </c>
      <c r="AM259" s="118">
        <f t="shared" si="145"/>
        <v>3271.2694031621622</v>
      </c>
      <c r="AN259" s="100">
        <f t="shared" si="146"/>
        <v>11385.412550512803</v>
      </c>
      <c r="AO259" s="100">
        <f t="shared" si="147"/>
        <v>21117.747671315312</v>
      </c>
      <c r="AP259" s="100">
        <f t="shared" si="148"/>
        <v>14656.681953674964</v>
      </c>
      <c r="AQ259" s="1">
        <f t="shared" si="149"/>
        <v>73315</v>
      </c>
      <c r="AR259" s="100">
        <f t="shared" si="132"/>
        <v>225594.42527233664</v>
      </c>
      <c r="AS259" s="100">
        <f t="shared" si="133"/>
        <v>35774.429624990276</v>
      </c>
      <c r="AT259" s="100">
        <f t="shared" si="150"/>
        <v>104002.57037500972</v>
      </c>
      <c r="AU259" s="1">
        <f t="shared" si="134"/>
        <v>139777</v>
      </c>
      <c r="AV259" s="100">
        <f t="shared" si="135"/>
        <v>564025.47802422196</v>
      </c>
    </row>
    <row r="260" spans="4:48">
      <c r="D260" s="39">
        <f t="shared" si="136"/>
        <v>252</v>
      </c>
      <c r="E260" s="40">
        <f t="shared" si="152"/>
        <v>2047</v>
      </c>
      <c r="F260" s="35">
        <f t="shared" si="156"/>
        <v>53873</v>
      </c>
      <c r="G260" s="36">
        <f t="shared" si="121"/>
        <v>6</v>
      </c>
      <c r="H260" s="41">
        <f t="shared" si="157"/>
        <v>30</v>
      </c>
      <c r="I260" s="37" t="s">
        <v>123</v>
      </c>
      <c r="J260" s="27">
        <f t="shared" si="137"/>
        <v>0</v>
      </c>
      <c r="K260" s="27">
        <f t="shared" si="126"/>
        <v>0</v>
      </c>
      <c r="L260" s="27">
        <f t="shared" si="138"/>
        <v>0</v>
      </c>
      <c r="M260" s="27">
        <f t="shared" si="127"/>
        <v>0</v>
      </c>
      <c r="N260" s="27">
        <f t="shared" si="128"/>
        <v>0</v>
      </c>
      <c r="P260" s="72" t="s">
        <v>123</v>
      </c>
      <c r="Q260" s="44">
        <f t="shared" si="153"/>
        <v>36431.102236961124</v>
      </c>
      <c r="R260" s="44">
        <f t="shared" si="122"/>
        <v>185.34947083297754</v>
      </c>
      <c r="S260" s="44">
        <f t="shared" si="154"/>
        <v>3595.6505291670223</v>
      </c>
      <c r="T260" s="44">
        <f t="shared" si="155"/>
        <v>0</v>
      </c>
      <c r="U260" s="43">
        <f t="shared" si="129"/>
        <v>32835.451707794098</v>
      </c>
      <c r="W260" s="72" t="s">
        <v>123</v>
      </c>
      <c r="X260" s="44">
        <f t="shared" si="139"/>
        <v>189163.32303537551</v>
      </c>
      <c r="Y260" s="44">
        <f t="shared" si="123"/>
        <v>962.40079692244478</v>
      </c>
      <c r="Z260" s="44">
        <f t="shared" si="140"/>
        <v>1921.5992030775551</v>
      </c>
      <c r="AA260" s="44">
        <f t="shared" si="141"/>
        <v>0</v>
      </c>
      <c r="AB260" s="43">
        <f t="shared" si="130"/>
        <v>187241.72383229795</v>
      </c>
      <c r="AD260" s="72" t="s">
        <v>123</v>
      </c>
      <c r="AE260" s="44">
        <f t="shared" si="142"/>
        <v>338431.05275188538</v>
      </c>
      <c r="AF260" s="44">
        <f t="shared" si="124"/>
        <v>1760.7686826735078</v>
      </c>
      <c r="AG260" s="44">
        <f t="shared" si="143"/>
        <v>4281.231317326492</v>
      </c>
      <c r="AH260" s="44">
        <f t="shared" si="144"/>
        <v>0</v>
      </c>
      <c r="AI260" s="43">
        <f t="shared" si="131"/>
        <v>334149.82143455889</v>
      </c>
      <c r="AK260" s="101">
        <f t="shared" si="151"/>
        <v>2047</v>
      </c>
      <c r="AL260" s="101">
        <f t="shared" si="125"/>
        <v>6</v>
      </c>
      <c r="AM260" s="118">
        <f t="shared" si="145"/>
        <v>3456.6188739951399</v>
      </c>
      <c r="AN260" s="100">
        <f t="shared" si="146"/>
        <v>12347.813347435247</v>
      </c>
      <c r="AO260" s="100">
        <f t="shared" si="147"/>
        <v>22878.51635398882</v>
      </c>
      <c r="AP260" s="100">
        <f t="shared" si="148"/>
        <v>15804.432221430387</v>
      </c>
      <c r="AQ260" s="1">
        <f t="shared" si="149"/>
        <v>79980</v>
      </c>
      <c r="AR260" s="100">
        <f t="shared" si="132"/>
        <v>220077.17554009205</v>
      </c>
      <c r="AS260" s="100">
        <f t="shared" si="133"/>
        <v>38682.948575419206</v>
      </c>
      <c r="AT260" s="100">
        <f t="shared" si="150"/>
        <v>113801.05142458077</v>
      </c>
      <c r="AU260" s="1">
        <f t="shared" si="134"/>
        <v>152483.99999999997</v>
      </c>
      <c r="AV260" s="100">
        <f t="shared" si="135"/>
        <v>554226.996974651</v>
      </c>
    </row>
    <row r="261" spans="4:48">
      <c r="D261" s="39">
        <f t="shared" si="136"/>
        <v>253</v>
      </c>
      <c r="E261" s="40">
        <f t="shared" si="152"/>
        <v>2048</v>
      </c>
      <c r="F261" s="35">
        <f t="shared" si="156"/>
        <v>53903</v>
      </c>
      <c r="G261" s="36">
        <f t="shared" si="121"/>
        <v>7</v>
      </c>
      <c r="H261" s="41">
        <f t="shared" si="157"/>
        <v>31</v>
      </c>
      <c r="I261" s="37" t="s">
        <v>123</v>
      </c>
      <c r="J261" s="27">
        <f t="shared" si="137"/>
        <v>0</v>
      </c>
      <c r="K261" s="27">
        <f t="shared" si="126"/>
        <v>0</v>
      </c>
      <c r="L261" s="27">
        <f t="shared" si="138"/>
        <v>0</v>
      </c>
      <c r="M261" s="27">
        <f t="shared" si="127"/>
        <v>0</v>
      </c>
      <c r="N261" s="27">
        <f t="shared" si="128"/>
        <v>0</v>
      </c>
      <c r="P261" s="72" t="s">
        <v>123</v>
      </c>
      <c r="Q261" s="44">
        <f t="shared" si="153"/>
        <v>32835.451707794098</v>
      </c>
      <c r="R261" s="44">
        <f t="shared" si="122"/>
        <v>172.62451584133177</v>
      </c>
      <c r="S261" s="44">
        <f t="shared" si="154"/>
        <v>3608.3754841586683</v>
      </c>
      <c r="T261" s="44">
        <f t="shared" si="155"/>
        <v>0</v>
      </c>
      <c r="U261" s="43">
        <f t="shared" si="129"/>
        <v>29227.076223635428</v>
      </c>
      <c r="W261" s="72" t="s">
        <v>123</v>
      </c>
      <c r="X261" s="44">
        <f t="shared" si="139"/>
        <v>187241.72383229795</v>
      </c>
      <c r="Y261" s="44">
        <f t="shared" si="123"/>
        <v>984.37847633368904</v>
      </c>
      <c r="Z261" s="44">
        <f t="shared" si="140"/>
        <v>1899.6215236663111</v>
      </c>
      <c r="AA261" s="44">
        <f t="shared" si="141"/>
        <v>0</v>
      </c>
      <c r="AB261" s="43">
        <f t="shared" si="130"/>
        <v>185342.10230863164</v>
      </c>
      <c r="AD261" s="72" t="s">
        <v>123</v>
      </c>
      <c r="AE261" s="44">
        <f t="shared" si="142"/>
        <v>334149.82143455889</v>
      </c>
      <c r="AF261" s="44">
        <f t="shared" si="124"/>
        <v>1796.4443687699586</v>
      </c>
      <c r="AG261" s="44">
        <f t="shared" si="143"/>
        <v>4245.5556312300414</v>
      </c>
      <c r="AH261" s="44">
        <f t="shared" si="144"/>
        <v>0</v>
      </c>
      <c r="AI261" s="43">
        <f t="shared" si="131"/>
        <v>329904.26580332883</v>
      </c>
      <c r="AK261" s="101">
        <f t="shared" si="151"/>
        <v>2048</v>
      </c>
      <c r="AL261" s="101">
        <f t="shared" si="125"/>
        <v>7</v>
      </c>
      <c r="AM261" s="118">
        <f t="shared" si="145"/>
        <v>172.62451584133177</v>
      </c>
      <c r="AN261" s="100">
        <f t="shared" si="146"/>
        <v>984.37847633368904</v>
      </c>
      <c r="AO261" s="100">
        <f t="shared" si="147"/>
        <v>1796.4443687699586</v>
      </c>
      <c r="AP261" s="100">
        <f t="shared" si="148"/>
        <v>1157.0029921750208</v>
      </c>
      <c r="AQ261" s="1">
        <f t="shared" si="149"/>
        <v>6665</v>
      </c>
      <c r="AR261" s="100">
        <f t="shared" si="132"/>
        <v>214569.17853226708</v>
      </c>
      <c r="AS261" s="100">
        <f t="shared" si="133"/>
        <v>2953.4473609449797</v>
      </c>
      <c r="AT261" s="100">
        <f t="shared" si="150"/>
        <v>9753.5526390550203</v>
      </c>
      <c r="AU261" s="1">
        <f t="shared" si="134"/>
        <v>12707</v>
      </c>
      <c r="AV261" s="100">
        <f t="shared" si="135"/>
        <v>544473.44433559594</v>
      </c>
    </row>
    <row r="262" spans="4:48">
      <c r="D262" s="39">
        <f t="shared" si="136"/>
        <v>254</v>
      </c>
      <c r="E262" s="40">
        <f t="shared" si="152"/>
        <v>2048</v>
      </c>
      <c r="F262" s="35">
        <f t="shared" si="156"/>
        <v>53934</v>
      </c>
      <c r="G262" s="36">
        <f t="shared" si="121"/>
        <v>8</v>
      </c>
      <c r="H262" s="41">
        <f t="shared" si="157"/>
        <v>31</v>
      </c>
      <c r="I262" s="37" t="s">
        <v>123</v>
      </c>
      <c r="J262" s="27">
        <f t="shared" si="137"/>
        <v>0</v>
      </c>
      <c r="K262" s="27">
        <f t="shared" si="126"/>
        <v>0</v>
      </c>
      <c r="L262" s="27">
        <f t="shared" si="138"/>
        <v>0</v>
      </c>
      <c r="M262" s="27">
        <f t="shared" si="127"/>
        <v>0</v>
      </c>
      <c r="N262" s="27">
        <f t="shared" si="128"/>
        <v>0</v>
      </c>
      <c r="P262" s="72" t="s">
        <v>123</v>
      </c>
      <c r="Q262" s="44">
        <f t="shared" si="153"/>
        <v>29227.076223635428</v>
      </c>
      <c r="R262" s="44">
        <f t="shared" si="122"/>
        <v>153.65434675488771</v>
      </c>
      <c r="S262" s="44">
        <f t="shared" si="154"/>
        <v>3627.3456532451123</v>
      </c>
      <c r="T262" s="44">
        <f t="shared" si="155"/>
        <v>0</v>
      </c>
      <c r="U262" s="43">
        <f t="shared" si="129"/>
        <v>25599.730570390315</v>
      </c>
      <c r="W262" s="72" t="s">
        <v>123</v>
      </c>
      <c r="X262" s="44">
        <f t="shared" si="139"/>
        <v>185342.10230863164</v>
      </c>
      <c r="Y262" s="44">
        <f t="shared" si="123"/>
        <v>974.39167156173494</v>
      </c>
      <c r="Z262" s="44">
        <f t="shared" si="140"/>
        <v>1909.6083284382651</v>
      </c>
      <c r="AA262" s="44">
        <f t="shared" si="141"/>
        <v>0</v>
      </c>
      <c r="AB262" s="43">
        <f t="shared" si="130"/>
        <v>183432.49398019337</v>
      </c>
      <c r="AD262" s="72" t="s">
        <v>123</v>
      </c>
      <c r="AE262" s="44">
        <f t="shared" si="142"/>
        <v>329904.26580332883</v>
      </c>
      <c r="AF262" s="44">
        <f t="shared" si="124"/>
        <v>1773.6195637969097</v>
      </c>
      <c r="AG262" s="44">
        <f t="shared" si="143"/>
        <v>4268.3804362030905</v>
      </c>
      <c r="AH262" s="44">
        <f t="shared" si="144"/>
        <v>0</v>
      </c>
      <c r="AI262" s="43">
        <f t="shared" si="131"/>
        <v>325635.88536712574</v>
      </c>
      <c r="AK262" s="101">
        <f t="shared" si="151"/>
        <v>2048</v>
      </c>
      <c r="AL262" s="101">
        <f t="shared" si="125"/>
        <v>8</v>
      </c>
      <c r="AM262" s="118">
        <f t="shared" si="145"/>
        <v>326.27886259621948</v>
      </c>
      <c r="AN262" s="100">
        <f t="shared" si="146"/>
        <v>1958.7701478954241</v>
      </c>
      <c r="AO262" s="100">
        <f t="shared" si="147"/>
        <v>3570.0639325668681</v>
      </c>
      <c r="AP262" s="100">
        <f t="shared" si="148"/>
        <v>2285.0490104916435</v>
      </c>
      <c r="AQ262" s="1">
        <f t="shared" si="149"/>
        <v>13330</v>
      </c>
      <c r="AR262" s="100">
        <f t="shared" si="132"/>
        <v>209032.22455058369</v>
      </c>
      <c r="AS262" s="100">
        <f t="shared" si="133"/>
        <v>5855.1129430585115</v>
      </c>
      <c r="AT262" s="100">
        <f t="shared" si="150"/>
        <v>19558.88705694149</v>
      </c>
      <c r="AU262" s="1">
        <f t="shared" si="134"/>
        <v>25414</v>
      </c>
      <c r="AV262" s="100">
        <f t="shared" si="135"/>
        <v>534668.10991770937</v>
      </c>
    </row>
    <row r="263" spans="4:48">
      <c r="D263" s="39">
        <f t="shared" si="136"/>
        <v>255</v>
      </c>
      <c r="E263" s="40">
        <f t="shared" si="152"/>
        <v>2048</v>
      </c>
      <c r="F263" s="35">
        <f t="shared" si="156"/>
        <v>53965</v>
      </c>
      <c r="G263" s="36">
        <f t="shared" si="121"/>
        <v>9</v>
      </c>
      <c r="H263" s="41">
        <f t="shared" si="157"/>
        <v>30</v>
      </c>
      <c r="I263" s="37" t="s">
        <v>123</v>
      </c>
      <c r="J263" s="27">
        <f t="shared" si="137"/>
        <v>0</v>
      </c>
      <c r="K263" s="27">
        <f t="shared" si="126"/>
        <v>0</v>
      </c>
      <c r="L263" s="27">
        <f t="shared" si="138"/>
        <v>0</v>
      </c>
      <c r="M263" s="27">
        <f t="shared" si="127"/>
        <v>0</v>
      </c>
      <c r="N263" s="27">
        <f t="shared" si="128"/>
        <v>0</v>
      </c>
      <c r="P263" s="72" t="s">
        <v>123</v>
      </c>
      <c r="Q263" s="44">
        <f t="shared" si="153"/>
        <v>25599.730570390315</v>
      </c>
      <c r="R263" s="44">
        <f t="shared" si="122"/>
        <v>130.24301279236934</v>
      </c>
      <c r="S263" s="44">
        <f t="shared" si="154"/>
        <v>3650.7569872076306</v>
      </c>
      <c r="T263" s="44">
        <f t="shared" si="155"/>
        <v>0</v>
      </c>
      <c r="U263" s="43">
        <f t="shared" si="129"/>
        <v>21948.973583182684</v>
      </c>
      <c r="W263" s="72" t="s">
        <v>123</v>
      </c>
      <c r="X263" s="44">
        <f t="shared" si="139"/>
        <v>183432.49398019337</v>
      </c>
      <c r="Y263" s="44">
        <f t="shared" si="123"/>
        <v>933.24422279786052</v>
      </c>
      <c r="Z263" s="44">
        <f t="shared" si="140"/>
        <v>1950.7557772021396</v>
      </c>
      <c r="AA263" s="44">
        <f t="shared" si="141"/>
        <v>0</v>
      </c>
      <c r="AB263" s="43">
        <f t="shared" si="130"/>
        <v>181481.73820299123</v>
      </c>
      <c r="AD263" s="72" t="s">
        <v>123</v>
      </c>
      <c r="AE263" s="44">
        <f t="shared" si="142"/>
        <v>325635.88536712574</v>
      </c>
      <c r="AF263" s="44">
        <f t="shared" si="124"/>
        <v>1694.1987570196484</v>
      </c>
      <c r="AG263" s="44">
        <f t="shared" si="143"/>
        <v>4347.8012429803512</v>
      </c>
      <c r="AH263" s="44">
        <f t="shared" si="144"/>
        <v>0</v>
      </c>
      <c r="AI263" s="43">
        <f t="shared" si="131"/>
        <v>321288.08412414539</v>
      </c>
      <c r="AK263" s="101">
        <f t="shared" si="151"/>
        <v>2048</v>
      </c>
      <c r="AL263" s="101">
        <f t="shared" si="125"/>
        <v>9</v>
      </c>
      <c r="AM263" s="118">
        <f t="shared" si="145"/>
        <v>456.5218753885888</v>
      </c>
      <c r="AN263" s="100">
        <f t="shared" si="146"/>
        <v>2892.0143706932845</v>
      </c>
      <c r="AO263" s="100">
        <f t="shared" si="147"/>
        <v>5264.262689586516</v>
      </c>
      <c r="AP263" s="100">
        <f t="shared" si="148"/>
        <v>3348.5362460818733</v>
      </c>
      <c r="AQ263" s="1">
        <f t="shared" si="149"/>
        <v>19995</v>
      </c>
      <c r="AR263" s="100">
        <f t="shared" si="132"/>
        <v>203430.71178617392</v>
      </c>
      <c r="AS263" s="100">
        <f t="shared" si="133"/>
        <v>8612.7989356683902</v>
      </c>
      <c r="AT263" s="100">
        <f t="shared" si="150"/>
        <v>29508.20106433161</v>
      </c>
      <c r="AU263" s="1">
        <f t="shared" si="134"/>
        <v>38121</v>
      </c>
      <c r="AV263" s="100">
        <f t="shared" si="135"/>
        <v>524718.79591031931</v>
      </c>
    </row>
    <row r="264" spans="4:48">
      <c r="D264" s="39">
        <f t="shared" si="136"/>
        <v>256</v>
      </c>
      <c r="E264" s="40">
        <f t="shared" si="152"/>
        <v>2048</v>
      </c>
      <c r="F264" s="35">
        <f t="shared" si="156"/>
        <v>53995</v>
      </c>
      <c r="G264" s="36">
        <f t="shared" si="121"/>
        <v>10</v>
      </c>
      <c r="H264" s="41">
        <f t="shared" si="157"/>
        <v>31</v>
      </c>
      <c r="I264" s="37" t="s">
        <v>123</v>
      </c>
      <c r="J264" s="27">
        <f t="shared" si="137"/>
        <v>0</v>
      </c>
      <c r="K264" s="27">
        <f t="shared" si="126"/>
        <v>0</v>
      </c>
      <c r="L264" s="27">
        <f t="shared" si="138"/>
        <v>0</v>
      </c>
      <c r="M264" s="27">
        <f t="shared" si="127"/>
        <v>0</v>
      </c>
      <c r="N264" s="27">
        <f t="shared" si="128"/>
        <v>0</v>
      </c>
      <c r="P264" s="72" t="s">
        <v>123</v>
      </c>
      <c r="Q264" s="44">
        <f t="shared" si="153"/>
        <v>21948.973583182684</v>
      </c>
      <c r="R264" s="44">
        <f t="shared" si="122"/>
        <v>115.39146687334041</v>
      </c>
      <c r="S264" s="44">
        <f t="shared" si="154"/>
        <v>3665.6085331266595</v>
      </c>
      <c r="T264" s="44">
        <f t="shared" si="155"/>
        <v>0</v>
      </c>
      <c r="U264" s="43">
        <f t="shared" si="129"/>
        <v>18283.365050056025</v>
      </c>
      <c r="W264" s="72" t="s">
        <v>123</v>
      </c>
      <c r="X264" s="44">
        <f t="shared" si="139"/>
        <v>181481.73820299123</v>
      </c>
      <c r="Y264" s="44">
        <f t="shared" si="123"/>
        <v>954.09673270608175</v>
      </c>
      <c r="Z264" s="44">
        <f t="shared" si="140"/>
        <v>1929.9032672939184</v>
      </c>
      <c r="AA264" s="44">
        <f t="shared" si="141"/>
        <v>0</v>
      </c>
      <c r="AB264" s="43">
        <f t="shared" si="130"/>
        <v>179551.83493569732</v>
      </c>
      <c r="AD264" s="72" t="s">
        <v>123</v>
      </c>
      <c r="AE264" s="44">
        <f t="shared" si="142"/>
        <v>321288.08412414539</v>
      </c>
      <c r="AF264" s="44">
        <f t="shared" si="124"/>
        <v>1727.2975547309875</v>
      </c>
      <c r="AG264" s="44">
        <f t="shared" si="143"/>
        <v>4314.702445269013</v>
      </c>
      <c r="AH264" s="44">
        <f t="shared" si="144"/>
        <v>0</v>
      </c>
      <c r="AI264" s="43">
        <f t="shared" si="131"/>
        <v>316973.38167887635</v>
      </c>
      <c r="AK264" s="101">
        <f t="shared" si="151"/>
        <v>2048</v>
      </c>
      <c r="AL264" s="101">
        <f t="shared" si="125"/>
        <v>10</v>
      </c>
      <c r="AM264" s="118">
        <f t="shared" si="145"/>
        <v>571.91334226192919</v>
      </c>
      <c r="AN264" s="100">
        <f t="shared" si="146"/>
        <v>3846.1111033993661</v>
      </c>
      <c r="AO264" s="100">
        <f t="shared" si="147"/>
        <v>6991.560244317503</v>
      </c>
      <c r="AP264" s="100">
        <f t="shared" si="148"/>
        <v>4418.0244456612954</v>
      </c>
      <c r="AQ264" s="1">
        <f t="shared" si="149"/>
        <v>26660</v>
      </c>
      <c r="AR264" s="100">
        <f t="shared" si="132"/>
        <v>197835.19998575334</v>
      </c>
      <c r="AS264" s="100">
        <f t="shared" si="133"/>
        <v>11409.584689978798</v>
      </c>
      <c r="AT264" s="100">
        <f t="shared" si="150"/>
        <v>39418.415310021199</v>
      </c>
      <c r="AU264" s="1">
        <f t="shared" si="134"/>
        <v>50828</v>
      </c>
      <c r="AV264" s="100">
        <f t="shared" si="135"/>
        <v>514808.58166462969</v>
      </c>
    </row>
    <row r="265" spans="4:48">
      <c r="D265" s="39">
        <f t="shared" si="136"/>
        <v>257</v>
      </c>
      <c r="E265" s="40">
        <f t="shared" si="152"/>
        <v>2048</v>
      </c>
      <c r="F265" s="35">
        <f t="shared" si="156"/>
        <v>54026</v>
      </c>
      <c r="G265" s="36">
        <f t="shared" ref="G265:G328" si="158">MONTH(F265)</f>
        <v>11</v>
      </c>
      <c r="H265" s="41">
        <f t="shared" si="157"/>
        <v>30</v>
      </c>
      <c r="I265" s="37" t="s">
        <v>123</v>
      </c>
      <c r="J265" s="27">
        <f t="shared" si="137"/>
        <v>0</v>
      </c>
      <c r="K265" s="27">
        <f t="shared" si="126"/>
        <v>0</v>
      </c>
      <c r="L265" s="27">
        <f t="shared" si="138"/>
        <v>0</v>
      </c>
      <c r="M265" s="27">
        <f t="shared" si="127"/>
        <v>0</v>
      </c>
      <c r="N265" s="27">
        <f t="shared" si="128"/>
        <v>0</v>
      </c>
      <c r="P265" s="72" t="s">
        <v>123</v>
      </c>
      <c r="Q265" s="44">
        <f t="shared" si="153"/>
        <v>18283.365050056025</v>
      </c>
      <c r="R265" s="44">
        <f t="shared" ref="R265:R328" si="159">(IF(P265="PI",Q265,IF(ISNUMBER(U264),U264,Q265))*$R$3/365*$H265*IF(Q265&gt;0,1,0))</f>
        <v>93.019750405353534</v>
      </c>
      <c r="S265" s="44">
        <f t="shared" si="154"/>
        <v>3687.9802495946465</v>
      </c>
      <c r="T265" s="44">
        <f t="shared" si="155"/>
        <v>0</v>
      </c>
      <c r="U265" s="43">
        <f t="shared" si="129"/>
        <v>14595.384800461379</v>
      </c>
      <c r="W265" s="72" t="s">
        <v>123</v>
      </c>
      <c r="X265" s="44">
        <f t="shared" si="139"/>
        <v>179551.83493569732</v>
      </c>
      <c r="Y265" s="44">
        <f t="shared" ref="Y265:Y328" si="160">(IF(W265="PI",X265,IF(ISNUMBER(AB264),AB264,X265))*$Y$3/365*$H265*IF(X265&gt;0,1,0))</f>
        <v>913.50070541257514</v>
      </c>
      <c r="Z265" s="44">
        <f t="shared" si="140"/>
        <v>1970.4992945874249</v>
      </c>
      <c r="AA265" s="44">
        <f t="shared" si="141"/>
        <v>0</v>
      </c>
      <c r="AB265" s="43">
        <f t="shared" si="130"/>
        <v>177581.33564110991</v>
      </c>
      <c r="AD265" s="72" t="s">
        <v>123</v>
      </c>
      <c r="AE265" s="44">
        <f t="shared" si="142"/>
        <v>316973.38167887635</v>
      </c>
      <c r="AF265" s="44">
        <f t="shared" ref="AF265:AF328" si="161">(IF(AD265="PI",AE265,IF(ISNUMBER(AI264),AI264,AE265))*$AF$3/365*$H265*IF(AE265&gt;0,1,0))</f>
        <v>1649.1300049539348</v>
      </c>
      <c r="AG265" s="44">
        <f t="shared" si="143"/>
        <v>4392.869995046065</v>
      </c>
      <c r="AH265" s="44">
        <f t="shared" si="144"/>
        <v>0</v>
      </c>
      <c r="AI265" s="43">
        <f t="shared" si="131"/>
        <v>312580.51168383029</v>
      </c>
      <c r="AK265" s="101">
        <f t="shared" si="151"/>
        <v>2048</v>
      </c>
      <c r="AL265" s="101">
        <f t="shared" ref="AL265:AL328" si="162">G265</f>
        <v>11</v>
      </c>
      <c r="AM265" s="118">
        <f t="shared" si="145"/>
        <v>664.93309266728272</v>
      </c>
      <c r="AN265" s="100">
        <f t="shared" si="146"/>
        <v>4759.611808811941</v>
      </c>
      <c r="AO265" s="100">
        <f t="shared" si="147"/>
        <v>8640.690249271438</v>
      </c>
      <c r="AP265" s="100">
        <f t="shared" si="148"/>
        <v>5424.5449014792239</v>
      </c>
      <c r="AQ265" s="1">
        <f t="shared" si="149"/>
        <v>33325</v>
      </c>
      <c r="AR265" s="100">
        <f t="shared" si="132"/>
        <v>192176.72044157129</v>
      </c>
      <c r="AS265" s="100">
        <f t="shared" si="133"/>
        <v>14065.235150750661</v>
      </c>
      <c r="AT265" s="100">
        <f t="shared" si="150"/>
        <v>49469.764849249339</v>
      </c>
      <c r="AU265" s="1">
        <f t="shared" si="134"/>
        <v>63535</v>
      </c>
      <c r="AV265" s="100">
        <f t="shared" si="135"/>
        <v>504757.23212540161</v>
      </c>
    </row>
    <row r="266" spans="4:48">
      <c r="D266" s="39">
        <f t="shared" si="136"/>
        <v>258</v>
      </c>
      <c r="E266" s="40">
        <f t="shared" si="152"/>
        <v>2048</v>
      </c>
      <c r="F266" s="35">
        <f t="shared" si="156"/>
        <v>54056</v>
      </c>
      <c r="G266" s="36">
        <f t="shared" si="158"/>
        <v>12</v>
      </c>
      <c r="H266" s="41">
        <f t="shared" si="157"/>
        <v>31</v>
      </c>
      <c r="I266" s="37" t="s">
        <v>123</v>
      </c>
      <c r="J266" s="27">
        <f t="shared" si="137"/>
        <v>0</v>
      </c>
      <c r="K266" s="27">
        <f t="shared" ref="K266:K329" si="163">(IF(I266="PI",J266,IF(ISNUMBER(N265),N265,J266))*$K$3/365*$H266*IF(J266&gt;0,1,0))</f>
        <v>0</v>
      </c>
      <c r="L266" s="27">
        <f t="shared" si="138"/>
        <v>0</v>
      </c>
      <c r="M266" s="27">
        <f t="shared" ref="M266:M329" si="164">IF(I266="IO",$K$6-K266+IF(ISNUMBER(M265),M265,0),IF(ISNUMBER(M265),M265,0))</f>
        <v>0</v>
      </c>
      <c r="N266" s="27">
        <f t="shared" ref="N266:N329" si="165">(J266+K266-$K$6-IF(I266="PI",0,M266))*IF(J266&gt;0,1,0)</f>
        <v>0</v>
      </c>
      <c r="P266" s="72" t="s">
        <v>123</v>
      </c>
      <c r="Q266" s="44">
        <f t="shared" si="153"/>
        <v>14595.384800461379</v>
      </c>
      <c r="R266" s="44">
        <f t="shared" si="159"/>
        <v>76.731736694809143</v>
      </c>
      <c r="S266" s="44">
        <f t="shared" si="154"/>
        <v>3704.2682633051909</v>
      </c>
      <c r="T266" s="44">
        <f t="shared" si="155"/>
        <v>0</v>
      </c>
      <c r="U266" s="43">
        <f t="shared" ref="U266:U329" si="166">(Q266+R266-$R$6-IF(P266="PI",0,T266))*IF(Q266&gt;0,1,0)</f>
        <v>10891.116537156189</v>
      </c>
      <c r="W266" s="72" t="s">
        <v>123</v>
      </c>
      <c r="X266" s="44">
        <f t="shared" si="139"/>
        <v>177581.33564110991</v>
      </c>
      <c r="Y266" s="44">
        <f t="shared" si="160"/>
        <v>933.59130126500213</v>
      </c>
      <c r="Z266" s="44">
        <f t="shared" si="140"/>
        <v>1950.4086987349979</v>
      </c>
      <c r="AA266" s="44">
        <f t="shared" si="141"/>
        <v>0</v>
      </c>
      <c r="AB266" s="43">
        <f t="shared" ref="AB266:AB329" si="167">(X266+Y266-$Y$6-IF(W266="PI",0,AA266))*IF(X266&gt;0,1,0)</f>
        <v>175630.92694237491</v>
      </c>
      <c r="AD266" s="72" t="s">
        <v>123</v>
      </c>
      <c r="AE266" s="44">
        <f t="shared" si="142"/>
        <v>312580.51168383029</v>
      </c>
      <c r="AF266" s="44">
        <f t="shared" si="161"/>
        <v>1680.4842139100824</v>
      </c>
      <c r="AG266" s="44">
        <f t="shared" si="143"/>
        <v>4361.515786089918</v>
      </c>
      <c r="AH266" s="44">
        <f t="shared" si="144"/>
        <v>0</v>
      </c>
      <c r="AI266" s="43">
        <f t="shared" ref="AI266:AI329" si="168">(AE266+AF266-$AF$6-IF(AD266="PI",0,AH266))*IF(AE266&gt;0,1,0)</f>
        <v>308218.99589774036</v>
      </c>
      <c r="AK266" s="101">
        <f t="shared" si="151"/>
        <v>2048</v>
      </c>
      <c r="AL266" s="101">
        <f t="shared" si="162"/>
        <v>12</v>
      </c>
      <c r="AM266" s="118">
        <f t="shared" si="145"/>
        <v>741.66482936209184</v>
      </c>
      <c r="AN266" s="100">
        <f t="shared" si="146"/>
        <v>5693.2031100769436</v>
      </c>
      <c r="AO266" s="100">
        <f t="shared" si="147"/>
        <v>10321.17446318152</v>
      </c>
      <c r="AP266" s="100">
        <f t="shared" si="148"/>
        <v>6434.8679394390356</v>
      </c>
      <c r="AQ266" s="1">
        <f t="shared" si="149"/>
        <v>39990</v>
      </c>
      <c r="AR266" s="100">
        <f t="shared" ref="AR266:AR329" si="169">N266+U266+AB266</f>
        <v>186522.0434795311</v>
      </c>
      <c r="AS266" s="100">
        <f t="shared" ref="AS266:AS329" si="170">AP266+AO266</f>
        <v>16756.042402620555</v>
      </c>
      <c r="AT266" s="100">
        <f t="shared" si="150"/>
        <v>59485.957597379442</v>
      </c>
      <c r="AU266" s="1">
        <f t="shared" ref="AU266:AU329" si="171">AS266+AT266</f>
        <v>76242</v>
      </c>
      <c r="AV266" s="100">
        <f t="shared" ref="AV266:AV329" si="172">N266+U266+AB266+AI266</f>
        <v>494741.03937727143</v>
      </c>
    </row>
    <row r="267" spans="4:48">
      <c r="D267" s="39">
        <f t="shared" ref="D267:D330" si="173">D266+1</f>
        <v>259</v>
      </c>
      <c r="E267" s="40">
        <f t="shared" si="152"/>
        <v>2048</v>
      </c>
      <c r="F267" s="35">
        <f t="shared" si="156"/>
        <v>54087</v>
      </c>
      <c r="G267" s="36">
        <f t="shared" si="158"/>
        <v>1</v>
      </c>
      <c r="H267" s="41">
        <f t="shared" si="157"/>
        <v>31</v>
      </c>
      <c r="I267" s="37" t="s">
        <v>123</v>
      </c>
      <c r="J267" s="27">
        <f t="shared" ref="J267:J330" si="174">IF(I267="PI",IF(N266&lt;=0,0,N266),(IF(I267="IO",J266,"")))*IF(N266&lt;=0,0,1)</f>
        <v>0</v>
      </c>
      <c r="K267" s="27">
        <f t="shared" si="163"/>
        <v>0</v>
      </c>
      <c r="L267" s="27">
        <f t="shared" ref="L267:L330" si="175">IF(I267="IO",0,$K$6-K267)*IF(J267&gt;0,1,0)</f>
        <v>0</v>
      </c>
      <c r="M267" s="27">
        <f t="shared" si="164"/>
        <v>0</v>
      </c>
      <c r="N267" s="27">
        <f t="shared" si="165"/>
        <v>0</v>
      </c>
      <c r="P267" s="72" t="s">
        <v>123</v>
      </c>
      <c r="Q267" s="44">
        <f t="shared" si="153"/>
        <v>10891.116537156189</v>
      </c>
      <c r="R267" s="44">
        <f t="shared" si="159"/>
        <v>57.257434309997286</v>
      </c>
      <c r="S267" s="44">
        <f t="shared" si="154"/>
        <v>3723.7425656900027</v>
      </c>
      <c r="T267" s="44">
        <f t="shared" si="155"/>
        <v>0</v>
      </c>
      <c r="U267" s="43">
        <f t="shared" si="166"/>
        <v>7167.373971466186</v>
      </c>
      <c r="W267" s="72" t="s">
        <v>123</v>
      </c>
      <c r="X267" s="44">
        <f t="shared" ref="X267:X330" si="176">IF(W267="PI",IF(AB266&lt;=0,0,AB266),(IF(W267="IO",X266,"")))*IF(AB266&lt;=0,0,1)</f>
        <v>175630.92694237491</v>
      </c>
      <c r="Y267" s="44">
        <f t="shared" si="160"/>
        <v>923.337495095132</v>
      </c>
      <c r="Z267" s="44">
        <f t="shared" ref="Z267:Z330" si="177">IF(W267="IO",0,$Y$6-Y267)*IF(X267&gt;0,1,0)</f>
        <v>1960.662504904868</v>
      </c>
      <c r="AA267" s="44">
        <f t="shared" ref="AA267:AA330" si="178">IF(W267="IO",$Y$6-Y267+IF(ISNUMBER(AA266),AA266,0),IF(ISNUMBER(AA266),AA266,0))</f>
        <v>0</v>
      </c>
      <c r="AB267" s="43">
        <f t="shared" si="167"/>
        <v>173670.26443747003</v>
      </c>
      <c r="AD267" s="72" t="s">
        <v>123</v>
      </c>
      <c r="AE267" s="44">
        <f t="shared" ref="AE267:AE330" si="179">IF(AD267="PI",IF(AI266&lt;=0,0,AI266),(IF(AD267="IO",AE266,"")))*IF(AI266&lt;=0,0,1)</f>
        <v>308218.99589774036</v>
      </c>
      <c r="AF267" s="44">
        <f t="shared" si="161"/>
        <v>1657.035988082564</v>
      </c>
      <c r="AG267" s="44">
        <f t="shared" ref="AG267:AG330" si="180">IF(AD267="IO",0,$AF$6-AF267)*IF(AE267&gt;0,1,0)</f>
        <v>4384.9640119174364</v>
      </c>
      <c r="AH267" s="44">
        <f t="shared" ref="AH267:AH330" si="181">IF(AD267="IO",$AF$6-AF267+IF(ISNUMBER(AH266),AH266,0),IF(ISNUMBER(AH266),AH266,0))</f>
        <v>0</v>
      </c>
      <c r="AI267" s="43">
        <f t="shared" si="168"/>
        <v>303834.03188582294</v>
      </c>
      <c r="AK267" s="101">
        <f t="shared" si="151"/>
        <v>2048</v>
      </c>
      <c r="AL267" s="101">
        <f t="shared" si="162"/>
        <v>1</v>
      </c>
      <c r="AM267" s="118">
        <f t="shared" ref="AM267:AM330" si="182">IF($AK267=$AK266,R267+AM266,R267)</f>
        <v>798.92226367208912</v>
      </c>
      <c r="AN267" s="100">
        <f t="shared" ref="AN267:AN330" si="183">IF($AK267=$AK266,Y267+AN266,Y267)</f>
        <v>6616.5406051720756</v>
      </c>
      <c r="AO267" s="100">
        <f t="shared" ref="AO267:AO330" si="184">IF($AK267=$AK266,AF267+AO266,AF267)</f>
        <v>11978.210451264084</v>
      </c>
      <c r="AP267" s="100">
        <f t="shared" ref="AP267:AP330" si="185">AM267+AN267</f>
        <v>7415.4628688441644</v>
      </c>
      <c r="AQ267" s="1">
        <f t="shared" ref="AQ267:AQ330" si="186">IF(AK267=AK266,AQ266,0)+
IF(J267&gt;0,$K$6,0)+
IF(Q267&gt;0,$R$6,0)+
IF(X267&gt;0,$Y$6,0)</f>
        <v>46655</v>
      </c>
      <c r="AR267" s="100">
        <f t="shared" si="169"/>
        <v>180837.63840893621</v>
      </c>
      <c r="AS267" s="100">
        <f t="shared" si="170"/>
        <v>19393.673320108246</v>
      </c>
      <c r="AT267" s="100">
        <f t="shared" ref="AT267:AT330" si="187">IF(AK267=AK266,AT266,0)+
IF(J267&gt;0,L267,0)+
IF(Q267&gt;0,S267,0)+
IF(X267&gt;0,Z267,0)+
IF(AE267&gt;0,AG267,0)</f>
        <v>69555.326679891747</v>
      </c>
      <c r="AU267" s="1">
        <f t="shared" si="171"/>
        <v>88949</v>
      </c>
      <c r="AV267" s="100">
        <f t="shared" si="172"/>
        <v>484671.67029475915</v>
      </c>
    </row>
    <row r="268" spans="4:48">
      <c r="D268" s="39">
        <f t="shared" si="173"/>
        <v>260</v>
      </c>
      <c r="E268" s="40">
        <f t="shared" si="152"/>
        <v>2048</v>
      </c>
      <c r="F268" s="35">
        <f t="shared" si="156"/>
        <v>54117</v>
      </c>
      <c r="G268" s="36">
        <f t="shared" si="158"/>
        <v>2</v>
      </c>
      <c r="H268" s="41">
        <f t="shared" si="157"/>
        <v>29</v>
      </c>
      <c r="I268" s="37" t="s">
        <v>123</v>
      </c>
      <c r="J268" s="27">
        <f t="shared" si="174"/>
        <v>0</v>
      </c>
      <c r="K268" s="27">
        <f t="shared" si="163"/>
        <v>0</v>
      </c>
      <c r="L268" s="27">
        <f t="shared" si="175"/>
        <v>0</v>
      </c>
      <c r="M268" s="27">
        <f t="shared" si="164"/>
        <v>0</v>
      </c>
      <c r="N268" s="27">
        <f t="shared" si="165"/>
        <v>0</v>
      </c>
      <c r="P268" s="72" t="s">
        <v>123</v>
      </c>
      <c r="Q268" s="44">
        <f t="shared" si="153"/>
        <v>7167.373971466186</v>
      </c>
      <c r="R268" s="44">
        <f t="shared" si="159"/>
        <v>35.24973429090123</v>
      </c>
      <c r="S268" s="44">
        <f t="shared" si="154"/>
        <v>3745.7502657090986</v>
      </c>
      <c r="T268" s="44">
        <f t="shared" si="155"/>
        <v>0</v>
      </c>
      <c r="U268" s="43">
        <f t="shared" si="166"/>
        <v>3421.623705757087</v>
      </c>
      <c r="W268" s="72" t="s">
        <v>123</v>
      </c>
      <c r="X268" s="44">
        <f t="shared" si="176"/>
        <v>173670.26443747003</v>
      </c>
      <c r="Y268" s="44">
        <f t="shared" si="160"/>
        <v>854.12463477178744</v>
      </c>
      <c r="Z268" s="44">
        <f t="shared" si="177"/>
        <v>2029.8753652282126</v>
      </c>
      <c r="AA268" s="44">
        <f t="shared" si="178"/>
        <v>0</v>
      </c>
      <c r="AB268" s="43">
        <f t="shared" si="167"/>
        <v>171640.38907224181</v>
      </c>
      <c r="AD268" s="72" t="s">
        <v>123</v>
      </c>
      <c r="AE268" s="44">
        <f t="shared" si="179"/>
        <v>303834.03188582294</v>
      </c>
      <c r="AF268" s="44">
        <f t="shared" si="161"/>
        <v>1528.0770748843975</v>
      </c>
      <c r="AG268" s="44">
        <f t="shared" si="180"/>
        <v>4513.922925115603</v>
      </c>
      <c r="AH268" s="44">
        <f t="shared" si="181"/>
        <v>0</v>
      </c>
      <c r="AI268" s="43">
        <f t="shared" si="168"/>
        <v>299320.10896070732</v>
      </c>
      <c r="AK268" s="101">
        <f t="shared" si="151"/>
        <v>2048</v>
      </c>
      <c r="AL268" s="101">
        <f t="shared" si="162"/>
        <v>2</v>
      </c>
      <c r="AM268" s="118">
        <f t="shared" si="182"/>
        <v>834.1719979629903</v>
      </c>
      <c r="AN268" s="100">
        <f t="shared" si="183"/>
        <v>7470.6652399438626</v>
      </c>
      <c r="AO268" s="100">
        <f t="shared" si="184"/>
        <v>13506.287526148481</v>
      </c>
      <c r="AP268" s="100">
        <f t="shared" si="185"/>
        <v>8304.8372379068533</v>
      </c>
      <c r="AQ268" s="1">
        <f t="shared" si="186"/>
        <v>53320</v>
      </c>
      <c r="AR268" s="100">
        <f t="shared" si="169"/>
        <v>175062.0127779989</v>
      </c>
      <c r="AS268" s="100">
        <f t="shared" si="170"/>
        <v>21811.124764055334</v>
      </c>
      <c r="AT268" s="100">
        <f t="shared" si="187"/>
        <v>79844.875235944666</v>
      </c>
      <c r="AU268" s="1">
        <f t="shared" si="171"/>
        <v>101656</v>
      </c>
      <c r="AV268" s="100">
        <f t="shared" si="172"/>
        <v>474382.12173870625</v>
      </c>
    </row>
    <row r="269" spans="4:48">
      <c r="D269" s="39">
        <f t="shared" si="173"/>
        <v>261</v>
      </c>
      <c r="E269" s="40">
        <f t="shared" si="152"/>
        <v>2048</v>
      </c>
      <c r="F269" s="35">
        <f t="shared" si="156"/>
        <v>54147</v>
      </c>
      <c r="G269" s="36">
        <f t="shared" si="158"/>
        <v>3</v>
      </c>
      <c r="H269" s="41">
        <f t="shared" si="157"/>
        <v>31</v>
      </c>
      <c r="I269" s="37" t="s">
        <v>123</v>
      </c>
      <c r="J269" s="27">
        <f t="shared" si="174"/>
        <v>0</v>
      </c>
      <c r="K269" s="27">
        <f t="shared" si="163"/>
        <v>0</v>
      </c>
      <c r="L269" s="27">
        <f t="shared" si="175"/>
        <v>0</v>
      </c>
      <c r="M269" s="27">
        <f t="shared" si="164"/>
        <v>0</v>
      </c>
      <c r="N269" s="27">
        <f t="shared" si="165"/>
        <v>0</v>
      </c>
      <c r="P269" s="72" t="s">
        <v>123</v>
      </c>
      <c r="Q269" s="44">
        <f t="shared" si="153"/>
        <v>3421.623705757087</v>
      </c>
      <c r="R269" s="44">
        <f t="shared" si="159"/>
        <v>17.988366380759654</v>
      </c>
      <c r="S269" s="44">
        <f t="shared" si="154"/>
        <v>3763.0116336192405</v>
      </c>
      <c r="T269" s="44">
        <f t="shared" si="155"/>
        <v>0</v>
      </c>
      <c r="U269" s="43">
        <f t="shared" si="166"/>
        <v>-341.38792786215345</v>
      </c>
      <c r="W269" s="72" t="s">
        <v>123</v>
      </c>
      <c r="X269" s="44">
        <f t="shared" si="176"/>
        <v>171640.38907224181</v>
      </c>
      <c r="Y269" s="44">
        <f t="shared" si="160"/>
        <v>902.35819887869809</v>
      </c>
      <c r="Z269" s="44">
        <f t="shared" si="177"/>
        <v>1981.6418011213018</v>
      </c>
      <c r="AA269" s="44">
        <f t="shared" si="178"/>
        <v>0</v>
      </c>
      <c r="AB269" s="43">
        <f t="shared" si="167"/>
        <v>169658.74727112052</v>
      </c>
      <c r="AD269" s="72" t="s">
        <v>123</v>
      </c>
      <c r="AE269" s="44">
        <f t="shared" si="179"/>
        <v>299320.10896070732</v>
      </c>
      <c r="AF269" s="44">
        <f t="shared" si="161"/>
        <v>1609.194109078345</v>
      </c>
      <c r="AG269" s="44">
        <f t="shared" si="180"/>
        <v>4432.8058909216552</v>
      </c>
      <c r="AH269" s="44">
        <f t="shared" si="181"/>
        <v>0</v>
      </c>
      <c r="AI269" s="43">
        <f t="shared" si="168"/>
        <v>294887.30306978564</v>
      </c>
      <c r="AK269" s="101">
        <f t="shared" si="151"/>
        <v>2048</v>
      </c>
      <c r="AL269" s="101">
        <f t="shared" si="162"/>
        <v>3</v>
      </c>
      <c r="AM269" s="118">
        <f t="shared" si="182"/>
        <v>852.16036434374996</v>
      </c>
      <c r="AN269" s="100">
        <f t="shared" si="183"/>
        <v>8373.0234388225599</v>
      </c>
      <c r="AO269" s="100">
        <f t="shared" si="184"/>
        <v>15115.481635226826</v>
      </c>
      <c r="AP269" s="100">
        <f t="shared" si="185"/>
        <v>9225.1838031663101</v>
      </c>
      <c r="AQ269" s="1">
        <f t="shared" si="186"/>
        <v>59985</v>
      </c>
      <c r="AR269" s="100">
        <f t="shared" si="169"/>
        <v>169317.35934325837</v>
      </c>
      <c r="AS269" s="100">
        <f t="shared" si="170"/>
        <v>24340.665438393138</v>
      </c>
      <c r="AT269" s="100">
        <f t="shared" si="187"/>
        <v>90022.334561606855</v>
      </c>
      <c r="AU269" s="1">
        <f t="shared" si="171"/>
        <v>114363</v>
      </c>
      <c r="AV269" s="100">
        <f t="shared" si="172"/>
        <v>464204.66241304402</v>
      </c>
    </row>
    <row r="270" spans="4:48">
      <c r="D270" s="39">
        <f t="shared" si="173"/>
        <v>262</v>
      </c>
      <c r="E270" s="40">
        <f t="shared" si="152"/>
        <v>2048</v>
      </c>
      <c r="F270" s="35">
        <f t="shared" si="156"/>
        <v>54178</v>
      </c>
      <c r="G270" s="36">
        <f t="shared" si="158"/>
        <v>4</v>
      </c>
      <c r="H270" s="41">
        <f t="shared" si="157"/>
        <v>30</v>
      </c>
      <c r="I270" s="37" t="s">
        <v>123</v>
      </c>
      <c r="J270" s="27">
        <f t="shared" si="174"/>
        <v>0</v>
      </c>
      <c r="K270" s="27">
        <f t="shared" si="163"/>
        <v>0</v>
      </c>
      <c r="L270" s="27">
        <f t="shared" si="175"/>
        <v>0</v>
      </c>
      <c r="M270" s="27">
        <f t="shared" si="164"/>
        <v>0</v>
      </c>
      <c r="N270" s="27">
        <f t="shared" si="165"/>
        <v>0</v>
      </c>
      <c r="P270" s="72" t="s">
        <v>123</v>
      </c>
      <c r="Q270" s="44">
        <f t="shared" si="153"/>
        <v>0</v>
      </c>
      <c r="R270" s="44">
        <f t="shared" si="159"/>
        <v>0</v>
      </c>
      <c r="S270" s="44">
        <f t="shared" si="154"/>
        <v>0</v>
      </c>
      <c r="T270" s="44">
        <f t="shared" si="155"/>
        <v>0</v>
      </c>
      <c r="U270" s="43">
        <f t="shared" si="166"/>
        <v>0</v>
      </c>
      <c r="W270" s="72" t="s">
        <v>123</v>
      </c>
      <c r="X270" s="44">
        <f t="shared" si="176"/>
        <v>169658.74727112052</v>
      </c>
      <c r="Y270" s="44">
        <f t="shared" si="160"/>
        <v>863.16792789718033</v>
      </c>
      <c r="Z270" s="44">
        <f t="shared" si="177"/>
        <v>2020.8320721028197</v>
      </c>
      <c r="AA270" s="44">
        <f t="shared" si="178"/>
        <v>0</v>
      </c>
      <c r="AB270" s="43">
        <f t="shared" si="167"/>
        <v>167637.91519901771</v>
      </c>
      <c r="AD270" s="72" t="s">
        <v>123</v>
      </c>
      <c r="AE270" s="44">
        <f t="shared" si="179"/>
        <v>294887.30306978564</v>
      </c>
      <c r="AF270" s="44">
        <f t="shared" si="161"/>
        <v>1534.2218863822548</v>
      </c>
      <c r="AG270" s="44">
        <f t="shared" si="180"/>
        <v>4507.7781136177455</v>
      </c>
      <c r="AH270" s="44">
        <f t="shared" si="181"/>
        <v>0</v>
      </c>
      <c r="AI270" s="43">
        <f t="shared" si="168"/>
        <v>290379.52495616791</v>
      </c>
      <c r="AK270" s="101">
        <f t="shared" si="151"/>
        <v>2048</v>
      </c>
      <c r="AL270" s="101">
        <f t="shared" si="162"/>
        <v>4</v>
      </c>
      <c r="AM270" s="118">
        <f t="shared" si="182"/>
        <v>852.16036434374996</v>
      </c>
      <c r="AN270" s="100">
        <f t="shared" si="183"/>
        <v>9236.1913667197405</v>
      </c>
      <c r="AO270" s="100">
        <f t="shared" si="184"/>
        <v>16649.703521609081</v>
      </c>
      <c r="AP270" s="100">
        <f t="shared" si="185"/>
        <v>10088.351731063491</v>
      </c>
      <c r="AQ270" s="1">
        <f t="shared" si="186"/>
        <v>62869</v>
      </c>
      <c r="AR270" s="100">
        <f t="shared" si="169"/>
        <v>167637.91519901771</v>
      </c>
      <c r="AS270" s="100">
        <f t="shared" si="170"/>
        <v>26738.055252672573</v>
      </c>
      <c r="AT270" s="100">
        <f t="shared" si="187"/>
        <v>96550.944747327419</v>
      </c>
      <c r="AU270" s="1">
        <f t="shared" si="171"/>
        <v>123289</v>
      </c>
      <c r="AV270" s="100">
        <f t="shared" si="172"/>
        <v>458017.44015518564</v>
      </c>
    </row>
    <row r="271" spans="4:48">
      <c r="D271" s="39">
        <f t="shared" si="173"/>
        <v>263</v>
      </c>
      <c r="E271" s="40">
        <f t="shared" si="152"/>
        <v>2048</v>
      </c>
      <c r="F271" s="35">
        <f t="shared" si="156"/>
        <v>54208</v>
      </c>
      <c r="G271" s="36">
        <f t="shared" si="158"/>
        <v>5</v>
      </c>
      <c r="H271" s="41">
        <f t="shared" si="157"/>
        <v>31</v>
      </c>
      <c r="I271" s="37" t="s">
        <v>123</v>
      </c>
      <c r="J271" s="27">
        <f t="shared" si="174"/>
        <v>0</v>
      </c>
      <c r="K271" s="27">
        <f t="shared" si="163"/>
        <v>0</v>
      </c>
      <c r="L271" s="27">
        <f t="shared" si="175"/>
        <v>0</v>
      </c>
      <c r="M271" s="27">
        <f t="shared" si="164"/>
        <v>0</v>
      </c>
      <c r="N271" s="27">
        <f t="shared" si="165"/>
        <v>0</v>
      </c>
      <c r="P271" s="72" t="s">
        <v>123</v>
      </c>
      <c r="Q271" s="44">
        <f t="shared" si="153"/>
        <v>0</v>
      </c>
      <c r="R271" s="44">
        <f t="shared" si="159"/>
        <v>0</v>
      </c>
      <c r="S271" s="44">
        <f t="shared" si="154"/>
        <v>0</v>
      </c>
      <c r="T271" s="44">
        <f t="shared" si="155"/>
        <v>0</v>
      </c>
      <c r="U271" s="43">
        <f t="shared" si="166"/>
        <v>0</v>
      </c>
      <c r="W271" s="72" t="s">
        <v>123</v>
      </c>
      <c r="X271" s="44">
        <f t="shared" si="176"/>
        <v>167637.91519901771</v>
      </c>
      <c r="Y271" s="44">
        <f t="shared" si="160"/>
        <v>881.31615198738382</v>
      </c>
      <c r="Z271" s="44">
        <f t="shared" si="177"/>
        <v>2002.6838480126162</v>
      </c>
      <c r="AA271" s="44">
        <f t="shared" si="178"/>
        <v>0</v>
      </c>
      <c r="AB271" s="43">
        <f t="shared" si="167"/>
        <v>165635.23135100509</v>
      </c>
      <c r="AD271" s="72" t="s">
        <v>123</v>
      </c>
      <c r="AE271" s="44">
        <f t="shared" si="179"/>
        <v>290379.52495616791</v>
      </c>
      <c r="AF271" s="44">
        <f t="shared" si="161"/>
        <v>1561.1280597848993</v>
      </c>
      <c r="AG271" s="44">
        <f t="shared" si="180"/>
        <v>4480.8719402151009</v>
      </c>
      <c r="AH271" s="44">
        <f t="shared" si="181"/>
        <v>0</v>
      </c>
      <c r="AI271" s="43">
        <f t="shared" si="168"/>
        <v>285898.65301595279</v>
      </c>
      <c r="AK271" s="101">
        <f t="shared" si="151"/>
        <v>2048</v>
      </c>
      <c r="AL271" s="101">
        <f t="shared" si="162"/>
        <v>5</v>
      </c>
      <c r="AM271" s="118">
        <f t="shared" si="182"/>
        <v>852.16036434374996</v>
      </c>
      <c r="AN271" s="100">
        <f t="shared" si="183"/>
        <v>10117.507518707123</v>
      </c>
      <c r="AO271" s="100">
        <f t="shared" si="184"/>
        <v>18210.831581393981</v>
      </c>
      <c r="AP271" s="100">
        <f t="shared" si="185"/>
        <v>10969.667883050874</v>
      </c>
      <c r="AQ271" s="1">
        <f t="shared" si="186"/>
        <v>65753</v>
      </c>
      <c r="AR271" s="100">
        <f t="shared" si="169"/>
        <v>165635.23135100509</v>
      </c>
      <c r="AS271" s="100">
        <f t="shared" si="170"/>
        <v>29180.499464444852</v>
      </c>
      <c r="AT271" s="100">
        <f t="shared" si="187"/>
        <v>103034.50053555514</v>
      </c>
      <c r="AU271" s="1">
        <f t="shared" si="171"/>
        <v>132215</v>
      </c>
      <c r="AV271" s="100">
        <f t="shared" si="172"/>
        <v>451533.88436695788</v>
      </c>
    </row>
    <row r="272" spans="4:48">
      <c r="D272" s="39">
        <f t="shared" si="173"/>
        <v>264</v>
      </c>
      <c r="E272" s="40">
        <f t="shared" si="152"/>
        <v>2048</v>
      </c>
      <c r="F272" s="35">
        <f t="shared" si="156"/>
        <v>54239</v>
      </c>
      <c r="G272" s="36">
        <f t="shared" si="158"/>
        <v>6</v>
      </c>
      <c r="H272" s="41">
        <f t="shared" si="157"/>
        <v>30</v>
      </c>
      <c r="I272" s="37" t="s">
        <v>123</v>
      </c>
      <c r="J272" s="27">
        <f t="shared" si="174"/>
        <v>0</v>
      </c>
      <c r="K272" s="27">
        <f t="shared" si="163"/>
        <v>0</v>
      </c>
      <c r="L272" s="27">
        <f t="shared" si="175"/>
        <v>0</v>
      </c>
      <c r="M272" s="27">
        <f t="shared" si="164"/>
        <v>0</v>
      </c>
      <c r="N272" s="27">
        <f t="shared" si="165"/>
        <v>0</v>
      </c>
      <c r="P272" s="72" t="s">
        <v>123</v>
      </c>
      <c r="Q272" s="44">
        <f t="shared" si="153"/>
        <v>0</v>
      </c>
      <c r="R272" s="44">
        <f t="shared" si="159"/>
        <v>0</v>
      </c>
      <c r="S272" s="44">
        <f t="shared" si="154"/>
        <v>0</v>
      </c>
      <c r="T272" s="44">
        <f t="shared" si="155"/>
        <v>0</v>
      </c>
      <c r="U272" s="43">
        <f t="shared" si="166"/>
        <v>0</v>
      </c>
      <c r="W272" s="72" t="s">
        <v>123</v>
      </c>
      <c r="X272" s="44">
        <f t="shared" si="176"/>
        <v>165635.23135100509</v>
      </c>
      <c r="Y272" s="44">
        <f t="shared" si="160"/>
        <v>842.69760169538745</v>
      </c>
      <c r="Z272" s="44">
        <f t="shared" si="177"/>
        <v>2041.3023983046126</v>
      </c>
      <c r="AA272" s="44">
        <f t="shared" si="178"/>
        <v>0</v>
      </c>
      <c r="AB272" s="43">
        <f t="shared" si="167"/>
        <v>163593.92895270049</v>
      </c>
      <c r="AD272" s="72" t="s">
        <v>123</v>
      </c>
      <c r="AE272" s="44">
        <f t="shared" si="179"/>
        <v>285898.65301595279</v>
      </c>
      <c r="AF272" s="44">
        <f t="shared" si="161"/>
        <v>1487.4562796638202</v>
      </c>
      <c r="AG272" s="44">
        <f t="shared" si="180"/>
        <v>4554.5437203361798</v>
      </c>
      <c r="AH272" s="44">
        <f t="shared" si="181"/>
        <v>0</v>
      </c>
      <c r="AI272" s="43">
        <f t="shared" si="168"/>
        <v>281344.10929561662</v>
      </c>
      <c r="AK272" s="101">
        <f t="shared" si="151"/>
        <v>2048</v>
      </c>
      <c r="AL272" s="101">
        <f t="shared" si="162"/>
        <v>6</v>
      </c>
      <c r="AM272" s="118">
        <f t="shared" si="182"/>
        <v>852.16036434374996</v>
      </c>
      <c r="AN272" s="100">
        <f t="shared" si="183"/>
        <v>10960.20512040251</v>
      </c>
      <c r="AO272" s="100">
        <f t="shared" si="184"/>
        <v>19698.287861057801</v>
      </c>
      <c r="AP272" s="100">
        <f t="shared" si="185"/>
        <v>11812.36548474626</v>
      </c>
      <c r="AQ272" s="1">
        <f t="shared" si="186"/>
        <v>68637</v>
      </c>
      <c r="AR272" s="100">
        <f t="shared" si="169"/>
        <v>163593.92895270049</v>
      </c>
      <c r="AS272" s="100">
        <f t="shared" si="170"/>
        <v>31510.653345804061</v>
      </c>
      <c r="AT272" s="100">
        <f t="shared" si="187"/>
        <v>109630.34665419594</v>
      </c>
      <c r="AU272" s="1">
        <f t="shared" si="171"/>
        <v>141141</v>
      </c>
      <c r="AV272" s="100">
        <f t="shared" si="172"/>
        <v>444938.03824831708</v>
      </c>
    </row>
    <row r="273" spans="4:48">
      <c r="D273" s="39">
        <f t="shared" si="173"/>
        <v>265</v>
      </c>
      <c r="E273" s="40">
        <f t="shared" si="152"/>
        <v>2049</v>
      </c>
      <c r="F273" s="35">
        <f t="shared" si="156"/>
        <v>54269</v>
      </c>
      <c r="G273" s="36">
        <f t="shared" si="158"/>
        <v>7</v>
      </c>
      <c r="H273" s="41">
        <f t="shared" si="157"/>
        <v>31</v>
      </c>
      <c r="I273" s="37" t="s">
        <v>123</v>
      </c>
      <c r="J273" s="27">
        <f t="shared" si="174"/>
        <v>0</v>
      </c>
      <c r="K273" s="27">
        <f t="shared" si="163"/>
        <v>0</v>
      </c>
      <c r="L273" s="27">
        <f t="shared" si="175"/>
        <v>0</v>
      </c>
      <c r="M273" s="27">
        <f t="shared" si="164"/>
        <v>0</v>
      </c>
      <c r="N273" s="27">
        <f t="shared" si="165"/>
        <v>0</v>
      </c>
      <c r="P273" s="72" t="s">
        <v>123</v>
      </c>
      <c r="Q273" s="44">
        <f t="shared" si="153"/>
        <v>0</v>
      </c>
      <c r="R273" s="44">
        <f t="shared" si="159"/>
        <v>0</v>
      </c>
      <c r="S273" s="44">
        <f t="shared" si="154"/>
        <v>0</v>
      </c>
      <c r="T273" s="44">
        <f t="shared" si="155"/>
        <v>0</v>
      </c>
      <c r="U273" s="43">
        <f t="shared" si="166"/>
        <v>0</v>
      </c>
      <c r="W273" s="72" t="s">
        <v>123</v>
      </c>
      <c r="X273" s="44">
        <f t="shared" si="176"/>
        <v>163593.92895270049</v>
      </c>
      <c r="Y273" s="44">
        <f t="shared" si="160"/>
        <v>860.05586374612858</v>
      </c>
      <c r="Z273" s="44">
        <f t="shared" si="177"/>
        <v>2023.9441362538714</v>
      </c>
      <c r="AA273" s="44">
        <f t="shared" si="178"/>
        <v>0</v>
      </c>
      <c r="AB273" s="43">
        <f t="shared" si="167"/>
        <v>161569.98481644661</v>
      </c>
      <c r="AD273" s="72" t="s">
        <v>123</v>
      </c>
      <c r="AE273" s="44">
        <f t="shared" si="179"/>
        <v>281344.10929561662</v>
      </c>
      <c r="AF273" s="44">
        <f t="shared" si="161"/>
        <v>1512.5521799199685</v>
      </c>
      <c r="AG273" s="44">
        <f t="shared" si="180"/>
        <v>4529.4478200800313</v>
      </c>
      <c r="AH273" s="44">
        <f t="shared" si="181"/>
        <v>0</v>
      </c>
      <c r="AI273" s="43">
        <f t="shared" si="168"/>
        <v>276814.66147553659</v>
      </c>
      <c r="AK273" s="101">
        <f t="shared" si="151"/>
        <v>2049</v>
      </c>
      <c r="AL273" s="101">
        <f t="shared" si="162"/>
        <v>7</v>
      </c>
      <c r="AM273" s="118">
        <f t="shared" si="182"/>
        <v>0</v>
      </c>
      <c r="AN273" s="100">
        <f t="shared" si="183"/>
        <v>860.05586374612858</v>
      </c>
      <c r="AO273" s="100">
        <f t="shared" si="184"/>
        <v>1512.5521799199685</v>
      </c>
      <c r="AP273" s="100">
        <f t="shared" si="185"/>
        <v>860.05586374612858</v>
      </c>
      <c r="AQ273" s="1">
        <f t="shared" si="186"/>
        <v>2884</v>
      </c>
      <c r="AR273" s="100">
        <f t="shared" si="169"/>
        <v>161569.98481644661</v>
      </c>
      <c r="AS273" s="100">
        <f t="shared" si="170"/>
        <v>2372.6080436660968</v>
      </c>
      <c r="AT273" s="100">
        <f t="shared" si="187"/>
        <v>6553.3919563339023</v>
      </c>
      <c r="AU273" s="1">
        <f t="shared" si="171"/>
        <v>8926</v>
      </c>
      <c r="AV273" s="100">
        <f t="shared" si="172"/>
        <v>438384.6462919832</v>
      </c>
    </row>
    <row r="274" spans="4:48">
      <c r="D274" s="39">
        <f t="shared" si="173"/>
        <v>266</v>
      </c>
      <c r="E274" s="40">
        <f t="shared" si="152"/>
        <v>2049</v>
      </c>
      <c r="F274" s="35">
        <f t="shared" si="156"/>
        <v>54300</v>
      </c>
      <c r="G274" s="36">
        <f t="shared" si="158"/>
        <v>8</v>
      </c>
      <c r="H274" s="41">
        <f t="shared" si="157"/>
        <v>31</v>
      </c>
      <c r="I274" s="37" t="s">
        <v>123</v>
      </c>
      <c r="J274" s="27">
        <f t="shared" si="174"/>
        <v>0</v>
      </c>
      <c r="K274" s="27">
        <f t="shared" si="163"/>
        <v>0</v>
      </c>
      <c r="L274" s="27">
        <f t="shared" si="175"/>
        <v>0</v>
      </c>
      <c r="M274" s="27">
        <f t="shared" si="164"/>
        <v>0</v>
      </c>
      <c r="N274" s="27">
        <f t="shared" si="165"/>
        <v>0</v>
      </c>
      <c r="P274" s="72" t="s">
        <v>123</v>
      </c>
      <c r="Q274" s="44">
        <f t="shared" si="153"/>
        <v>0</v>
      </c>
      <c r="R274" s="44">
        <f t="shared" si="159"/>
        <v>0</v>
      </c>
      <c r="S274" s="44">
        <f t="shared" si="154"/>
        <v>0</v>
      </c>
      <c r="T274" s="44">
        <f t="shared" si="155"/>
        <v>0</v>
      </c>
      <c r="U274" s="43">
        <f t="shared" si="166"/>
        <v>0</v>
      </c>
      <c r="W274" s="72" t="s">
        <v>123</v>
      </c>
      <c r="X274" s="44">
        <f t="shared" si="176"/>
        <v>161569.98481644661</v>
      </c>
      <c r="Y274" s="44">
        <f t="shared" si="160"/>
        <v>849.41546264186127</v>
      </c>
      <c r="Z274" s="44">
        <f t="shared" si="177"/>
        <v>2034.5845373581387</v>
      </c>
      <c r="AA274" s="44">
        <f t="shared" si="178"/>
        <v>0</v>
      </c>
      <c r="AB274" s="43">
        <f t="shared" si="167"/>
        <v>159535.40027908847</v>
      </c>
      <c r="AD274" s="72" t="s">
        <v>123</v>
      </c>
      <c r="AE274" s="44">
        <f t="shared" si="179"/>
        <v>276814.66147553659</v>
      </c>
      <c r="AF274" s="44">
        <f t="shared" si="161"/>
        <v>1488.2011238724533</v>
      </c>
      <c r="AG274" s="44">
        <f t="shared" si="180"/>
        <v>4553.7988761275465</v>
      </c>
      <c r="AH274" s="44">
        <f t="shared" si="181"/>
        <v>0</v>
      </c>
      <c r="AI274" s="43">
        <f t="shared" si="168"/>
        <v>272260.86259940907</v>
      </c>
      <c r="AK274" s="101">
        <f t="shared" si="151"/>
        <v>2049</v>
      </c>
      <c r="AL274" s="101">
        <f t="shared" si="162"/>
        <v>8</v>
      </c>
      <c r="AM274" s="118">
        <f t="shared" si="182"/>
        <v>0</v>
      </c>
      <c r="AN274" s="100">
        <f t="shared" si="183"/>
        <v>1709.4713263879898</v>
      </c>
      <c r="AO274" s="100">
        <f t="shared" si="184"/>
        <v>3000.7533037924218</v>
      </c>
      <c r="AP274" s="100">
        <f t="shared" si="185"/>
        <v>1709.4713263879898</v>
      </c>
      <c r="AQ274" s="1">
        <f t="shared" si="186"/>
        <v>5768</v>
      </c>
      <c r="AR274" s="100">
        <f t="shared" si="169"/>
        <v>159535.40027908847</v>
      </c>
      <c r="AS274" s="100">
        <f t="shared" si="170"/>
        <v>4710.2246301804116</v>
      </c>
      <c r="AT274" s="100">
        <f t="shared" si="187"/>
        <v>13141.775369819587</v>
      </c>
      <c r="AU274" s="1">
        <f t="shared" si="171"/>
        <v>17852</v>
      </c>
      <c r="AV274" s="100">
        <f t="shared" si="172"/>
        <v>431796.26287849754</v>
      </c>
    </row>
    <row r="275" spans="4:48">
      <c r="D275" s="39">
        <f t="shared" si="173"/>
        <v>267</v>
      </c>
      <c r="E275" s="40">
        <f t="shared" si="152"/>
        <v>2049</v>
      </c>
      <c r="F275" s="35">
        <f t="shared" si="156"/>
        <v>54331</v>
      </c>
      <c r="G275" s="36">
        <f t="shared" si="158"/>
        <v>9</v>
      </c>
      <c r="H275" s="41">
        <f t="shared" si="157"/>
        <v>30</v>
      </c>
      <c r="I275" s="37" t="s">
        <v>123</v>
      </c>
      <c r="J275" s="27">
        <f t="shared" si="174"/>
        <v>0</v>
      </c>
      <c r="K275" s="27">
        <f t="shared" si="163"/>
        <v>0</v>
      </c>
      <c r="L275" s="27">
        <f t="shared" si="175"/>
        <v>0</v>
      </c>
      <c r="M275" s="27">
        <f t="shared" si="164"/>
        <v>0</v>
      </c>
      <c r="N275" s="27">
        <f t="shared" si="165"/>
        <v>0</v>
      </c>
      <c r="P275" s="72" t="s">
        <v>123</v>
      </c>
      <c r="Q275" s="44">
        <f t="shared" si="153"/>
        <v>0</v>
      </c>
      <c r="R275" s="44">
        <f t="shared" si="159"/>
        <v>0</v>
      </c>
      <c r="S275" s="44">
        <f t="shared" si="154"/>
        <v>0</v>
      </c>
      <c r="T275" s="44">
        <f t="shared" si="155"/>
        <v>0</v>
      </c>
      <c r="U275" s="43">
        <f t="shared" si="166"/>
        <v>0</v>
      </c>
      <c r="W275" s="72" t="s">
        <v>123</v>
      </c>
      <c r="X275" s="44">
        <f t="shared" si="176"/>
        <v>159535.40027908847</v>
      </c>
      <c r="Y275" s="44">
        <f t="shared" si="160"/>
        <v>811.66366662538974</v>
      </c>
      <c r="Z275" s="44">
        <f t="shared" si="177"/>
        <v>2072.3363333746101</v>
      </c>
      <c r="AA275" s="44">
        <f t="shared" si="178"/>
        <v>0</v>
      </c>
      <c r="AB275" s="43">
        <f t="shared" si="167"/>
        <v>157463.06394571386</v>
      </c>
      <c r="AD275" s="72" t="s">
        <v>123</v>
      </c>
      <c r="AE275" s="44">
        <f t="shared" si="179"/>
        <v>272260.86259940907</v>
      </c>
      <c r="AF275" s="44">
        <f t="shared" si="161"/>
        <v>1416.5024056884322</v>
      </c>
      <c r="AG275" s="44">
        <f t="shared" si="180"/>
        <v>4625.4975943115678</v>
      </c>
      <c r="AH275" s="44">
        <f t="shared" si="181"/>
        <v>0</v>
      </c>
      <c r="AI275" s="43">
        <f t="shared" si="168"/>
        <v>267635.36500509753</v>
      </c>
      <c r="AK275" s="101">
        <f t="shared" si="151"/>
        <v>2049</v>
      </c>
      <c r="AL275" s="101">
        <f t="shared" si="162"/>
        <v>9</v>
      </c>
      <c r="AM275" s="118">
        <f t="shared" si="182"/>
        <v>0</v>
      </c>
      <c r="AN275" s="100">
        <f t="shared" si="183"/>
        <v>2521.1349930133797</v>
      </c>
      <c r="AO275" s="100">
        <f t="shared" si="184"/>
        <v>4417.2557094808544</v>
      </c>
      <c r="AP275" s="100">
        <f t="shared" si="185"/>
        <v>2521.1349930133797</v>
      </c>
      <c r="AQ275" s="1">
        <f t="shared" si="186"/>
        <v>8652</v>
      </c>
      <c r="AR275" s="100">
        <f t="shared" si="169"/>
        <v>157463.06394571386</v>
      </c>
      <c r="AS275" s="100">
        <f t="shared" si="170"/>
        <v>6938.3907024942346</v>
      </c>
      <c r="AT275" s="100">
        <f t="shared" si="187"/>
        <v>19839.609297505765</v>
      </c>
      <c r="AU275" s="1">
        <f t="shared" si="171"/>
        <v>26778</v>
      </c>
      <c r="AV275" s="100">
        <f t="shared" si="172"/>
        <v>425098.42895081139</v>
      </c>
    </row>
    <row r="276" spans="4:48">
      <c r="D276" s="39">
        <f t="shared" si="173"/>
        <v>268</v>
      </c>
      <c r="E276" s="40">
        <f t="shared" si="152"/>
        <v>2049</v>
      </c>
      <c r="F276" s="35">
        <f t="shared" si="156"/>
        <v>54361</v>
      </c>
      <c r="G276" s="36">
        <f t="shared" si="158"/>
        <v>10</v>
      </c>
      <c r="H276" s="41">
        <f t="shared" si="157"/>
        <v>31</v>
      </c>
      <c r="I276" s="37" t="s">
        <v>123</v>
      </c>
      <c r="J276" s="27">
        <f t="shared" si="174"/>
        <v>0</v>
      </c>
      <c r="K276" s="27">
        <f t="shared" si="163"/>
        <v>0</v>
      </c>
      <c r="L276" s="27">
        <f t="shared" si="175"/>
        <v>0</v>
      </c>
      <c r="M276" s="27">
        <f t="shared" si="164"/>
        <v>0</v>
      </c>
      <c r="N276" s="27">
        <f t="shared" si="165"/>
        <v>0</v>
      </c>
      <c r="P276" s="72" t="s">
        <v>123</v>
      </c>
      <c r="Q276" s="44">
        <f t="shared" si="153"/>
        <v>0</v>
      </c>
      <c r="R276" s="44">
        <f t="shared" si="159"/>
        <v>0</v>
      </c>
      <c r="S276" s="44">
        <f t="shared" si="154"/>
        <v>0</v>
      </c>
      <c r="T276" s="44">
        <f t="shared" si="155"/>
        <v>0</v>
      </c>
      <c r="U276" s="43">
        <f t="shared" si="166"/>
        <v>0</v>
      </c>
      <c r="W276" s="72" t="s">
        <v>123</v>
      </c>
      <c r="X276" s="44">
        <f t="shared" si="176"/>
        <v>157463.06394571386</v>
      </c>
      <c r="Y276" s="44">
        <f t="shared" si="160"/>
        <v>827.82431069980908</v>
      </c>
      <c r="Z276" s="44">
        <f t="shared" si="177"/>
        <v>2056.1756893001912</v>
      </c>
      <c r="AA276" s="44">
        <f t="shared" si="178"/>
        <v>0</v>
      </c>
      <c r="AB276" s="43">
        <f t="shared" si="167"/>
        <v>155406.88825641366</v>
      </c>
      <c r="AD276" s="72" t="s">
        <v>123</v>
      </c>
      <c r="AE276" s="44">
        <f t="shared" si="179"/>
        <v>267635.36500509753</v>
      </c>
      <c r="AF276" s="44">
        <f t="shared" si="161"/>
        <v>1438.8517171219255</v>
      </c>
      <c r="AG276" s="44">
        <f t="shared" si="180"/>
        <v>4603.1482828780745</v>
      </c>
      <c r="AH276" s="44">
        <f t="shared" si="181"/>
        <v>0</v>
      </c>
      <c r="AI276" s="43">
        <f t="shared" si="168"/>
        <v>263032.21672221943</v>
      </c>
      <c r="AK276" s="101">
        <f t="shared" si="151"/>
        <v>2049</v>
      </c>
      <c r="AL276" s="101">
        <f t="shared" si="162"/>
        <v>10</v>
      </c>
      <c r="AM276" s="118">
        <f t="shared" si="182"/>
        <v>0</v>
      </c>
      <c r="AN276" s="100">
        <f t="shared" si="183"/>
        <v>3348.959303713189</v>
      </c>
      <c r="AO276" s="100">
        <f t="shared" si="184"/>
        <v>5856.1074266027799</v>
      </c>
      <c r="AP276" s="100">
        <f t="shared" si="185"/>
        <v>3348.959303713189</v>
      </c>
      <c r="AQ276" s="1">
        <f t="shared" si="186"/>
        <v>11536</v>
      </c>
      <c r="AR276" s="100">
        <f t="shared" si="169"/>
        <v>155406.88825641366</v>
      </c>
      <c r="AS276" s="100">
        <f t="shared" si="170"/>
        <v>9205.066730315968</v>
      </c>
      <c r="AT276" s="100">
        <f t="shared" si="187"/>
        <v>26498.933269684032</v>
      </c>
      <c r="AU276" s="1">
        <f t="shared" si="171"/>
        <v>35704</v>
      </c>
      <c r="AV276" s="100">
        <f t="shared" si="172"/>
        <v>418439.10497863311</v>
      </c>
    </row>
    <row r="277" spans="4:48">
      <c r="D277" s="39">
        <f t="shared" si="173"/>
        <v>269</v>
      </c>
      <c r="E277" s="40">
        <f t="shared" si="152"/>
        <v>2049</v>
      </c>
      <c r="F277" s="35">
        <f t="shared" si="156"/>
        <v>54392</v>
      </c>
      <c r="G277" s="36">
        <f t="shared" si="158"/>
        <v>11</v>
      </c>
      <c r="H277" s="41">
        <f t="shared" si="157"/>
        <v>30</v>
      </c>
      <c r="I277" s="37" t="s">
        <v>123</v>
      </c>
      <c r="J277" s="27">
        <f t="shared" si="174"/>
        <v>0</v>
      </c>
      <c r="K277" s="27">
        <f t="shared" si="163"/>
        <v>0</v>
      </c>
      <c r="L277" s="27">
        <f t="shared" si="175"/>
        <v>0</v>
      </c>
      <c r="M277" s="27">
        <f t="shared" si="164"/>
        <v>0</v>
      </c>
      <c r="N277" s="27">
        <f t="shared" si="165"/>
        <v>0</v>
      </c>
      <c r="P277" s="72" t="s">
        <v>123</v>
      </c>
      <c r="Q277" s="44">
        <f t="shared" si="153"/>
        <v>0</v>
      </c>
      <c r="R277" s="44">
        <f t="shared" si="159"/>
        <v>0</v>
      </c>
      <c r="S277" s="44">
        <f t="shared" si="154"/>
        <v>0</v>
      </c>
      <c r="T277" s="44">
        <f t="shared" si="155"/>
        <v>0</v>
      </c>
      <c r="U277" s="43">
        <f t="shared" si="166"/>
        <v>0</v>
      </c>
      <c r="W277" s="72" t="s">
        <v>123</v>
      </c>
      <c r="X277" s="44">
        <f t="shared" si="176"/>
        <v>155406.88825641366</v>
      </c>
      <c r="Y277" s="44">
        <f t="shared" si="160"/>
        <v>790.65915477304156</v>
      </c>
      <c r="Z277" s="44">
        <f t="shared" si="177"/>
        <v>2093.3408452269587</v>
      </c>
      <c r="AA277" s="44">
        <f t="shared" si="178"/>
        <v>0</v>
      </c>
      <c r="AB277" s="43">
        <f t="shared" si="167"/>
        <v>153313.54741118671</v>
      </c>
      <c r="AD277" s="72" t="s">
        <v>123</v>
      </c>
      <c r="AE277" s="44">
        <f t="shared" si="179"/>
        <v>263032.21672221943</v>
      </c>
      <c r="AF277" s="44">
        <f t="shared" si="161"/>
        <v>1368.4881631657386</v>
      </c>
      <c r="AG277" s="44">
        <f t="shared" si="180"/>
        <v>4673.511836834261</v>
      </c>
      <c r="AH277" s="44">
        <f t="shared" si="181"/>
        <v>0</v>
      </c>
      <c r="AI277" s="43">
        <f t="shared" si="168"/>
        <v>258358.70488538517</v>
      </c>
      <c r="AK277" s="101">
        <f t="shared" si="151"/>
        <v>2049</v>
      </c>
      <c r="AL277" s="101">
        <f t="shared" si="162"/>
        <v>11</v>
      </c>
      <c r="AM277" s="118">
        <f t="shared" si="182"/>
        <v>0</v>
      </c>
      <c r="AN277" s="100">
        <f t="shared" si="183"/>
        <v>4139.6184584862303</v>
      </c>
      <c r="AO277" s="100">
        <f t="shared" si="184"/>
        <v>7224.595589768518</v>
      </c>
      <c r="AP277" s="100">
        <f t="shared" si="185"/>
        <v>4139.6184584862303</v>
      </c>
      <c r="AQ277" s="1">
        <f t="shared" si="186"/>
        <v>14420</v>
      </c>
      <c r="AR277" s="100">
        <f t="shared" si="169"/>
        <v>153313.54741118671</v>
      </c>
      <c r="AS277" s="100">
        <f t="shared" si="170"/>
        <v>11364.214048254747</v>
      </c>
      <c r="AT277" s="100">
        <f t="shared" si="187"/>
        <v>33265.785951745253</v>
      </c>
      <c r="AU277" s="1">
        <f t="shared" si="171"/>
        <v>44630</v>
      </c>
      <c r="AV277" s="100">
        <f t="shared" si="172"/>
        <v>411672.25229657185</v>
      </c>
    </row>
    <row r="278" spans="4:48">
      <c r="D278" s="39">
        <f t="shared" si="173"/>
        <v>270</v>
      </c>
      <c r="E278" s="40">
        <f t="shared" si="152"/>
        <v>2049</v>
      </c>
      <c r="F278" s="35">
        <f t="shared" si="156"/>
        <v>54422</v>
      </c>
      <c r="G278" s="36">
        <f t="shared" si="158"/>
        <v>12</v>
      </c>
      <c r="H278" s="41">
        <f t="shared" si="157"/>
        <v>31</v>
      </c>
      <c r="I278" s="37" t="s">
        <v>123</v>
      </c>
      <c r="J278" s="27">
        <f t="shared" si="174"/>
        <v>0</v>
      </c>
      <c r="K278" s="27">
        <f t="shared" si="163"/>
        <v>0</v>
      </c>
      <c r="L278" s="27">
        <f t="shared" si="175"/>
        <v>0</v>
      </c>
      <c r="M278" s="27">
        <f t="shared" si="164"/>
        <v>0</v>
      </c>
      <c r="N278" s="27">
        <f t="shared" si="165"/>
        <v>0</v>
      </c>
      <c r="P278" s="72" t="s">
        <v>123</v>
      </c>
      <c r="Q278" s="44">
        <f t="shared" si="153"/>
        <v>0</v>
      </c>
      <c r="R278" s="44">
        <f t="shared" si="159"/>
        <v>0</v>
      </c>
      <c r="S278" s="44">
        <f t="shared" si="154"/>
        <v>0</v>
      </c>
      <c r="T278" s="44">
        <f t="shared" si="155"/>
        <v>0</v>
      </c>
      <c r="U278" s="43">
        <f t="shared" si="166"/>
        <v>0</v>
      </c>
      <c r="W278" s="72" t="s">
        <v>123</v>
      </c>
      <c r="X278" s="44">
        <f t="shared" si="176"/>
        <v>153313.54741118671</v>
      </c>
      <c r="Y278" s="44">
        <f t="shared" si="160"/>
        <v>806.00922226664716</v>
      </c>
      <c r="Z278" s="44">
        <f t="shared" si="177"/>
        <v>2077.9907777333528</v>
      </c>
      <c r="AA278" s="44">
        <f t="shared" si="178"/>
        <v>0</v>
      </c>
      <c r="AB278" s="43">
        <f t="shared" si="167"/>
        <v>151235.55663345335</v>
      </c>
      <c r="AD278" s="72" t="s">
        <v>123</v>
      </c>
      <c r="AE278" s="44">
        <f t="shared" si="179"/>
        <v>258358.70488538517</v>
      </c>
      <c r="AF278" s="44">
        <f t="shared" si="161"/>
        <v>1388.9788673879214</v>
      </c>
      <c r="AG278" s="44">
        <f t="shared" si="180"/>
        <v>4653.0211326120789</v>
      </c>
      <c r="AH278" s="44">
        <f t="shared" si="181"/>
        <v>0</v>
      </c>
      <c r="AI278" s="43">
        <f t="shared" si="168"/>
        <v>253705.6837527731</v>
      </c>
      <c r="AK278" s="101">
        <f t="shared" si="151"/>
        <v>2049</v>
      </c>
      <c r="AL278" s="101">
        <f t="shared" si="162"/>
        <v>12</v>
      </c>
      <c r="AM278" s="118">
        <f t="shared" si="182"/>
        <v>0</v>
      </c>
      <c r="AN278" s="100">
        <f t="shared" si="183"/>
        <v>4945.6276807528775</v>
      </c>
      <c r="AO278" s="100">
        <f t="shared" si="184"/>
        <v>8613.5744571564392</v>
      </c>
      <c r="AP278" s="100">
        <f t="shared" si="185"/>
        <v>4945.6276807528775</v>
      </c>
      <c r="AQ278" s="1">
        <f t="shared" si="186"/>
        <v>17304</v>
      </c>
      <c r="AR278" s="100">
        <f t="shared" si="169"/>
        <v>151235.55663345335</v>
      </c>
      <c r="AS278" s="100">
        <f t="shared" si="170"/>
        <v>13559.202137909317</v>
      </c>
      <c r="AT278" s="100">
        <f t="shared" si="187"/>
        <v>39996.79786209068</v>
      </c>
      <c r="AU278" s="1">
        <f t="shared" si="171"/>
        <v>53556</v>
      </c>
      <c r="AV278" s="100">
        <f t="shared" si="172"/>
        <v>404941.24038622645</v>
      </c>
    </row>
    <row r="279" spans="4:48">
      <c r="D279" s="39">
        <f t="shared" si="173"/>
        <v>271</v>
      </c>
      <c r="E279" s="40">
        <f t="shared" si="152"/>
        <v>2049</v>
      </c>
      <c r="F279" s="35">
        <f t="shared" si="156"/>
        <v>54453</v>
      </c>
      <c r="G279" s="36">
        <f t="shared" si="158"/>
        <v>1</v>
      </c>
      <c r="H279" s="41">
        <f t="shared" si="157"/>
        <v>31</v>
      </c>
      <c r="I279" s="37" t="s">
        <v>123</v>
      </c>
      <c r="J279" s="27">
        <f t="shared" si="174"/>
        <v>0</v>
      </c>
      <c r="K279" s="27">
        <f t="shared" si="163"/>
        <v>0</v>
      </c>
      <c r="L279" s="27">
        <f t="shared" si="175"/>
        <v>0</v>
      </c>
      <c r="M279" s="27">
        <f t="shared" si="164"/>
        <v>0</v>
      </c>
      <c r="N279" s="27">
        <f t="shared" si="165"/>
        <v>0</v>
      </c>
      <c r="P279" s="72" t="s">
        <v>123</v>
      </c>
      <c r="Q279" s="44">
        <f t="shared" si="153"/>
        <v>0</v>
      </c>
      <c r="R279" s="44">
        <f t="shared" si="159"/>
        <v>0</v>
      </c>
      <c r="S279" s="44">
        <f t="shared" si="154"/>
        <v>0</v>
      </c>
      <c r="T279" s="44">
        <f t="shared" si="155"/>
        <v>0</v>
      </c>
      <c r="U279" s="43">
        <f t="shared" si="166"/>
        <v>0</v>
      </c>
      <c r="W279" s="72" t="s">
        <v>123</v>
      </c>
      <c r="X279" s="44">
        <f t="shared" si="176"/>
        <v>151235.55663345335</v>
      </c>
      <c r="Y279" s="44">
        <f t="shared" si="160"/>
        <v>795.08468390118787</v>
      </c>
      <c r="Z279" s="44">
        <f t="shared" si="177"/>
        <v>2088.9153160988121</v>
      </c>
      <c r="AA279" s="44">
        <f t="shared" si="178"/>
        <v>0</v>
      </c>
      <c r="AB279" s="43">
        <f t="shared" si="167"/>
        <v>149146.64131735454</v>
      </c>
      <c r="AD279" s="72" t="s">
        <v>123</v>
      </c>
      <c r="AE279" s="44">
        <f t="shared" si="179"/>
        <v>253705.6837527731</v>
      </c>
      <c r="AF279" s="44">
        <f t="shared" si="161"/>
        <v>1363.9634608988126</v>
      </c>
      <c r="AG279" s="44">
        <f t="shared" si="180"/>
        <v>4678.0365391011874</v>
      </c>
      <c r="AH279" s="44">
        <f t="shared" si="181"/>
        <v>0</v>
      </c>
      <c r="AI279" s="43">
        <f t="shared" si="168"/>
        <v>249027.64721367191</v>
      </c>
      <c r="AK279" s="101">
        <f t="shared" ref="AK279:AK342" si="188">E279</f>
        <v>2049</v>
      </c>
      <c r="AL279" s="101">
        <f t="shared" si="162"/>
        <v>1</v>
      </c>
      <c r="AM279" s="118">
        <f t="shared" si="182"/>
        <v>0</v>
      </c>
      <c r="AN279" s="100">
        <f t="shared" si="183"/>
        <v>5740.7123646540658</v>
      </c>
      <c r="AO279" s="100">
        <f t="shared" si="184"/>
        <v>9977.5379180552518</v>
      </c>
      <c r="AP279" s="100">
        <f t="shared" si="185"/>
        <v>5740.7123646540658</v>
      </c>
      <c r="AQ279" s="1">
        <f t="shared" si="186"/>
        <v>20188</v>
      </c>
      <c r="AR279" s="100">
        <f t="shared" si="169"/>
        <v>149146.64131735454</v>
      </c>
      <c r="AS279" s="100">
        <f t="shared" si="170"/>
        <v>15718.250282709318</v>
      </c>
      <c r="AT279" s="100">
        <f t="shared" si="187"/>
        <v>46763.749717290681</v>
      </c>
      <c r="AU279" s="1">
        <f t="shared" si="171"/>
        <v>62482</v>
      </c>
      <c r="AV279" s="100">
        <f t="shared" si="172"/>
        <v>398174.28853102645</v>
      </c>
    </row>
    <row r="280" spans="4:48">
      <c r="D280" s="39">
        <f t="shared" si="173"/>
        <v>272</v>
      </c>
      <c r="E280" s="40">
        <f t="shared" si="152"/>
        <v>2049</v>
      </c>
      <c r="F280" s="35">
        <f t="shared" si="156"/>
        <v>54482</v>
      </c>
      <c r="G280" s="36">
        <f t="shared" si="158"/>
        <v>2</v>
      </c>
      <c r="H280" s="41">
        <f t="shared" si="157"/>
        <v>28</v>
      </c>
      <c r="I280" s="37" t="s">
        <v>123</v>
      </c>
      <c r="J280" s="27">
        <f t="shared" si="174"/>
        <v>0</v>
      </c>
      <c r="K280" s="27">
        <f t="shared" si="163"/>
        <v>0</v>
      </c>
      <c r="L280" s="27">
        <f t="shared" si="175"/>
        <v>0</v>
      </c>
      <c r="M280" s="27">
        <f t="shared" si="164"/>
        <v>0</v>
      </c>
      <c r="N280" s="27">
        <f t="shared" si="165"/>
        <v>0</v>
      </c>
      <c r="P280" s="72" t="s">
        <v>123</v>
      </c>
      <c r="Q280" s="44">
        <f t="shared" si="153"/>
        <v>0</v>
      </c>
      <c r="R280" s="44">
        <f t="shared" si="159"/>
        <v>0</v>
      </c>
      <c r="S280" s="44">
        <f t="shared" si="154"/>
        <v>0</v>
      </c>
      <c r="T280" s="44">
        <f t="shared" si="155"/>
        <v>0</v>
      </c>
      <c r="U280" s="43">
        <f t="shared" si="166"/>
        <v>0</v>
      </c>
      <c r="W280" s="72" t="s">
        <v>123</v>
      </c>
      <c r="X280" s="44">
        <f t="shared" si="176"/>
        <v>149146.64131735454</v>
      </c>
      <c r="Y280" s="44">
        <f t="shared" si="160"/>
        <v>708.22180474312017</v>
      </c>
      <c r="Z280" s="44">
        <f t="shared" si="177"/>
        <v>2175.7781952568798</v>
      </c>
      <c r="AA280" s="44">
        <f t="shared" si="178"/>
        <v>0</v>
      </c>
      <c r="AB280" s="43">
        <f t="shared" si="167"/>
        <v>146970.86312209765</v>
      </c>
      <c r="AD280" s="72" t="s">
        <v>123</v>
      </c>
      <c r="AE280" s="44">
        <f t="shared" si="179"/>
        <v>249027.64721367191</v>
      </c>
      <c r="AF280" s="44">
        <f t="shared" si="161"/>
        <v>1209.250964168526</v>
      </c>
      <c r="AG280" s="44">
        <f t="shared" si="180"/>
        <v>4832.7490358314735</v>
      </c>
      <c r="AH280" s="44">
        <f t="shared" si="181"/>
        <v>0</v>
      </c>
      <c r="AI280" s="43">
        <f t="shared" si="168"/>
        <v>244194.89817784043</v>
      </c>
      <c r="AK280" s="101">
        <f t="shared" si="188"/>
        <v>2049</v>
      </c>
      <c r="AL280" s="101">
        <f t="shared" si="162"/>
        <v>2</v>
      </c>
      <c r="AM280" s="118">
        <f t="shared" si="182"/>
        <v>0</v>
      </c>
      <c r="AN280" s="100">
        <f t="shared" si="183"/>
        <v>6448.9341693971855</v>
      </c>
      <c r="AO280" s="100">
        <f t="shared" si="184"/>
        <v>11186.788882223778</v>
      </c>
      <c r="AP280" s="100">
        <f t="shared" si="185"/>
        <v>6448.9341693971855</v>
      </c>
      <c r="AQ280" s="1">
        <f t="shared" si="186"/>
        <v>23072</v>
      </c>
      <c r="AR280" s="100">
        <f t="shared" si="169"/>
        <v>146970.86312209765</v>
      </c>
      <c r="AS280" s="100">
        <f t="shared" si="170"/>
        <v>17635.723051620964</v>
      </c>
      <c r="AT280" s="100">
        <f t="shared" si="187"/>
        <v>53772.276948379033</v>
      </c>
      <c r="AU280" s="1">
        <f t="shared" si="171"/>
        <v>71408</v>
      </c>
      <c r="AV280" s="100">
        <f t="shared" si="172"/>
        <v>391165.76129993808</v>
      </c>
    </row>
    <row r="281" spans="4:48">
      <c r="D281" s="39">
        <f t="shared" si="173"/>
        <v>273</v>
      </c>
      <c r="E281" s="40">
        <f t="shared" si="152"/>
        <v>2049</v>
      </c>
      <c r="F281" s="35">
        <f t="shared" si="156"/>
        <v>54512</v>
      </c>
      <c r="G281" s="36">
        <f t="shared" si="158"/>
        <v>3</v>
      </c>
      <c r="H281" s="41">
        <f t="shared" si="157"/>
        <v>31</v>
      </c>
      <c r="I281" s="37" t="s">
        <v>123</v>
      </c>
      <c r="J281" s="27">
        <f t="shared" si="174"/>
        <v>0</v>
      </c>
      <c r="K281" s="27">
        <f t="shared" si="163"/>
        <v>0</v>
      </c>
      <c r="L281" s="27">
        <f t="shared" si="175"/>
        <v>0</v>
      </c>
      <c r="M281" s="27">
        <f t="shared" si="164"/>
        <v>0</v>
      </c>
      <c r="N281" s="27">
        <f t="shared" si="165"/>
        <v>0</v>
      </c>
      <c r="P281" s="72" t="s">
        <v>123</v>
      </c>
      <c r="Q281" s="44">
        <f t="shared" si="153"/>
        <v>0</v>
      </c>
      <c r="R281" s="44">
        <f t="shared" si="159"/>
        <v>0</v>
      </c>
      <c r="S281" s="44">
        <f t="shared" si="154"/>
        <v>0</v>
      </c>
      <c r="T281" s="44">
        <f t="shared" si="155"/>
        <v>0</v>
      </c>
      <c r="U281" s="43">
        <f t="shared" si="166"/>
        <v>0</v>
      </c>
      <c r="W281" s="72" t="s">
        <v>123</v>
      </c>
      <c r="X281" s="44">
        <f t="shared" si="176"/>
        <v>146970.86312209765</v>
      </c>
      <c r="Y281" s="44">
        <f t="shared" si="160"/>
        <v>772.66408012326895</v>
      </c>
      <c r="Z281" s="44">
        <f t="shared" si="177"/>
        <v>2111.3359198767312</v>
      </c>
      <c r="AA281" s="44">
        <f t="shared" si="178"/>
        <v>0</v>
      </c>
      <c r="AB281" s="43">
        <f t="shared" si="167"/>
        <v>144859.52720222092</v>
      </c>
      <c r="AD281" s="72" t="s">
        <v>123</v>
      </c>
      <c r="AE281" s="44">
        <f t="shared" si="179"/>
        <v>244194.89817784043</v>
      </c>
      <c r="AF281" s="44">
        <f t="shared" si="161"/>
        <v>1312.8319142311677</v>
      </c>
      <c r="AG281" s="44">
        <f t="shared" si="180"/>
        <v>4729.1680857688325</v>
      </c>
      <c r="AH281" s="44">
        <f t="shared" si="181"/>
        <v>0</v>
      </c>
      <c r="AI281" s="43">
        <f t="shared" si="168"/>
        <v>239465.73009207161</v>
      </c>
      <c r="AK281" s="101">
        <f t="shared" si="188"/>
        <v>2049</v>
      </c>
      <c r="AL281" s="101">
        <f t="shared" si="162"/>
        <v>3</v>
      </c>
      <c r="AM281" s="118">
        <f t="shared" si="182"/>
        <v>0</v>
      </c>
      <c r="AN281" s="100">
        <f t="shared" si="183"/>
        <v>7221.5982495204544</v>
      </c>
      <c r="AO281" s="100">
        <f t="shared" si="184"/>
        <v>12499.620796454947</v>
      </c>
      <c r="AP281" s="100">
        <f t="shared" si="185"/>
        <v>7221.5982495204544</v>
      </c>
      <c r="AQ281" s="1">
        <f t="shared" si="186"/>
        <v>25956</v>
      </c>
      <c r="AR281" s="100">
        <f t="shared" si="169"/>
        <v>144859.52720222092</v>
      </c>
      <c r="AS281" s="100">
        <f t="shared" si="170"/>
        <v>19721.219045975402</v>
      </c>
      <c r="AT281" s="100">
        <f t="shared" si="187"/>
        <v>60612.780954024594</v>
      </c>
      <c r="AU281" s="1">
        <f t="shared" si="171"/>
        <v>80334</v>
      </c>
      <c r="AV281" s="100">
        <f t="shared" si="172"/>
        <v>384325.25729429256</v>
      </c>
    </row>
    <row r="282" spans="4:48">
      <c r="D282" s="39">
        <f t="shared" si="173"/>
        <v>274</v>
      </c>
      <c r="E282" s="40">
        <f t="shared" si="152"/>
        <v>2049</v>
      </c>
      <c r="F282" s="35">
        <f t="shared" si="156"/>
        <v>54543</v>
      </c>
      <c r="G282" s="36">
        <f t="shared" si="158"/>
        <v>4</v>
      </c>
      <c r="H282" s="41">
        <f t="shared" si="157"/>
        <v>30</v>
      </c>
      <c r="I282" s="37" t="s">
        <v>123</v>
      </c>
      <c r="J282" s="27">
        <f t="shared" si="174"/>
        <v>0</v>
      </c>
      <c r="K282" s="27">
        <f t="shared" si="163"/>
        <v>0</v>
      </c>
      <c r="L282" s="27">
        <f t="shared" si="175"/>
        <v>0</v>
      </c>
      <c r="M282" s="27">
        <f t="shared" si="164"/>
        <v>0</v>
      </c>
      <c r="N282" s="27">
        <f t="shared" si="165"/>
        <v>0</v>
      </c>
      <c r="P282" s="72" t="s">
        <v>123</v>
      </c>
      <c r="Q282" s="44">
        <f t="shared" si="153"/>
        <v>0</v>
      </c>
      <c r="R282" s="44">
        <f t="shared" si="159"/>
        <v>0</v>
      </c>
      <c r="S282" s="44">
        <f t="shared" si="154"/>
        <v>0</v>
      </c>
      <c r="T282" s="44">
        <f t="shared" si="155"/>
        <v>0</v>
      </c>
      <c r="U282" s="43">
        <f t="shared" si="166"/>
        <v>0</v>
      </c>
      <c r="W282" s="72" t="s">
        <v>123</v>
      </c>
      <c r="X282" s="44">
        <f t="shared" si="176"/>
        <v>144859.52720222092</v>
      </c>
      <c r="Y282" s="44">
        <f t="shared" si="160"/>
        <v>736.99764935486098</v>
      </c>
      <c r="Z282" s="44">
        <f t="shared" si="177"/>
        <v>2147.0023506451389</v>
      </c>
      <c r="AA282" s="44">
        <f t="shared" si="178"/>
        <v>0</v>
      </c>
      <c r="AB282" s="43">
        <f t="shared" si="167"/>
        <v>142712.52485157578</v>
      </c>
      <c r="AD282" s="72" t="s">
        <v>123</v>
      </c>
      <c r="AE282" s="44">
        <f t="shared" si="179"/>
        <v>239465.73009207161</v>
      </c>
      <c r="AF282" s="44">
        <f t="shared" si="161"/>
        <v>1245.8778669721753</v>
      </c>
      <c r="AG282" s="44">
        <f t="shared" si="180"/>
        <v>4796.1221330278249</v>
      </c>
      <c r="AH282" s="44">
        <f t="shared" si="181"/>
        <v>0</v>
      </c>
      <c r="AI282" s="43">
        <f t="shared" si="168"/>
        <v>234669.60795904379</v>
      </c>
      <c r="AK282" s="101">
        <f t="shared" si="188"/>
        <v>2049</v>
      </c>
      <c r="AL282" s="101">
        <f t="shared" si="162"/>
        <v>4</v>
      </c>
      <c r="AM282" s="118">
        <f t="shared" si="182"/>
        <v>0</v>
      </c>
      <c r="AN282" s="100">
        <f t="shared" si="183"/>
        <v>7958.5958988753155</v>
      </c>
      <c r="AO282" s="100">
        <f t="shared" si="184"/>
        <v>13745.498663427123</v>
      </c>
      <c r="AP282" s="100">
        <f t="shared" si="185"/>
        <v>7958.5958988753155</v>
      </c>
      <c r="AQ282" s="1">
        <f t="shared" si="186"/>
        <v>28840</v>
      </c>
      <c r="AR282" s="100">
        <f t="shared" si="169"/>
        <v>142712.52485157578</v>
      </c>
      <c r="AS282" s="100">
        <f t="shared" si="170"/>
        <v>21704.094562302438</v>
      </c>
      <c r="AT282" s="100">
        <f t="shared" si="187"/>
        <v>67555.905437697555</v>
      </c>
      <c r="AU282" s="1">
        <f t="shared" si="171"/>
        <v>89260</v>
      </c>
      <c r="AV282" s="100">
        <f t="shared" si="172"/>
        <v>377382.13281061954</v>
      </c>
    </row>
    <row r="283" spans="4:48">
      <c r="D283" s="39">
        <f t="shared" si="173"/>
        <v>275</v>
      </c>
      <c r="E283" s="40">
        <f t="shared" si="152"/>
        <v>2049</v>
      </c>
      <c r="F283" s="35">
        <f t="shared" si="156"/>
        <v>54573</v>
      </c>
      <c r="G283" s="36">
        <f t="shared" si="158"/>
        <v>5</v>
      </c>
      <c r="H283" s="41">
        <f t="shared" si="157"/>
        <v>31</v>
      </c>
      <c r="I283" s="37" t="s">
        <v>123</v>
      </c>
      <c r="J283" s="27">
        <f t="shared" si="174"/>
        <v>0</v>
      </c>
      <c r="K283" s="27">
        <f t="shared" si="163"/>
        <v>0</v>
      </c>
      <c r="L283" s="27">
        <f t="shared" si="175"/>
        <v>0</v>
      </c>
      <c r="M283" s="27">
        <f t="shared" si="164"/>
        <v>0</v>
      </c>
      <c r="N283" s="27">
        <f t="shared" si="165"/>
        <v>0</v>
      </c>
      <c r="P283" s="72" t="s">
        <v>123</v>
      </c>
      <c r="Q283" s="44">
        <f t="shared" si="153"/>
        <v>0</v>
      </c>
      <c r="R283" s="44">
        <f t="shared" si="159"/>
        <v>0</v>
      </c>
      <c r="S283" s="44">
        <f t="shared" si="154"/>
        <v>0</v>
      </c>
      <c r="T283" s="44">
        <f t="shared" si="155"/>
        <v>0</v>
      </c>
      <c r="U283" s="43">
        <f t="shared" si="166"/>
        <v>0</v>
      </c>
      <c r="W283" s="72" t="s">
        <v>123</v>
      </c>
      <c r="X283" s="44">
        <f t="shared" si="176"/>
        <v>142712.52485157578</v>
      </c>
      <c r="Y283" s="44">
        <f t="shared" si="160"/>
        <v>750.2768875005172</v>
      </c>
      <c r="Z283" s="44">
        <f t="shared" si="177"/>
        <v>2133.7231124994828</v>
      </c>
      <c r="AA283" s="44">
        <f t="shared" si="178"/>
        <v>0</v>
      </c>
      <c r="AB283" s="43">
        <f t="shared" si="167"/>
        <v>140578.8017390763</v>
      </c>
      <c r="AD283" s="72" t="s">
        <v>123</v>
      </c>
      <c r="AE283" s="44">
        <f t="shared" si="179"/>
        <v>234669.60795904379</v>
      </c>
      <c r="AF283" s="44">
        <f t="shared" si="161"/>
        <v>1261.6223882137851</v>
      </c>
      <c r="AG283" s="44">
        <f t="shared" si="180"/>
        <v>4780.3776117862144</v>
      </c>
      <c r="AH283" s="44">
        <f t="shared" si="181"/>
        <v>0</v>
      </c>
      <c r="AI283" s="43">
        <f t="shared" si="168"/>
        <v>229889.23034725757</v>
      </c>
      <c r="AK283" s="101">
        <f t="shared" si="188"/>
        <v>2049</v>
      </c>
      <c r="AL283" s="101">
        <f t="shared" si="162"/>
        <v>5</v>
      </c>
      <c r="AM283" s="118">
        <f t="shared" si="182"/>
        <v>0</v>
      </c>
      <c r="AN283" s="100">
        <f t="shared" si="183"/>
        <v>8708.8727863758322</v>
      </c>
      <c r="AO283" s="100">
        <f t="shared" si="184"/>
        <v>15007.121051640908</v>
      </c>
      <c r="AP283" s="100">
        <f t="shared" si="185"/>
        <v>8708.8727863758322</v>
      </c>
      <c r="AQ283" s="1">
        <f t="shared" si="186"/>
        <v>31724</v>
      </c>
      <c r="AR283" s="100">
        <f t="shared" si="169"/>
        <v>140578.8017390763</v>
      </c>
      <c r="AS283" s="100">
        <f t="shared" si="170"/>
        <v>23715.99383801674</v>
      </c>
      <c r="AT283" s="100">
        <f t="shared" si="187"/>
        <v>74470.006161983256</v>
      </c>
      <c r="AU283" s="1">
        <f t="shared" si="171"/>
        <v>98186</v>
      </c>
      <c r="AV283" s="100">
        <f t="shared" si="172"/>
        <v>370468.03208633384</v>
      </c>
    </row>
    <row r="284" spans="4:48">
      <c r="D284" s="39">
        <f t="shared" si="173"/>
        <v>276</v>
      </c>
      <c r="E284" s="40">
        <f t="shared" si="152"/>
        <v>2049</v>
      </c>
      <c r="F284" s="35">
        <f t="shared" si="156"/>
        <v>54604</v>
      </c>
      <c r="G284" s="36">
        <f t="shared" si="158"/>
        <v>6</v>
      </c>
      <c r="H284" s="41">
        <f t="shared" si="157"/>
        <v>30</v>
      </c>
      <c r="I284" s="37" t="s">
        <v>123</v>
      </c>
      <c r="J284" s="27">
        <f t="shared" si="174"/>
        <v>0</v>
      </c>
      <c r="K284" s="27">
        <f t="shared" si="163"/>
        <v>0</v>
      </c>
      <c r="L284" s="27">
        <f t="shared" si="175"/>
        <v>0</v>
      </c>
      <c r="M284" s="27">
        <f t="shared" si="164"/>
        <v>0</v>
      </c>
      <c r="N284" s="27">
        <f t="shared" si="165"/>
        <v>0</v>
      </c>
      <c r="P284" s="72" t="s">
        <v>123</v>
      </c>
      <c r="Q284" s="44">
        <f t="shared" si="153"/>
        <v>0</v>
      </c>
      <c r="R284" s="44">
        <f t="shared" si="159"/>
        <v>0</v>
      </c>
      <c r="S284" s="44">
        <f t="shared" si="154"/>
        <v>0</v>
      </c>
      <c r="T284" s="44">
        <f t="shared" si="155"/>
        <v>0</v>
      </c>
      <c r="U284" s="43">
        <f t="shared" si="166"/>
        <v>0</v>
      </c>
      <c r="W284" s="72" t="s">
        <v>123</v>
      </c>
      <c r="X284" s="44">
        <f t="shared" si="176"/>
        <v>140578.8017390763</v>
      </c>
      <c r="Y284" s="44">
        <f t="shared" si="160"/>
        <v>715.21872556017706</v>
      </c>
      <c r="Z284" s="44">
        <f t="shared" si="177"/>
        <v>2168.7812744398229</v>
      </c>
      <c r="AA284" s="44">
        <f t="shared" si="178"/>
        <v>0</v>
      </c>
      <c r="AB284" s="43">
        <f t="shared" si="167"/>
        <v>138410.02046463647</v>
      </c>
      <c r="AD284" s="72" t="s">
        <v>123</v>
      </c>
      <c r="AE284" s="44">
        <f t="shared" si="179"/>
        <v>229889.23034725757</v>
      </c>
      <c r="AF284" s="44">
        <f t="shared" si="161"/>
        <v>1196.0538313135398</v>
      </c>
      <c r="AG284" s="44">
        <f t="shared" si="180"/>
        <v>4845.9461686864597</v>
      </c>
      <c r="AH284" s="44">
        <f t="shared" si="181"/>
        <v>0</v>
      </c>
      <c r="AI284" s="43">
        <f t="shared" si="168"/>
        <v>225043.28417857111</v>
      </c>
      <c r="AK284" s="101">
        <f t="shared" si="188"/>
        <v>2049</v>
      </c>
      <c r="AL284" s="101">
        <f t="shared" si="162"/>
        <v>6</v>
      </c>
      <c r="AM284" s="118">
        <f t="shared" si="182"/>
        <v>0</v>
      </c>
      <c r="AN284" s="100">
        <f t="shared" si="183"/>
        <v>9424.0915119360088</v>
      </c>
      <c r="AO284" s="100">
        <f t="shared" si="184"/>
        <v>16203.174882954449</v>
      </c>
      <c r="AP284" s="100">
        <f t="shared" si="185"/>
        <v>9424.0915119360088</v>
      </c>
      <c r="AQ284" s="1">
        <f t="shared" si="186"/>
        <v>34608</v>
      </c>
      <c r="AR284" s="100">
        <f t="shared" si="169"/>
        <v>138410.02046463647</v>
      </c>
      <c r="AS284" s="100">
        <f t="shared" si="170"/>
        <v>25627.266394890459</v>
      </c>
      <c r="AT284" s="100">
        <f t="shared" si="187"/>
        <v>81484.733605109534</v>
      </c>
      <c r="AU284" s="1">
        <f t="shared" si="171"/>
        <v>107112</v>
      </c>
      <c r="AV284" s="100">
        <f t="shared" si="172"/>
        <v>363453.30464320758</v>
      </c>
    </row>
    <row r="285" spans="4:48">
      <c r="D285" s="39">
        <f t="shared" si="173"/>
        <v>277</v>
      </c>
      <c r="E285" s="40">
        <f t="shared" si="152"/>
        <v>2050</v>
      </c>
      <c r="F285" s="35">
        <f t="shared" si="156"/>
        <v>54634</v>
      </c>
      <c r="G285" s="36">
        <f t="shared" si="158"/>
        <v>7</v>
      </c>
      <c r="H285" s="41">
        <f t="shared" si="157"/>
        <v>31</v>
      </c>
      <c r="I285" s="37" t="s">
        <v>123</v>
      </c>
      <c r="J285" s="27">
        <f t="shared" si="174"/>
        <v>0</v>
      </c>
      <c r="K285" s="27">
        <f t="shared" si="163"/>
        <v>0</v>
      </c>
      <c r="L285" s="27">
        <f t="shared" si="175"/>
        <v>0</v>
      </c>
      <c r="M285" s="27">
        <f t="shared" si="164"/>
        <v>0</v>
      </c>
      <c r="N285" s="27">
        <f t="shared" si="165"/>
        <v>0</v>
      </c>
      <c r="P285" s="72" t="s">
        <v>123</v>
      </c>
      <c r="Q285" s="44">
        <f t="shared" si="153"/>
        <v>0</v>
      </c>
      <c r="R285" s="44">
        <f t="shared" si="159"/>
        <v>0</v>
      </c>
      <c r="S285" s="44">
        <f t="shared" si="154"/>
        <v>0</v>
      </c>
      <c r="T285" s="44">
        <f t="shared" si="155"/>
        <v>0</v>
      </c>
      <c r="U285" s="43">
        <f t="shared" si="166"/>
        <v>0</v>
      </c>
      <c r="W285" s="72" t="s">
        <v>123</v>
      </c>
      <c r="X285" s="44">
        <f t="shared" si="176"/>
        <v>138410.02046463647</v>
      </c>
      <c r="Y285" s="44">
        <f t="shared" si="160"/>
        <v>727.65750210846829</v>
      </c>
      <c r="Z285" s="44">
        <f t="shared" si="177"/>
        <v>2156.3424978915318</v>
      </c>
      <c r="AA285" s="44">
        <f t="shared" si="178"/>
        <v>0</v>
      </c>
      <c r="AB285" s="43">
        <f t="shared" si="167"/>
        <v>136253.67796674493</v>
      </c>
      <c r="AD285" s="72" t="s">
        <v>123</v>
      </c>
      <c r="AE285" s="44">
        <f t="shared" si="179"/>
        <v>225043.28417857111</v>
      </c>
      <c r="AF285" s="44">
        <f t="shared" si="161"/>
        <v>1209.8696891605753</v>
      </c>
      <c r="AG285" s="44">
        <f t="shared" si="180"/>
        <v>4832.130310839425</v>
      </c>
      <c r="AH285" s="44">
        <f t="shared" si="181"/>
        <v>0</v>
      </c>
      <c r="AI285" s="43">
        <f t="shared" si="168"/>
        <v>220211.15386773169</v>
      </c>
      <c r="AK285" s="101">
        <f t="shared" si="188"/>
        <v>2050</v>
      </c>
      <c r="AL285" s="101">
        <f t="shared" si="162"/>
        <v>7</v>
      </c>
      <c r="AM285" s="118">
        <f t="shared" si="182"/>
        <v>0</v>
      </c>
      <c r="AN285" s="100">
        <f t="shared" si="183"/>
        <v>727.65750210846829</v>
      </c>
      <c r="AO285" s="100">
        <f t="shared" si="184"/>
        <v>1209.8696891605753</v>
      </c>
      <c r="AP285" s="100">
        <f t="shared" si="185"/>
        <v>727.65750210846829</v>
      </c>
      <c r="AQ285" s="1">
        <f t="shared" si="186"/>
        <v>2884</v>
      </c>
      <c r="AR285" s="100">
        <f t="shared" si="169"/>
        <v>136253.67796674493</v>
      </c>
      <c r="AS285" s="100">
        <f t="shared" si="170"/>
        <v>1937.5271912690437</v>
      </c>
      <c r="AT285" s="100">
        <f t="shared" si="187"/>
        <v>6988.4728087309568</v>
      </c>
      <c r="AU285" s="1">
        <f t="shared" si="171"/>
        <v>8926</v>
      </c>
      <c r="AV285" s="100">
        <f t="shared" si="172"/>
        <v>356464.83183447662</v>
      </c>
    </row>
    <row r="286" spans="4:48">
      <c r="D286" s="39">
        <f t="shared" si="173"/>
        <v>278</v>
      </c>
      <c r="E286" s="40">
        <f t="shared" si="152"/>
        <v>2050</v>
      </c>
      <c r="F286" s="35">
        <f t="shared" si="156"/>
        <v>54665</v>
      </c>
      <c r="G286" s="36">
        <f t="shared" si="158"/>
        <v>8</v>
      </c>
      <c r="H286" s="41">
        <f t="shared" si="157"/>
        <v>31</v>
      </c>
      <c r="I286" s="37" t="s">
        <v>123</v>
      </c>
      <c r="J286" s="27">
        <f t="shared" si="174"/>
        <v>0</v>
      </c>
      <c r="K286" s="27">
        <f t="shared" si="163"/>
        <v>0</v>
      </c>
      <c r="L286" s="27">
        <f t="shared" si="175"/>
        <v>0</v>
      </c>
      <c r="M286" s="27">
        <f t="shared" si="164"/>
        <v>0</v>
      </c>
      <c r="N286" s="27">
        <f t="shared" si="165"/>
        <v>0</v>
      </c>
      <c r="P286" s="72" t="s">
        <v>123</v>
      </c>
      <c r="Q286" s="44">
        <f t="shared" si="153"/>
        <v>0</v>
      </c>
      <c r="R286" s="44">
        <f t="shared" si="159"/>
        <v>0</v>
      </c>
      <c r="S286" s="44">
        <f t="shared" si="154"/>
        <v>0</v>
      </c>
      <c r="T286" s="44">
        <f t="shared" si="155"/>
        <v>0</v>
      </c>
      <c r="U286" s="43">
        <f t="shared" si="166"/>
        <v>0</v>
      </c>
      <c r="W286" s="72" t="s">
        <v>123</v>
      </c>
      <c r="X286" s="44">
        <f t="shared" si="176"/>
        <v>136253.67796674493</v>
      </c>
      <c r="Y286" s="44">
        <f t="shared" si="160"/>
        <v>716.32104835722419</v>
      </c>
      <c r="Z286" s="44">
        <f t="shared" si="177"/>
        <v>2167.6789516427757</v>
      </c>
      <c r="AA286" s="44">
        <f t="shared" si="178"/>
        <v>0</v>
      </c>
      <c r="AB286" s="43">
        <f t="shared" si="167"/>
        <v>134085.99901510216</v>
      </c>
      <c r="AD286" s="72" t="s">
        <v>123</v>
      </c>
      <c r="AE286" s="44">
        <f t="shared" si="179"/>
        <v>220211.15386773169</v>
      </c>
      <c r="AF286" s="44">
        <f t="shared" si="161"/>
        <v>1183.8913622867119</v>
      </c>
      <c r="AG286" s="44">
        <f t="shared" si="180"/>
        <v>4858.1086377132879</v>
      </c>
      <c r="AH286" s="44">
        <f t="shared" si="181"/>
        <v>0</v>
      </c>
      <c r="AI286" s="43">
        <f t="shared" si="168"/>
        <v>215353.04523001841</v>
      </c>
      <c r="AK286" s="101">
        <f t="shared" si="188"/>
        <v>2050</v>
      </c>
      <c r="AL286" s="101">
        <f t="shared" si="162"/>
        <v>8</v>
      </c>
      <c r="AM286" s="118">
        <f t="shared" si="182"/>
        <v>0</v>
      </c>
      <c r="AN286" s="100">
        <f t="shared" si="183"/>
        <v>1443.9785504656925</v>
      </c>
      <c r="AO286" s="100">
        <f t="shared" si="184"/>
        <v>2393.7610514472872</v>
      </c>
      <c r="AP286" s="100">
        <f t="shared" si="185"/>
        <v>1443.9785504656925</v>
      </c>
      <c r="AQ286" s="1">
        <f t="shared" si="186"/>
        <v>5768</v>
      </c>
      <c r="AR286" s="100">
        <f t="shared" si="169"/>
        <v>134085.99901510216</v>
      </c>
      <c r="AS286" s="100">
        <f t="shared" si="170"/>
        <v>3837.7396019129797</v>
      </c>
      <c r="AT286" s="100">
        <f t="shared" si="187"/>
        <v>14014.260398087019</v>
      </c>
      <c r="AU286" s="1">
        <f t="shared" si="171"/>
        <v>17852</v>
      </c>
      <c r="AV286" s="100">
        <f t="shared" si="172"/>
        <v>349439.0442451206</v>
      </c>
    </row>
    <row r="287" spans="4:48">
      <c r="D287" s="39">
        <f t="shared" si="173"/>
        <v>279</v>
      </c>
      <c r="E287" s="40">
        <f t="shared" si="152"/>
        <v>2050</v>
      </c>
      <c r="F287" s="35">
        <f t="shared" si="156"/>
        <v>54696</v>
      </c>
      <c r="G287" s="36">
        <f t="shared" si="158"/>
        <v>9</v>
      </c>
      <c r="H287" s="41">
        <f t="shared" si="157"/>
        <v>30</v>
      </c>
      <c r="I287" s="37" t="s">
        <v>123</v>
      </c>
      <c r="J287" s="27">
        <f t="shared" si="174"/>
        <v>0</v>
      </c>
      <c r="K287" s="27">
        <f t="shared" si="163"/>
        <v>0</v>
      </c>
      <c r="L287" s="27">
        <f t="shared" si="175"/>
        <v>0</v>
      </c>
      <c r="M287" s="27">
        <f t="shared" si="164"/>
        <v>0</v>
      </c>
      <c r="N287" s="27">
        <f t="shared" si="165"/>
        <v>0</v>
      </c>
      <c r="P287" s="72" t="s">
        <v>123</v>
      </c>
      <c r="Q287" s="44">
        <f t="shared" si="153"/>
        <v>0</v>
      </c>
      <c r="R287" s="44">
        <f t="shared" si="159"/>
        <v>0</v>
      </c>
      <c r="S287" s="44">
        <f t="shared" si="154"/>
        <v>0</v>
      </c>
      <c r="T287" s="44">
        <f t="shared" si="155"/>
        <v>0</v>
      </c>
      <c r="U287" s="43">
        <f t="shared" si="166"/>
        <v>0</v>
      </c>
      <c r="W287" s="72" t="s">
        <v>123</v>
      </c>
      <c r="X287" s="44">
        <f t="shared" si="176"/>
        <v>134085.99901510216</v>
      </c>
      <c r="Y287" s="44">
        <f t="shared" si="160"/>
        <v>682.18547992067045</v>
      </c>
      <c r="Z287" s="44">
        <f t="shared" si="177"/>
        <v>2201.8145200793297</v>
      </c>
      <c r="AA287" s="44">
        <f t="shared" si="178"/>
        <v>0</v>
      </c>
      <c r="AB287" s="43">
        <f t="shared" si="167"/>
        <v>131884.18449502284</v>
      </c>
      <c r="AD287" s="72" t="s">
        <v>123</v>
      </c>
      <c r="AE287" s="44">
        <f t="shared" si="179"/>
        <v>215353.04523001841</v>
      </c>
      <c r="AF287" s="44">
        <f t="shared" si="161"/>
        <v>1120.4258435391916</v>
      </c>
      <c r="AG287" s="44">
        <f t="shared" si="180"/>
        <v>4921.5741564608088</v>
      </c>
      <c r="AH287" s="44">
        <f t="shared" si="181"/>
        <v>0</v>
      </c>
      <c r="AI287" s="43">
        <f t="shared" si="168"/>
        <v>210431.47107355759</v>
      </c>
      <c r="AK287" s="101">
        <f t="shared" si="188"/>
        <v>2050</v>
      </c>
      <c r="AL287" s="101">
        <f t="shared" si="162"/>
        <v>9</v>
      </c>
      <c r="AM287" s="118">
        <f t="shared" si="182"/>
        <v>0</v>
      </c>
      <c r="AN287" s="100">
        <f t="shared" si="183"/>
        <v>2126.1640303863628</v>
      </c>
      <c r="AO287" s="100">
        <f t="shared" si="184"/>
        <v>3514.1868949864788</v>
      </c>
      <c r="AP287" s="100">
        <f t="shared" si="185"/>
        <v>2126.1640303863628</v>
      </c>
      <c r="AQ287" s="1">
        <f t="shared" si="186"/>
        <v>8652</v>
      </c>
      <c r="AR287" s="100">
        <f t="shared" si="169"/>
        <v>131884.18449502284</v>
      </c>
      <c r="AS287" s="100">
        <f t="shared" si="170"/>
        <v>5640.3509253728416</v>
      </c>
      <c r="AT287" s="100">
        <f t="shared" si="187"/>
        <v>21137.649074627159</v>
      </c>
      <c r="AU287" s="1">
        <f t="shared" si="171"/>
        <v>26778</v>
      </c>
      <c r="AV287" s="100">
        <f t="shared" si="172"/>
        <v>342315.65556858043</v>
      </c>
    </row>
    <row r="288" spans="4:48">
      <c r="D288" s="39">
        <f t="shared" si="173"/>
        <v>280</v>
      </c>
      <c r="E288" s="40">
        <f t="shared" si="152"/>
        <v>2050</v>
      </c>
      <c r="F288" s="35">
        <f t="shared" si="156"/>
        <v>54726</v>
      </c>
      <c r="G288" s="36">
        <f t="shared" si="158"/>
        <v>10</v>
      </c>
      <c r="H288" s="41">
        <f t="shared" si="157"/>
        <v>31</v>
      </c>
      <c r="I288" s="37" t="s">
        <v>123</v>
      </c>
      <c r="J288" s="27">
        <f t="shared" si="174"/>
        <v>0</v>
      </c>
      <c r="K288" s="27">
        <f t="shared" si="163"/>
        <v>0</v>
      </c>
      <c r="L288" s="27">
        <f t="shared" si="175"/>
        <v>0</v>
      </c>
      <c r="M288" s="27">
        <f t="shared" si="164"/>
        <v>0</v>
      </c>
      <c r="N288" s="27">
        <f t="shared" si="165"/>
        <v>0</v>
      </c>
      <c r="P288" s="72" t="s">
        <v>123</v>
      </c>
      <c r="Q288" s="44">
        <f t="shared" si="153"/>
        <v>0</v>
      </c>
      <c r="R288" s="44">
        <f t="shared" si="159"/>
        <v>0</v>
      </c>
      <c r="S288" s="44">
        <f t="shared" si="154"/>
        <v>0</v>
      </c>
      <c r="T288" s="44">
        <f t="shared" si="155"/>
        <v>0</v>
      </c>
      <c r="U288" s="43">
        <f t="shared" si="166"/>
        <v>0</v>
      </c>
      <c r="W288" s="72" t="s">
        <v>123</v>
      </c>
      <c r="X288" s="44">
        <f t="shared" si="176"/>
        <v>131884.18449502284</v>
      </c>
      <c r="Y288" s="44">
        <f t="shared" si="160"/>
        <v>693.34948391095713</v>
      </c>
      <c r="Z288" s="44">
        <f t="shared" si="177"/>
        <v>2190.6505160890429</v>
      </c>
      <c r="AA288" s="44">
        <f t="shared" si="178"/>
        <v>0</v>
      </c>
      <c r="AB288" s="43">
        <f t="shared" si="167"/>
        <v>129693.53397893379</v>
      </c>
      <c r="AD288" s="72" t="s">
        <v>123</v>
      </c>
      <c r="AE288" s="44">
        <f t="shared" si="179"/>
        <v>210431.47107355759</v>
      </c>
      <c r="AF288" s="44">
        <f t="shared" si="161"/>
        <v>1131.3141799661425</v>
      </c>
      <c r="AG288" s="44">
        <f t="shared" si="180"/>
        <v>4910.6858200338575</v>
      </c>
      <c r="AH288" s="44">
        <f t="shared" si="181"/>
        <v>0</v>
      </c>
      <c r="AI288" s="43">
        <f t="shared" si="168"/>
        <v>205520.78525352373</v>
      </c>
      <c r="AK288" s="101">
        <f t="shared" si="188"/>
        <v>2050</v>
      </c>
      <c r="AL288" s="101">
        <f t="shared" si="162"/>
        <v>10</v>
      </c>
      <c r="AM288" s="118">
        <f t="shared" si="182"/>
        <v>0</v>
      </c>
      <c r="AN288" s="100">
        <f t="shared" si="183"/>
        <v>2819.5135142973199</v>
      </c>
      <c r="AO288" s="100">
        <f t="shared" si="184"/>
        <v>4645.5010749526209</v>
      </c>
      <c r="AP288" s="100">
        <f t="shared" si="185"/>
        <v>2819.5135142973199</v>
      </c>
      <c r="AQ288" s="1">
        <f t="shared" si="186"/>
        <v>11536</v>
      </c>
      <c r="AR288" s="100">
        <f t="shared" si="169"/>
        <v>129693.53397893379</v>
      </c>
      <c r="AS288" s="100">
        <f t="shared" si="170"/>
        <v>7465.0145892499404</v>
      </c>
      <c r="AT288" s="100">
        <f t="shared" si="187"/>
        <v>28238.985410750061</v>
      </c>
      <c r="AU288" s="1">
        <f t="shared" si="171"/>
        <v>35704</v>
      </c>
      <c r="AV288" s="100">
        <f t="shared" si="172"/>
        <v>335214.31923245755</v>
      </c>
    </row>
    <row r="289" spans="4:48">
      <c r="D289" s="39">
        <f t="shared" si="173"/>
        <v>281</v>
      </c>
      <c r="E289" s="40">
        <f t="shared" si="152"/>
        <v>2050</v>
      </c>
      <c r="F289" s="35">
        <f t="shared" si="156"/>
        <v>54757</v>
      </c>
      <c r="G289" s="36">
        <f t="shared" si="158"/>
        <v>11</v>
      </c>
      <c r="H289" s="41">
        <f t="shared" si="157"/>
        <v>30</v>
      </c>
      <c r="I289" s="37" t="s">
        <v>123</v>
      </c>
      <c r="J289" s="27">
        <f t="shared" si="174"/>
        <v>0</v>
      </c>
      <c r="K289" s="27">
        <f t="shared" si="163"/>
        <v>0</v>
      </c>
      <c r="L289" s="27">
        <f t="shared" si="175"/>
        <v>0</v>
      </c>
      <c r="M289" s="27">
        <f t="shared" si="164"/>
        <v>0</v>
      </c>
      <c r="N289" s="27">
        <f t="shared" si="165"/>
        <v>0</v>
      </c>
      <c r="P289" s="72" t="s">
        <v>123</v>
      </c>
      <c r="Q289" s="44">
        <f t="shared" si="153"/>
        <v>0</v>
      </c>
      <c r="R289" s="44">
        <f t="shared" si="159"/>
        <v>0</v>
      </c>
      <c r="S289" s="44">
        <f t="shared" si="154"/>
        <v>0</v>
      </c>
      <c r="T289" s="44">
        <f t="shared" si="155"/>
        <v>0</v>
      </c>
      <c r="U289" s="43">
        <f t="shared" si="166"/>
        <v>0</v>
      </c>
      <c r="W289" s="72" t="s">
        <v>123</v>
      </c>
      <c r="X289" s="44">
        <f t="shared" si="176"/>
        <v>129693.53397893379</v>
      </c>
      <c r="Y289" s="44">
        <f t="shared" si="160"/>
        <v>659.8380619147398</v>
      </c>
      <c r="Z289" s="44">
        <f t="shared" si="177"/>
        <v>2224.1619380852603</v>
      </c>
      <c r="AA289" s="44">
        <f t="shared" si="178"/>
        <v>0</v>
      </c>
      <c r="AB289" s="43">
        <f t="shared" si="167"/>
        <v>127469.37204084852</v>
      </c>
      <c r="AD289" s="72" t="s">
        <v>123</v>
      </c>
      <c r="AE289" s="44">
        <f t="shared" si="179"/>
        <v>205520.78525352373</v>
      </c>
      <c r="AF289" s="44">
        <f t="shared" si="161"/>
        <v>1069.2711539628535</v>
      </c>
      <c r="AG289" s="44">
        <f t="shared" si="180"/>
        <v>4972.7288460371465</v>
      </c>
      <c r="AH289" s="44">
        <f t="shared" si="181"/>
        <v>0</v>
      </c>
      <c r="AI289" s="43">
        <f t="shared" si="168"/>
        <v>200548.05640748658</v>
      </c>
      <c r="AK289" s="101">
        <f t="shared" si="188"/>
        <v>2050</v>
      </c>
      <c r="AL289" s="101">
        <f t="shared" si="162"/>
        <v>11</v>
      </c>
      <c r="AM289" s="118">
        <f t="shared" si="182"/>
        <v>0</v>
      </c>
      <c r="AN289" s="100">
        <f t="shared" si="183"/>
        <v>3479.3515762120596</v>
      </c>
      <c r="AO289" s="100">
        <f t="shared" si="184"/>
        <v>5714.7722289154744</v>
      </c>
      <c r="AP289" s="100">
        <f t="shared" si="185"/>
        <v>3479.3515762120596</v>
      </c>
      <c r="AQ289" s="1">
        <f t="shared" si="186"/>
        <v>14420</v>
      </c>
      <c r="AR289" s="100">
        <f t="shared" si="169"/>
        <v>127469.37204084852</v>
      </c>
      <c r="AS289" s="100">
        <f t="shared" si="170"/>
        <v>9194.1238051275341</v>
      </c>
      <c r="AT289" s="100">
        <f t="shared" si="187"/>
        <v>35435.876194872471</v>
      </c>
      <c r="AU289" s="1">
        <f t="shared" si="171"/>
        <v>44630.000000000007</v>
      </c>
      <c r="AV289" s="100">
        <f t="shared" si="172"/>
        <v>328017.42844833509</v>
      </c>
    </row>
    <row r="290" spans="4:48">
      <c r="D290" s="39">
        <f t="shared" si="173"/>
        <v>282</v>
      </c>
      <c r="E290" s="40">
        <f t="shared" si="152"/>
        <v>2050</v>
      </c>
      <c r="F290" s="35">
        <f t="shared" si="156"/>
        <v>54787</v>
      </c>
      <c r="G290" s="36">
        <f t="shared" si="158"/>
        <v>12</v>
      </c>
      <c r="H290" s="41">
        <f t="shared" si="157"/>
        <v>31</v>
      </c>
      <c r="I290" s="37" t="s">
        <v>123</v>
      </c>
      <c r="J290" s="27">
        <f t="shared" si="174"/>
        <v>0</v>
      </c>
      <c r="K290" s="27">
        <f t="shared" si="163"/>
        <v>0</v>
      </c>
      <c r="L290" s="27">
        <f t="shared" si="175"/>
        <v>0</v>
      </c>
      <c r="M290" s="27">
        <f t="shared" si="164"/>
        <v>0</v>
      </c>
      <c r="N290" s="27">
        <f t="shared" si="165"/>
        <v>0</v>
      </c>
      <c r="P290" s="72" t="s">
        <v>123</v>
      </c>
      <c r="Q290" s="44">
        <f t="shared" si="153"/>
        <v>0</v>
      </c>
      <c r="R290" s="44">
        <f t="shared" si="159"/>
        <v>0</v>
      </c>
      <c r="S290" s="44">
        <f t="shared" si="154"/>
        <v>0</v>
      </c>
      <c r="T290" s="44">
        <f t="shared" si="155"/>
        <v>0</v>
      </c>
      <c r="U290" s="43">
        <f t="shared" si="166"/>
        <v>0</v>
      </c>
      <c r="W290" s="72" t="s">
        <v>123</v>
      </c>
      <c r="X290" s="44">
        <f t="shared" si="176"/>
        <v>127469.37204084852</v>
      </c>
      <c r="Y290" s="44">
        <f t="shared" si="160"/>
        <v>670.13966577858696</v>
      </c>
      <c r="Z290" s="44">
        <f t="shared" si="177"/>
        <v>2213.8603342214128</v>
      </c>
      <c r="AA290" s="44">
        <f t="shared" si="178"/>
        <v>0</v>
      </c>
      <c r="AB290" s="43">
        <f t="shared" si="167"/>
        <v>125255.51170662711</v>
      </c>
      <c r="AD290" s="72" t="s">
        <v>123</v>
      </c>
      <c r="AE290" s="44">
        <f t="shared" si="179"/>
        <v>200548.05640748658</v>
      </c>
      <c r="AF290" s="44">
        <f t="shared" si="161"/>
        <v>1078.1793180504408</v>
      </c>
      <c r="AG290" s="44">
        <f t="shared" si="180"/>
        <v>4963.820681949559</v>
      </c>
      <c r="AH290" s="44">
        <f t="shared" si="181"/>
        <v>0</v>
      </c>
      <c r="AI290" s="43">
        <f t="shared" si="168"/>
        <v>195584.23572553703</v>
      </c>
      <c r="AK290" s="101">
        <f t="shared" si="188"/>
        <v>2050</v>
      </c>
      <c r="AL290" s="101">
        <f t="shared" si="162"/>
        <v>12</v>
      </c>
      <c r="AM290" s="118">
        <f t="shared" si="182"/>
        <v>0</v>
      </c>
      <c r="AN290" s="100">
        <f t="shared" si="183"/>
        <v>4149.4912419906468</v>
      </c>
      <c r="AO290" s="100">
        <f t="shared" si="184"/>
        <v>6792.9515469659154</v>
      </c>
      <c r="AP290" s="100">
        <f t="shared" si="185"/>
        <v>4149.4912419906468</v>
      </c>
      <c r="AQ290" s="1">
        <f t="shared" si="186"/>
        <v>17304</v>
      </c>
      <c r="AR290" s="100">
        <f t="shared" si="169"/>
        <v>125255.51170662711</v>
      </c>
      <c r="AS290" s="100">
        <f t="shared" si="170"/>
        <v>10942.442788956563</v>
      </c>
      <c r="AT290" s="100">
        <f t="shared" si="187"/>
        <v>42613.557211043444</v>
      </c>
      <c r="AU290" s="1">
        <f t="shared" si="171"/>
        <v>53556.000000000007</v>
      </c>
      <c r="AV290" s="100">
        <f t="shared" si="172"/>
        <v>320839.74743216415</v>
      </c>
    </row>
    <row r="291" spans="4:48">
      <c r="D291" s="39">
        <f t="shared" si="173"/>
        <v>283</v>
      </c>
      <c r="E291" s="40">
        <f t="shared" si="152"/>
        <v>2050</v>
      </c>
      <c r="F291" s="35">
        <f t="shared" si="156"/>
        <v>54818</v>
      </c>
      <c r="G291" s="36">
        <f t="shared" si="158"/>
        <v>1</v>
      </c>
      <c r="H291" s="41">
        <f t="shared" si="157"/>
        <v>31</v>
      </c>
      <c r="I291" s="37" t="s">
        <v>123</v>
      </c>
      <c r="J291" s="27">
        <f t="shared" si="174"/>
        <v>0</v>
      </c>
      <c r="K291" s="27">
        <f t="shared" si="163"/>
        <v>0</v>
      </c>
      <c r="L291" s="27">
        <f t="shared" si="175"/>
        <v>0</v>
      </c>
      <c r="M291" s="27">
        <f t="shared" si="164"/>
        <v>0</v>
      </c>
      <c r="N291" s="27">
        <f t="shared" si="165"/>
        <v>0</v>
      </c>
      <c r="P291" s="72" t="s">
        <v>123</v>
      </c>
      <c r="Q291" s="44">
        <f t="shared" si="153"/>
        <v>0</v>
      </c>
      <c r="R291" s="44">
        <f t="shared" si="159"/>
        <v>0</v>
      </c>
      <c r="S291" s="44">
        <f t="shared" si="154"/>
        <v>0</v>
      </c>
      <c r="T291" s="44">
        <f t="shared" si="155"/>
        <v>0</v>
      </c>
      <c r="U291" s="43">
        <f t="shared" si="166"/>
        <v>0</v>
      </c>
      <c r="W291" s="72" t="s">
        <v>123</v>
      </c>
      <c r="X291" s="44">
        <f t="shared" si="176"/>
        <v>125255.51170662711</v>
      </c>
      <c r="Y291" s="44">
        <f t="shared" si="160"/>
        <v>658.50082579136097</v>
      </c>
      <c r="Z291" s="44">
        <f t="shared" si="177"/>
        <v>2225.499174208639</v>
      </c>
      <c r="AA291" s="44">
        <f t="shared" si="178"/>
        <v>0</v>
      </c>
      <c r="AB291" s="43">
        <f t="shared" si="167"/>
        <v>123030.01253241846</v>
      </c>
      <c r="AD291" s="72" t="s">
        <v>123</v>
      </c>
      <c r="AE291" s="44">
        <f t="shared" si="179"/>
        <v>195584.23572553703</v>
      </c>
      <c r="AF291" s="44">
        <f t="shared" si="161"/>
        <v>1051.493002093757</v>
      </c>
      <c r="AG291" s="44">
        <f t="shared" si="180"/>
        <v>4990.5069979062428</v>
      </c>
      <c r="AH291" s="44">
        <f t="shared" si="181"/>
        <v>0</v>
      </c>
      <c r="AI291" s="43">
        <f t="shared" si="168"/>
        <v>190593.72872763078</v>
      </c>
      <c r="AK291" s="101">
        <f t="shared" si="188"/>
        <v>2050</v>
      </c>
      <c r="AL291" s="101">
        <f t="shared" si="162"/>
        <v>1</v>
      </c>
      <c r="AM291" s="118">
        <f t="shared" si="182"/>
        <v>0</v>
      </c>
      <c r="AN291" s="100">
        <f t="shared" si="183"/>
        <v>4807.9920677820082</v>
      </c>
      <c r="AO291" s="100">
        <f t="shared" si="184"/>
        <v>7844.4445490596727</v>
      </c>
      <c r="AP291" s="100">
        <f t="shared" si="185"/>
        <v>4807.9920677820082</v>
      </c>
      <c r="AQ291" s="1">
        <f t="shared" si="186"/>
        <v>20188</v>
      </c>
      <c r="AR291" s="100">
        <f t="shared" si="169"/>
        <v>123030.01253241846</v>
      </c>
      <c r="AS291" s="100">
        <f t="shared" si="170"/>
        <v>12652.436616841682</v>
      </c>
      <c r="AT291" s="100">
        <f t="shared" si="187"/>
        <v>49829.563383158325</v>
      </c>
      <c r="AU291" s="1">
        <f t="shared" si="171"/>
        <v>62482.000000000007</v>
      </c>
      <c r="AV291" s="100">
        <f t="shared" si="172"/>
        <v>313623.74126004922</v>
      </c>
    </row>
    <row r="292" spans="4:48">
      <c r="D292" s="39">
        <f t="shared" si="173"/>
        <v>284</v>
      </c>
      <c r="E292" s="40">
        <f t="shared" si="152"/>
        <v>2050</v>
      </c>
      <c r="F292" s="35">
        <f t="shared" si="156"/>
        <v>54847</v>
      </c>
      <c r="G292" s="36">
        <f t="shared" si="158"/>
        <v>2</v>
      </c>
      <c r="H292" s="41">
        <f t="shared" si="157"/>
        <v>28</v>
      </c>
      <c r="I292" s="37" t="s">
        <v>123</v>
      </c>
      <c r="J292" s="27">
        <f t="shared" si="174"/>
        <v>0</v>
      </c>
      <c r="K292" s="27">
        <f t="shared" si="163"/>
        <v>0</v>
      </c>
      <c r="L292" s="27">
        <f t="shared" si="175"/>
        <v>0</v>
      </c>
      <c r="M292" s="27">
        <f t="shared" si="164"/>
        <v>0</v>
      </c>
      <c r="N292" s="27">
        <f t="shared" si="165"/>
        <v>0</v>
      </c>
      <c r="P292" s="72" t="s">
        <v>123</v>
      </c>
      <c r="Q292" s="44">
        <f t="shared" si="153"/>
        <v>0</v>
      </c>
      <c r="R292" s="44">
        <f t="shared" si="159"/>
        <v>0</v>
      </c>
      <c r="S292" s="44">
        <f t="shared" si="154"/>
        <v>0</v>
      </c>
      <c r="T292" s="44">
        <f t="shared" si="155"/>
        <v>0</v>
      </c>
      <c r="U292" s="43">
        <f t="shared" si="166"/>
        <v>0</v>
      </c>
      <c r="W292" s="72" t="s">
        <v>123</v>
      </c>
      <c r="X292" s="44">
        <f t="shared" si="176"/>
        <v>123030.01253241846</v>
      </c>
      <c r="Y292" s="44">
        <f t="shared" si="160"/>
        <v>584.20717183887029</v>
      </c>
      <c r="Z292" s="44">
        <f t="shared" si="177"/>
        <v>2299.7928281611298</v>
      </c>
      <c r="AA292" s="44">
        <f t="shared" si="178"/>
        <v>0</v>
      </c>
      <c r="AB292" s="43">
        <f t="shared" si="167"/>
        <v>120730.21970425734</v>
      </c>
      <c r="AD292" s="72" t="s">
        <v>123</v>
      </c>
      <c r="AE292" s="44">
        <f t="shared" si="179"/>
        <v>190593.72872763078</v>
      </c>
      <c r="AF292" s="44">
        <f t="shared" si="161"/>
        <v>925.50225971740474</v>
      </c>
      <c r="AG292" s="44">
        <f t="shared" si="180"/>
        <v>5116.4977402825953</v>
      </c>
      <c r="AH292" s="44">
        <f t="shared" si="181"/>
        <v>0</v>
      </c>
      <c r="AI292" s="43">
        <f t="shared" si="168"/>
        <v>185477.23098734819</v>
      </c>
      <c r="AK292" s="101">
        <f t="shared" si="188"/>
        <v>2050</v>
      </c>
      <c r="AL292" s="101">
        <f t="shared" si="162"/>
        <v>2</v>
      </c>
      <c r="AM292" s="118">
        <f t="shared" si="182"/>
        <v>0</v>
      </c>
      <c r="AN292" s="100">
        <f t="shared" si="183"/>
        <v>5392.1992396208789</v>
      </c>
      <c r="AO292" s="100">
        <f t="shared" si="184"/>
        <v>8769.9468087770765</v>
      </c>
      <c r="AP292" s="100">
        <f t="shared" si="185"/>
        <v>5392.1992396208789</v>
      </c>
      <c r="AQ292" s="1">
        <f t="shared" si="186"/>
        <v>23072</v>
      </c>
      <c r="AR292" s="100">
        <f t="shared" si="169"/>
        <v>120730.21970425734</v>
      </c>
      <c r="AS292" s="100">
        <f t="shared" si="170"/>
        <v>14162.146048397955</v>
      </c>
      <c r="AT292" s="100">
        <f t="shared" si="187"/>
        <v>57245.853951602054</v>
      </c>
      <c r="AU292" s="1">
        <f t="shared" si="171"/>
        <v>71408.000000000015</v>
      </c>
      <c r="AV292" s="100">
        <f t="shared" si="172"/>
        <v>306207.45069160551</v>
      </c>
    </row>
    <row r="293" spans="4:48">
      <c r="D293" s="39">
        <f t="shared" si="173"/>
        <v>285</v>
      </c>
      <c r="E293" s="40">
        <f t="shared" si="152"/>
        <v>2050</v>
      </c>
      <c r="F293" s="35">
        <f t="shared" si="156"/>
        <v>54877</v>
      </c>
      <c r="G293" s="36">
        <f t="shared" si="158"/>
        <v>3</v>
      </c>
      <c r="H293" s="41">
        <f t="shared" si="157"/>
        <v>31</v>
      </c>
      <c r="I293" s="37" t="s">
        <v>123</v>
      </c>
      <c r="J293" s="27">
        <f t="shared" si="174"/>
        <v>0</v>
      </c>
      <c r="K293" s="27">
        <f t="shared" si="163"/>
        <v>0</v>
      </c>
      <c r="L293" s="27">
        <f t="shared" si="175"/>
        <v>0</v>
      </c>
      <c r="M293" s="27">
        <f t="shared" si="164"/>
        <v>0</v>
      </c>
      <c r="N293" s="27">
        <f t="shared" si="165"/>
        <v>0</v>
      </c>
      <c r="P293" s="72" t="s">
        <v>123</v>
      </c>
      <c r="Q293" s="44">
        <f t="shared" si="153"/>
        <v>0</v>
      </c>
      <c r="R293" s="44">
        <f t="shared" si="159"/>
        <v>0</v>
      </c>
      <c r="S293" s="44">
        <f t="shared" si="154"/>
        <v>0</v>
      </c>
      <c r="T293" s="44">
        <f t="shared" si="155"/>
        <v>0</v>
      </c>
      <c r="U293" s="43">
        <f t="shared" si="166"/>
        <v>0</v>
      </c>
      <c r="W293" s="72" t="s">
        <v>123</v>
      </c>
      <c r="X293" s="44">
        <f t="shared" si="176"/>
        <v>120730.21970425734</v>
      </c>
      <c r="Y293" s="44">
        <f t="shared" si="160"/>
        <v>634.71018791917641</v>
      </c>
      <c r="Z293" s="44">
        <f t="shared" si="177"/>
        <v>2249.2898120808236</v>
      </c>
      <c r="AA293" s="44">
        <f t="shared" si="178"/>
        <v>0</v>
      </c>
      <c r="AB293" s="43">
        <f t="shared" si="167"/>
        <v>118480.92989217651</v>
      </c>
      <c r="AD293" s="72" t="s">
        <v>123</v>
      </c>
      <c r="AE293" s="44">
        <f t="shared" si="179"/>
        <v>185477.23098734819</v>
      </c>
      <c r="AF293" s="44">
        <f t="shared" si="161"/>
        <v>997.15608319581725</v>
      </c>
      <c r="AG293" s="44">
        <f t="shared" si="180"/>
        <v>5044.8439168041823</v>
      </c>
      <c r="AH293" s="44">
        <f t="shared" si="181"/>
        <v>0</v>
      </c>
      <c r="AI293" s="43">
        <f t="shared" si="168"/>
        <v>180432.38707054401</v>
      </c>
      <c r="AK293" s="101">
        <f t="shared" si="188"/>
        <v>2050</v>
      </c>
      <c r="AL293" s="101">
        <f t="shared" si="162"/>
        <v>3</v>
      </c>
      <c r="AM293" s="118">
        <f t="shared" si="182"/>
        <v>0</v>
      </c>
      <c r="AN293" s="100">
        <f t="shared" si="183"/>
        <v>6026.9094275400548</v>
      </c>
      <c r="AO293" s="100">
        <f t="shared" si="184"/>
        <v>9767.1028919728942</v>
      </c>
      <c r="AP293" s="100">
        <f t="shared" si="185"/>
        <v>6026.9094275400548</v>
      </c>
      <c r="AQ293" s="1">
        <f t="shared" si="186"/>
        <v>25956</v>
      </c>
      <c r="AR293" s="100">
        <f t="shared" si="169"/>
        <v>118480.92989217651</v>
      </c>
      <c r="AS293" s="100">
        <f t="shared" si="170"/>
        <v>15794.012319512949</v>
      </c>
      <c r="AT293" s="100">
        <f t="shared" si="187"/>
        <v>64539.987680487058</v>
      </c>
      <c r="AU293" s="1">
        <f t="shared" si="171"/>
        <v>80334</v>
      </c>
      <c r="AV293" s="100">
        <f t="shared" si="172"/>
        <v>298913.31696272054</v>
      </c>
    </row>
    <row r="294" spans="4:48">
      <c r="D294" s="39">
        <f t="shared" si="173"/>
        <v>286</v>
      </c>
      <c r="E294" s="40">
        <f t="shared" si="152"/>
        <v>2050</v>
      </c>
      <c r="F294" s="35">
        <f t="shared" si="156"/>
        <v>54908</v>
      </c>
      <c r="G294" s="36">
        <f t="shared" si="158"/>
        <v>4</v>
      </c>
      <c r="H294" s="41">
        <f t="shared" si="157"/>
        <v>30</v>
      </c>
      <c r="I294" s="37" t="s">
        <v>123</v>
      </c>
      <c r="J294" s="27">
        <f t="shared" si="174"/>
        <v>0</v>
      </c>
      <c r="K294" s="27">
        <f t="shared" si="163"/>
        <v>0</v>
      </c>
      <c r="L294" s="27">
        <f t="shared" si="175"/>
        <v>0</v>
      </c>
      <c r="M294" s="27">
        <f t="shared" si="164"/>
        <v>0</v>
      </c>
      <c r="N294" s="27">
        <f t="shared" si="165"/>
        <v>0</v>
      </c>
      <c r="P294" s="72" t="s">
        <v>123</v>
      </c>
      <c r="Q294" s="44">
        <f t="shared" si="153"/>
        <v>0</v>
      </c>
      <c r="R294" s="44">
        <f t="shared" si="159"/>
        <v>0</v>
      </c>
      <c r="S294" s="44">
        <f t="shared" si="154"/>
        <v>0</v>
      </c>
      <c r="T294" s="44">
        <f t="shared" si="155"/>
        <v>0</v>
      </c>
      <c r="U294" s="43">
        <f t="shared" si="166"/>
        <v>0</v>
      </c>
      <c r="W294" s="72" t="s">
        <v>123</v>
      </c>
      <c r="X294" s="44">
        <f t="shared" si="176"/>
        <v>118480.92989217651</v>
      </c>
      <c r="Y294" s="44">
        <f t="shared" si="160"/>
        <v>602.79201865690891</v>
      </c>
      <c r="Z294" s="44">
        <f t="shared" si="177"/>
        <v>2281.207981343091</v>
      </c>
      <c r="AA294" s="44">
        <f t="shared" si="178"/>
        <v>0</v>
      </c>
      <c r="AB294" s="43">
        <f t="shared" si="167"/>
        <v>116199.72191083342</v>
      </c>
      <c r="AD294" s="72" t="s">
        <v>123</v>
      </c>
      <c r="AE294" s="44">
        <f t="shared" si="179"/>
        <v>180432.38707054401</v>
      </c>
      <c r="AF294" s="44">
        <f t="shared" si="161"/>
        <v>938.74274807387144</v>
      </c>
      <c r="AG294" s="44">
        <f t="shared" si="180"/>
        <v>5103.2572519261284</v>
      </c>
      <c r="AH294" s="44">
        <f t="shared" si="181"/>
        <v>0</v>
      </c>
      <c r="AI294" s="43">
        <f t="shared" si="168"/>
        <v>175329.12981861789</v>
      </c>
      <c r="AK294" s="101">
        <f t="shared" si="188"/>
        <v>2050</v>
      </c>
      <c r="AL294" s="101">
        <f t="shared" si="162"/>
        <v>4</v>
      </c>
      <c r="AM294" s="118">
        <f t="shared" si="182"/>
        <v>0</v>
      </c>
      <c r="AN294" s="100">
        <f t="shared" si="183"/>
        <v>6629.7014461969638</v>
      </c>
      <c r="AO294" s="100">
        <f t="shared" si="184"/>
        <v>10705.845640046766</v>
      </c>
      <c r="AP294" s="100">
        <f t="shared" si="185"/>
        <v>6629.7014461969638</v>
      </c>
      <c r="AQ294" s="1">
        <f t="shared" si="186"/>
        <v>28840</v>
      </c>
      <c r="AR294" s="100">
        <f t="shared" si="169"/>
        <v>116199.72191083342</v>
      </c>
      <c r="AS294" s="100">
        <f t="shared" si="170"/>
        <v>17335.547086243729</v>
      </c>
      <c r="AT294" s="100">
        <f t="shared" si="187"/>
        <v>71924.452913756279</v>
      </c>
      <c r="AU294" s="1">
        <f t="shared" si="171"/>
        <v>89260</v>
      </c>
      <c r="AV294" s="100">
        <f t="shared" si="172"/>
        <v>291528.85172945133</v>
      </c>
    </row>
    <row r="295" spans="4:48">
      <c r="D295" s="39">
        <f t="shared" si="173"/>
        <v>287</v>
      </c>
      <c r="E295" s="40">
        <f t="shared" si="152"/>
        <v>2050</v>
      </c>
      <c r="F295" s="35">
        <f t="shared" si="156"/>
        <v>54938</v>
      </c>
      <c r="G295" s="36">
        <f t="shared" si="158"/>
        <v>5</v>
      </c>
      <c r="H295" s="41">
        <f t="shared" si="157"/>
        <v>31</v>
      </c>
      <c r="I295" s="37" t="s">
        <v>123</v>
      </c>
      <c r="J295" s="27">
        <f t="shared" si="174"/>
        <v>0</v>
      </c>
      <c r="K295" s="27">
        <f t="shared" si="163"/>
        <v>0</v>
      </c>
      <c r="L295" s="27">
        <f t="shared" si="175"/>
        <v>0</v>
      </c>
      <c r="M295" s="27">
        <f t="shared" si="164"/>
        <v>0</v>
      </c>
      <c r="N295" s="27">
        <f t="shared" si="165"/>
        <v>0</v>
      </c>
      <c r="P295" s="72" t="s">
        <v>123</v>
      </c>
      <c r="Q295" s="44">
        <f t="shared" si="153"/>
        <v>0</v>
      </c>
      <c r="R295" s="44">
        <f t="shared" si="159"/>
        <v>0</v>
      </c>
      <c r="S295" s="44">
        <f t="shared" si="154"/>
        <v>0</v>
      </c>
      <c r="T295" s="44">
        <f t="shared" si="155"/>
        <v>0</v>
      </c>
      <c r="U295" s="43">
        <f t="shared" si="166"/>
        <v>0</v>
      </c>
      <c r="W295" s="72" t="s">
        <v>123</v>
      </c>
      <c r="X295" s="44">
        <f t="shared" si="176"/>
        <v>116199.72191083342</v>
      </c>
      <c r="Y295" s="44">
        <f t="shared" si="160"/>
        <v>610.89218184848835</v>
      </c>
      <c r="Z295" s="44">
        <f t="shared" si="177"/>
        <v>2273.1078181515118</v>
      </c>
      <c r="AA295" s="44">
        <f t="shared" si="178"/>
        <v>0</v>
      </c>
      <c r="AB295" s="43">
        <f t="shared" si="167"/>
        <v>113926.61409268191</v>
      </c>
      <c r="AD295" s="72" t="s">
        <v>123</v>
      </c>
      <c r="AE295" s="44">
        <f t="shared" si="179"/>
        <v>175329.12981861789</v>
      </c>
      <c r="AF295" s="44">
        <f t="shared" si="161"/>
        <v>942.59822313170923</v>
      </c>
      <c r="AG295" s="44">
        <f t="shared" si="180"/>
        <v>5099.4017768682907</v>
      </c>
      <c r="AH295" s="44">
        <f t="shared" si="181"/>
        <v>0</v>
      </c>
      <c r="AI295" s="43">
        <f t="shared" si="168"/>
        <v>170229.72804174959</v>
      </c>
      <c r="AK295" s="101">
        <f t="shared" si="188"/>
        <v>2050</v>
      </c>
      <c r="AL295" s="101">
        <f t="shared" si="162"/>
        <v>5</v>
      </c>
      <c r="AM295" s="118">
        <f t="shared" si="182"/>
        <v>0</v>
      </c>
      <c r="AN295" s="100">
        <f t="shared" si="183"/>
        <v>7240.5936280454525</v>
      </c>
      <c r="AO295" s="100">
        <f t="shared" si="184"/>
        <v>11648.443863178474</v>
      </c>
      <c r="AP295" s="100">
        <f t="shared" si="185"/>
        <v>7240.5936280454525</v>
      </c>
      <c r="AQ295" s="1">
        <f t="shared" si="186"/>
        <v>31724</v>
      </c>
      <c r="AR295" s="100">
        <f t="shared" si="169"/>
        <v>113926.61409268191</v>
      </c>
      <c r="AS295" s="100">
        <f t="shared" si="170"/>
        <v>18889.037491223928</v>
      </c>
      <c r="AT295" s="100">
        <f t="shared" si="187"/>
        <v>79296.962508776094</v>
      </c>
      <c r="AU295" s="1">
        <f t="shared" si="171"/>
        <v>98186.000000000029</v>
      </c>
      <c r="AV295" s="100">
        <f t="shared" si="172"/>
        <v>284156.34213443147</v>
      </c>
    </row>
    <row r="296" spans="4:48">
      <c r="D296" s="39">
        <f t="shared" si="173"/>
        <v>288</v>
      </c>
      <c r="E296" s="40">
        <f t="shared" si="152"/>
        <v>2050</v>
      </c>
      <c r="F296" s="35">
        <f t="shared" si="156"/>
        <v>54969</v>
      </c>
      <c r="G296" s="36">
        <f t="shared" si="158"/>
        <v>6</v>
      </c>
      <c r="H296" s="41">
        <f t="shared" si="157"/>
        <v>30</v>
      </c>
      <c r="I296" s="37" t="s">
        <v>123</v>
      </c>
      <c r="J296" s="27">
        <f t="shared" si="174"/>
        <v>0</v>
      </c>
      <c r="K296" s="27">
        <f t="shared" si="163"/>
        <v>0</v>
      </c>
      <c r="L296" s="27">
        <f t="shared" si="175"/>
        <v>0</v>
      </c>
      <c r="M296" s="27">
        <f t="shared" si="164"/>
        <v>0</v>
      </c>
      <c r="N296" s="27">
        <f t="shared" si="165"/>
        <v>0</v>
      </c>
      <c r="P296" s="72" t="s">
        <v>123</v>
      </c>
      <c r="Q296" s="44">
        <f t="shared" si="153"/>
        <v>0</v>
      </c>
      <c r="R296" s="44">
        <f t="shared" si="159"/>
        <v>0</v>
      </c>
      <c r="S296" s="44">
        <f t="shared" si="154"/>
        <v>0</v>
      </c>
      <c r="T296" s="44">
        <f t="shared" si="155"/>
        <v>0</v>
      </c>
      <c r="U296" s="43">
        <f t="shared" si="166"/>
        <v>0</v>
      </c>
      <c r="W296" s="72" t="s">
        <v>123</v>
      </c>
      <c r="X296" s="44">
        <f t="shared" si="176"/>
        <v>113926.61409268191</v>
      </c>
      <c r="Y296" s="44">
        <f t="shared" si="160"/>
        <v>579.62115717838435</v>
      </c>
      <c r="Z296" s="44">
        <f t="shared" si="177"/>
        <v>2304.3788428216158</v>
      </c>
      <c r="AA296" s="44">
        <f t="shared" si="178"/>
        <v>0</v>
      </c>
      <c r="AB296" s="43">
        <f t="shared" si="167"/>
        <v>111622.23524986028</v>
      </c>
      <c r="AD296" s="72" t="s">
        <v>123</v>
      </c>
      <c r="AE296" s="44">
        <f t="shared" si="179"/>
        <v>170229.72804174959</v>
      </c>
      <c r="AF296" s="44">
        <f t="shared" si="161"/>
        <v>885.66096863365067</v>
      </c>
      <c r="AG296" s="44">
        <f t="shared" si="180"/>
        <v>5156.3390313663494</v>
      </c>
      <c r="AH296" s="44">
        <f t="shared" si="181"/>
        <v>0</v>
      </c>
      <c r="AI296" s="43">
        <f t="shared" si="168"/>
        <v>165073.38901038325</v>
      </c>
      <c r="AK296" s="101">
        <f t="shared" si="188"/>
        <v>2050</v>
      </c>
      <c r="AL296" s="101">
        <f t="shared" si="162"/>
        <v>6</v>
      </c>
      <c r="AM296" s="118">
        <f t="shared" si="182"/>
        <v>0</v>
      </c>
      <c r="AN296" s="100">
        <f t="shared" si="183"/>
        <v>7820.2147852238368</v>
      </c>
      <c r="AO296" s="100">
        <f t="shared" si="184"/>
        <v>12534.104831812125</v>
      </c>
      <c r="AP296" s="100">
        <f t="shared" si="185"/>
        <v>7820.2147852238368</v>
      </c>
      <c r="AQ296" s="1">
        <f t="shared" si="186"/>
        <v>34608</v>
      </c>
      <c r="AR296" s="100">
        <f t="shared" si="169"/>
        <v>111622.23524986028</v>
      </c>
      <c r="AS296" s="100">
        <f t="shared" si="170"/>
        <v>20354.319617035962</v>
      </c>
      <c r="AT296" s="100">
        <f t="shared" si="187"/>
        <v>86757.68038296407</v>
      </c>
      <c r="AU296" s="1">
        <f t="shared" si="171"/>
        <v>107112.00000000003</v>
      </c>
      <c r="AV296" s="100">
        <f t="shared" si="172"/>
        <v>276695.62426024355</v>
      </c>
    </row>
    <row r="297" spans="4:48">
      <c r="D297" s="39">
        <f t="shared" si="173"/>
        <v>289</v>
      </c>
      <c r="E297" s="40">
        <f t="shared" si="152"/>
        <v>2051</v>
      </c>
      <c r="F297" s="35">
        <f t="shared" si="156"/>
        <v>54999</v>
      </c>
      <c r="G297" s="36">
        <f t="shared" si="158"/>
        <v>7</v>
      </c>
      <c r="H297" s="41">
        <f t="shared" si="157"/>
        <v>31</v>
      </c>
      <c r="I297" s="37" t="s">
        <v>123</v>
      </c>
      <c r="J297" s="27">
        <f t="shared" si="174"/>
        <v>0</v>
      </c>
      <c r="K297" s="27">
        <f t="shared" si="163"/>
        <v>0</v>
      </c>
      <c r="L297" s="27">
        <f t="shared" si="175"/>
        <v>0</v>
      </c>
      <c r="M297" s="27">
        <f t="shared" si="164"/>
        <v>0</v>
      </c>
      <c r="N297" s="27">
        <f t="shared" si="165"/>
        <v>0</v>
      </c>
      <c r="P297" s="72" t="s">
        <v>123</v>
      </c>
      <c r="Q297" s="44">
        <f t="shared" si="153"/>
        <v>0</v>
      </c>
      <c r="R297" s="44">
        <f t="shared" si="159"/>
        <v>0</v>
      </c>
      <c r="S297" s="44">
        <f t="shared" si="154"/>
        <v>0</v>
      </c>
      <c r="T297" s="44">
        <f t="shared" si="155"/>
        <v>0</v>
      </c>
      <c r="U297" s="43">
        <f t="shared" si="166"/>
        <v>0</v>
      </c>
      <c r="W297" s="72" t="s">
        <v>123</v>
      </c>
      <c r="X297" s="44">
        <f t="shared" si="176"/>
        <v>111622.23524986028</v>
      </c>
      <c r="Y297" s="44">
        <f t="shared" si="160"/>
        <v>586.82714307111485</v>
      </c>
      <c r="Z297" s="44">
        <f t="shared" si="177"/>
        <v>2297.1728569288853</v>
      </c>
      <c r="AA297" s="44">
        <f t="shared" si="178"/>
        <v>0</v>
      </c>
      <c r="AB297" s="43">
        <f t="shared" si="167"/>
        <v>109325.0623929314</v>
      </c>
      <c r="AD297" s="72" t="s">
        <v>123</v>
      </c>
      <c r="AE297" s="44">
        <f t="shared" si="179"/>
        <v>165073.38901038325</v>
      </c>
      <c r="AF297" s="44">
        <f t="shared" si="161"/>
        <v>887.46167467143846</v>
      </c>
      <c r="AG297" s="44">
        <f t="shared" si="180"/>
        <v>5154.5383253285618</v>
      </c>
      <c r="AH297" s="44">
        <f t="shared" si="181"/>
        <v>0</v>
      </c>
      <c r="AI297" s="43">
        <f t="shared" si="168"/>
        <v>159918.8506850547</v>
      </c>
      <c r="AK297" s="101">
        <f t="shared" si="188"/>
        <v>2051</v>
      </c>
      <c r="AL297" s="101">
        <f t="shared" si="162"/>
        <v>7</v>
      </c>
      <c r="AM297" s="118">
        <f t="shared" si="182"/>
        <v>0</v>
      </c>
      <c r="AN297" s="100">
        <f t="shared" si="183"/>
        <v>586.82714307111485</v>
      </c>
      <c r="AO297" s="100">
        <f t="shared" si="184"/>
        <v>887.46167467143846</v>
      </c>
      <c r="AP297" s="100">
        <f t="shared" si="185"/>
        <v>586.82714307111485</v>
      </c>
      <c r="AQ297" s="1">
        <f t="shared" si="186"/>
        <v>2884</v>
      </c>
      <c r="AR297" s="100">
        <f t="shared" si="169"/>
        <v>109325.0623929314</v>
      </c>
      <c r="AS297" s="100">
        <f t="shared" si="170"/>
        <v>1474.2888177425534</v>
      </c>
      <c r="AT297" s="100">
        <f t="shared" si="187"/>
        <v>7451.711182257447</v>
      </c>
      <c r="AU297" s="1">
        <f t="shared" si="171"/>
        <v>8926</v>
      </c>
      <c r="AV297" s="100">
        <f t="shared" si="172"/>
        <v>269243.9130779861</v>
      </c>
    </row>
    <row r="298" spans="4:48">
      <c r="D298" s="39">
        <f t="shared" si="173"/>
        <v>290</v>
      </c>
      <c r="E298" s="40">
        <f t="shared" si="152"/>
        <v>2051</v>
      </c>
      <c r="F298" s="35">
        <f t="shared" si="156"/>
        <v>55030</v>
      </c>
      <c r="G298" s="36">
        <f t="shared" si="158"/>
        <v>8</v>
      </c>
      <c r="H298" s="41">
        <f t="shared" si="157"/>
        <v>31</v>
      </c>
      <c r="I298" s="37" t="s">
        <v>123</v>
      </c>
      <c r="J298" s="27">
        <f t="shared" si="174"/>
        <v>0</v>
      </c>
      <c r="K298" s="27">
        <f t="shared" si="163"/>
        <v>0</v>
      </c>
      <c r="L298" s="27">
        <f t="shared" si="175"/>
        <v>0</v>
      </c>
      <c r="M298" s="27">
        <f t="shared" si="164"/>
        <v>0</v>
      </c>
      <c r="N298" s="27">
        <f t="shared" si="165"/>
        <v>0</v>
      </c>
      <c r="P298" s="72" t="s">
        <v>123</v>
      </c>
      <c r="Q298" s="44">
        <f t="shared" si="153"/>
        <v>0</v>
      </c>
      <c r="R298" s="44">
        <f t="shared" si="159"/>
        <v>0</v>
      </c>
      <c r="S298" s="44">
        <f t="shared" si="154"/>
        <v>0</v>
      </c>
      <c r="T298" s="44">
        <f t="shared" si="155"/>
        <v>0</v>
      </c>
      <c r="U298" s="43">
        <f t="shared" si="166"/>
        <v>0</v>
      </c>
      <c r="W298" s="72" t="s">
        <v>123</v>
      </c>
      <c r="X298" s="44">
        <f t="shared" si="176"/>
        <v>109325.0623929314</v>
      </c>
      <c r="Y298" s="44">
        <f t="shared" si="160"/>
        <v>574.75030746793436</v>
      </c>
      <c r="Z298" s="44">
        <f t="shared" si="177"/>
        <v>2309.2496925320656</v>
      </c>
      <c r="AA298" s="44">
        <f t="shared" si="178"/>
        <v>0</v>
      </c>
      <c r="AB298" s="43">
        <f t="shared" si="167"/>
        <v>107015.81270039934</v>
      </c>
      <c r="AD298" s="72" t="s">
        <v>123</v>
      </c>
      <c r="AE298" s="44">
        <f t="shared" si="179"/>
        <v>159918.8506850547</v>
      </c>
      <c r="AF298" s="44">
        <f t="shared" si="161"/>
        <v>859.75002931310348</v>
      </c>
      <c r="AG298" s="44">
        <f t="shared" si="180"/>
        <v>5182.2499706868966</v>
      </c>
      <c r="AH298" s="44">
        <f t="shared" si="181"/>
        <v>0</v>
      </c>
      <c r="AI298" s="43">
        <f t="shared" si="168"/>
        <v>154736.60071436781</v>
      </c>
      <c r="AK298" s="101">
        <f t="shared" si="188"/>
        <v>2051</v>
      </c>
      <c r="AL298" s="101">
        <f t="shared" si="162"/>
        <v>8</v>
      </c>
      <c r="AM298" s="118">
        <f t="shared" si="182"/>
        <v>0</v>
      </c>
      <c r="AN298" s="100">
        <f t="shared" si="183"/>
        <v>1161.5774505390491</v>
      </c>
      <c r="AO298" s="100">
        <f t="shared" si="184"/>
        <v>1747.2117039845421</v>
      </c>
      <c r="AP298" s="100">
        <f t="shared" si="185"/>
        <v>1161.5774505390491</v>
      </c>
      <c r="AQ298" s="1">
        <f t="shared" si="186"/>
        <v>5768</v>
      </c>
      <c r="AR298" s="100">
        <f t="shared" si="169"/>
        <v>107015.81270039934</v>
      </c>
      <c r="AS298" s="100">
        <f t="shared" si="170"/>
        <v>2908.7891545235912</v>
      </c>
      <c r="AT298" s="100">
        <f t="shared" si="187"/>
        <v>14943.210845476409</v>
      </c>
      <c r="AU298" s="1">
        <f t="shared" si="171"/>
        <v>17852</v>
      </c>
      <c r="AV298" s="100">
        <f t="shared" si="172"/>
        <v>261752.41341476716</v>
      </c>
    </row>
    <row r="299" spans="4:48">
      <c r="D299" s="39">
        <f t="shared" si="173"/>
        <v>291</v>
      </c>
      <c r="E299" s="40">
        <f t="shared" si="152"/>
        <v>2051</v>
      </c>
      <c r="F299" s="35">
        <f t="shared" si="156"/>
        <v>55061</v>
      </c>
      <c r="G299" s="36">
        <f t="shared" si="158"/>
        <v>9</v>
      </c>
      <c r="H299" s="41">
        <f t="shared" si="157"/>
        <v>30</v>
      </c>
      <c r="I299" s="37" t="s">
        <v>123</v>
      </c>
      <c r="J299" s="27">
        <f t="shared" si="174"/>
        <v>0</v>
      </c>
      <c r="K299" s="27">
        <f t="shared" si="163"/>
        <v>0</v>
      </c>
      <c r="L299" s="27">
        <f t="shared" si="175"/>
        <v>0</v>
      </c>
      <c r="M299" s="27">
        <f t="shared" si="164"/>
        <v>0</v>
      </c>
      <c r="N299" s="27">
        <f t="shared" si="165"/>
        <v>0</v>
      </c>
      <c r="P299" s="72" t="s">
        <v>123</v>
      </c>
      <c r="Q299" s="44">
        <f t="shared" si="153"/>
        <v>0</v>
      </c>
      <c r="R299" s="44">
        <f t="shared" si="159"/>
        <v>0</v>
      </c>
      <c r="S299" s="44">
        <f t="shared" si="154"/>
        <v>0</v>
      </c>
      <c r="T299" s="44">
        <f t="shared" si="155"/>
        <v>0</v>
      </c>
      <c r="U299" s="43">
        <f t="shared" si="166"/>
        <v>0</v>
      </c>
      <c r="W299" s="72" t="s">
        <v>123</v>
      </c>
      <c r="X299" s="44">
        <f t="shared" si="176"/>
        <v>107015.81270039934</v>
      </c>
      <c r="Y299" s="44">
        <f t="shared" si="160"/>
        <v>544.46127173874402</v>
      </c>
      <c r="Z299" s="44">
        <f t="shared" si="177"/>
        <v>2339.538728261256</v>
      </c>
      <c r="AA299" s="44">
        <f t="shared" si="178"/>
        <v>0</v>
      </c>
      <c r="AB299" s="43">
        <f t="shared" si="167"/>
        <v>104676.27397213809</v>
      </c>
      <c r="AD299" s="72" t="s">
        <v>123</v>
      </c>
      <c r="AE299" s="44">
        <f t="shared" si="179"/>
        <v>154736.60071436781</v>
      </c>
      <c r="AF299" s="44">
        <f t="shared" si="161"/>
        <v>805.05425960708067</v>
      </c>
      <c r="AG299" s="44">
        <f t="shared" si="180"/>
        <v>5236.9457403929191</v>
      </c>
      <c r="AH299" s="44">
        <f t="shared" si="181"/>
        <v>0</v>
      </c>
      <c r="AI299" s="43">
        <f t="shared" si="168"/>
        <v>149499.65497397489</v>
      </c>
      <c r="AK299" s="101">
        <f t="shared" si="188"/>
        <v>2051</v>
      </c>
      <c r="AL299" s="101">
        <f t="shared" si="162"/>
        <v>9</v>
      </c>
      <c r="AM299" s="118">
        <f t="shared" si="182"/>
        <v>0</v>
      </c>
      <c r="AN299" s="100">
        <f t="shared" si="183"/>
        <v>1706.0387222777931</v>
      </c>
      <c r="AO299" s="100">
        <f t="shared" si="184"/>
        <v>2552.2659635916225</v>
      </c>
      <c r="AP299" s="100">
        <f t="shared" si="185"/>
        <v>1706.0387222777931</v>
      </c>
      <c r="AQ299" s="1">
        <f t="shared" si="186"/>
        <v>8652</v>
      </c>
      <c r="AR299" s="100">
        <f t="shared" si="169"/>
        <v>104676.27397213809</v>
      </c>
      <c r="AS299" s="100">
        <f t="shared" si="170"/>
        <v>4258.3046858694161</v>
      </c>
      <c r="AT299" s="100">
        <f t="shared" si="187"/>
        <v>22519.695314130586</v>
      </c>
      <c r="AU299" s="1">
        <f t="shared" si="171"/>
        <v>26778</v>
      </c>
      <c r="AV299" s="100">
        <f t="shared" si="172"/>
        <v>254175.92894611298</v>
      </c>
    </row>
    <row r="300" spans="4:48">
      <c r="D300" s="39">
        <f t="shared" si="173"/>
        <v>292</v>
      </c>
      <c r="E300" s="40">
        <f t="shared" si="152"/>
        <v>2051</v>
      </c>
      <c r="F300" s="35">
        <f t="shared" si="156"/>
        <v>55091</v>
      </c>
      <c r="G300" s="36">
        <f t="shared" si="158"/>
        <v>10</v>
      </c>
      <c r="H300" s="41">
        <f t="shared" si="157"/>
        <v>31</v>
      </c>
      <c r="I300" s="37" t="s">
        <v>123</v>
      </c>
      <c r="J300" s="27">
        <f t="shared" si="174"/>
        <v>0</v>
      </c>
      <c r="K300" s="27">
        <f t="shared" si="163"/>
        <v>0</v>
      </c>
      <c r="L300" s="27">
        <f t="shared" si="175"/>
        <v>0</v>
      </c>
      <c r="M300" s="27">
        <f t="shared" si="164"/>
        <v>0</v>
      </c>
      <c r="N300" s="27">
        <f t="shared" si="165"/>
        <v>0</v>
      </c>
      <c r="P300" s="72" t="s">
        <v>123</v>
      </c>
      <c r="Q300" s="44">
        <f t="shared" si="153"/>
        <v>0</v>
      </c>
      <c r="R300" s="44">
        <f t="shared" si="159"/>
        <v>0</v>
      </c>
      <c r="S300" s="44">
        <f t="shared" si="154"/>
        <v>0</v>
      </c>
      <c r="T300" s="44">
        <f t="shared" si="155"/>
        <v>0</v>
      </c>
      <c r="U300" s="43">
        <f t="shared" si="166"/>
        <v>0</v>
      </c>
      <c r="W300" s="72" t="s">
        <v>123</v>
      </c>
      <c r="X300" s="44">
        <f t="shared" si="176"/>
        <v>104676.27397213809</v>
      </c>
      <c r="Y300" s="44">
        <f t="shared" si="160"/>
        <v>550.31041678119391</v>
      </c>
      <c r="Z300" s="44">
        <f t="shared" si="177"/>
        <v>2333.6895832188061</v>
      </c>
      <c r="AA300" s="44">
        <f t="shared" si="178"/>
        <v>0</v>
      </c>
      <c r="AB300" s="43">
        <f t="shared" si="167"/>
        <v>102342.58438891929</v>
      </c>
      <c r="AD300" s="72" t="s">
        <v>123</v>
      </c>
      <c r="AE300" s="44">
        <f t="shared" si="179"/>
        <v>149499.65497397489</v>
      </c>
      <c r="AF300" s="44">
        <f t="shared" si="161"/>
        <v>803.73472042583808</v>
      </c>
      <c r="AG300" s="44">
        <f t="shared" si="180"/>
        <v>5238.2652795741615</v>
      </c>
      <c r="AH300" s="44">
        <f t="shared" si="181"/>
        <v>0</v>
      </c>
      <c r="AI300" s="43">
        <f t="shared" si="168"/>
        <v>144261.38969440071</v>
      </c>
      <c r="AK300" s="101">
        <f t="shared" si="188"/>
        <v>2051</v>
      </c>
      <c r="AL300" s="101">
        <f t="shared" si="162"/>
        <v>10</v>
      </c>
      <c r="AM300" s="118">
        <f t="shared" si="182"/>
        <v>0</v>
      </c>
      <c r="AN300" s="100">
        <f t="shared" si="183"/>
        <v>2256.349139058987</v>
      </c>
      <c r="AO300" s="100">
        <f t="shared" si="184"/>
        <v>3356.0006840174606</v>
      </c>
      <c r="AP300" s="100">
        <f t="shared" si="185"/>
        <v>2256.349139058987</v>
      </c>
      <c r="AQ300" s="1">
        <f t="shared" si="186"/>
        <v>11536</v>
      </c>
      <c r="AR300" s="100">
        <f t="shared" si="169"/>
        <v>102342.58438891929</v>
      </c>
      <c r="AS300" s="100">
        <f t="shared" si="170"/>
        <v>5612.3498230764471</v>
      </c>
      <c r="AT300" s="100">
        <f t="shared" si="187"/>
        <v>30091.650176923555</v>
      </c>
      <c r="AU300" s="1">
        <f t="shared" si="171"/>
        <v>35704</v>
      </c>
      <c r="AV300" s="100">
        <f t="shared" si="172"/>
        <v>246603.97408332</v>
      </c>
    </row>
    <row r="301" spans="4:48">
      <c r="D301" s="39">
        <f t="shared" si="173"/>
        <v>293</v>
      </c>
      <c r="E301" s="40">
        <f t="shared" ref="E301:E337" si="189">IF(MONTH(EDATE($E$5,D301))&lt;7,YEAR(EDATE($E$5,D301)),YEAR(EDATE($E$5,D301))+1)</f>
        <v>2051</v>
      </c>
      <c r="F301" s="35">
        <f t="shared" si="156"/>
        <v>55122</v>
      </c>
      <c r="G301" s="36">
        <f t="shared" si="158"/>
        <v>11</v>
      </c>
      <c r="H301" s="41">
        <f t="shared" si="157"/>
        <v>30</v>
      </c>
      <c r="I301" s="37" t="s">
        <v>123</v>
      </c>
      <c r="J301" s="27">
        <f t="shared" si="174"/>
        <v>0</v>
      </c>
      <c r="K301" s="27">
        <f t="shared" si="163"/>
        <v>0</v>
      </c>
      <c r="L301" s="27">
        <f t="shared" si="175"/>
        <v>0</v>
      </c>
      <c r="M301" s="27">
        <f t="shared" si="164"/>
        <v>0</v>
      </c>
      <c r="N301" s="27">
        <f t="shared" si="165"/>
        <v>0</v>
      </c>
      <c r="P301" s="72" t="s">
        <v>123</v>
      </c>
      <c r="Q301" s="44">
        <f t="shared" ref="Q301:Q364" si="190">IF(P301="PI",IF(U300&lt;=0,0,U300),(IF(P301="IO",Q300,"")))*IF(U300&lt;=0,0,1)</f>
        <v>0</v>
      </c>
      <c r="R301" s="44">
        <f t="shared" si="159"/>
        <v>0</v>
      </c>
      <c r="S301" s="44">
        <f t="shared" ref="S301:S364" si="191">IF(P301="IO",0,$R$6-R301)*IF(Q301&gt;0,1,0)</f>
        <v>0</v>
      </c>
      <c r="T301" s="44">
        <f t="shared" ref="T301:T364" si="192">IF(P301="IO",$R$6-R301+IF(ISNUMBER(T300),T300,0),IF(ISNUMBER(T300),T300,0))</f>
        <v>0</v>
      </c>
      <c r="U301" s="43">
        <f t="shared" si="166"/>
        <v>0</v>
      </c>
      <c r="W301" s="72" t="s">
        <v>123</v>
      </c>
      <c r="X301" s="44">
        <f t="shared" si="176"/>
        <v>102342.58438891929</v>
      </c>
      <c r="Y301" s="44">
        <f t="shared" si="160"/>
        <v>520.68542249376196</v>
      </c>
      <c r="Z301" s="44">
        <f t="shared" si="177"/>
        <v>2363.314577506238</v>
      </c>
      <c r="AA301" s="44">
        <f t="shared" si="178"/>
        <v>0</v>
      </c>
      <c r="AB301" s="43">
        <f t="shared" si="167"/>
        <v>99979.269811413047</v>
      </c>
      <c r="AD301" s="72" t="s">
        <v>123</v>
      </c>
      <c r="AE301" s="44">
        <f t="shared" si="179"/>
        <v>144261.38969440071</v>
      </c>
      <c r="AF301" s="44">
        <f t="shared" si="161"/>
        <v>750.5544630949779</v>
      </c>
      <c r="AG301" s="44">
        <f t="shared" si="180"/>
        <v>5291.445536905022</v>
      </c>
      <c r="AH301" s="44">
        <f t="shared" si="181"/>
        <v>0</v>
      </c>
      <c r="AI301" s="43">
        <f t="shared" si="168"/>
        <v>138969.94415749569</v>
      </c>
      <c r="AK301" s="101">
        <f t="shared" si="188"/>
        <v>2051</v>
      </c>
      <c r="AL301" s="101">
        <f t="shared" si="162"/>
        <v>11</v>
      </c>
      <c r="AM301" s="118">
        <f t="shared" si="182"/>
        <v>0</v>
      </c>
      <c r="AN301" s="100">
        <f t="shared" si="183"/>
        <v>2777.034561552749</v>
      </c>
      <c r="AO301" s="100">
        <f t="shared" si="184"/>
        <v>4106.5551471124381</v>
      </c>
      <c r="AP301" s="100">
        <f t="shared" si="185"/>
        <v>2777.034561552749</v>
      </c>
      <c r="AQ301" s="1">
        <f t="shared" si="186"/>
        <v>14420</v>
      </c>
      <c r="AR301" s="100">
        <f t="shared" si="169"/>
        <v>99979.269811413047</v>
      </c>
      <c r="AS301" s="100">
        <f t="shared" si="170"/>
        <v>6883.5897086651876</v>
      </c>
      <c r="AT301" s="100">
        <f t="shared" si="187"/>
        <v>37746.410291334811</v>
      </c>
      <c r="AU301" s="1">
        <f t="shared" si="171"/>
        <v>44630</v>
      </c>
      <c r="AV301" s="100">
        <f t="shared" si="172"/>
        <v>238949.21396890873</v>
      </c>
    </row>
    <row r="302" spans="4:48">
      <c r="D302" s="39">
        <f t="shared" si="173"/>
        <v>294</v>
      </c>
      <c r="E302" s="40">
        <f t="shared" si="189"/>
        <v>2051</v>
      </c>
      <c r="F302" s="35">
        <f t="shared" si="156"/>
        <v>55152</v>
      </c>
      <c r="G302" s="36">
        <f t="shared" si="158"/>
        <v>12</v>
      </c>
      <c r="H302" s="41">
        <f t="shared" si="157"/>
        <v>31</v>
      </c>
      <c r="I302" s="37" t="s">
        <v>123</v>
      </c>
      <c r="J302" s="27">
        <f t="shared" si="174"/>
        <v>0</v>
      </c>
      <c r="K302" s="27">
        <f t="shared" si="163"/>
        <v>0</v>
      </c>
      <c r="L302" s="27">
        <f t="shared" si="175"/>
        <v>0</v>
      </c>
      <c r="M302" s="27">
        <f t="shared" si="164"/>
        <v>0</v>
      </c>
      <c r="N302" s="27">
        <f t="shared" si="165"/>
        <v>0</v>
      </c>
      <c r="P302" s="72" t="s">
        <v>123</v>
      </c>
      <c r="Q302" s="44">
        <f t="shared" si="190"/>
        <v>0</v>
      </c>
      <c r="R302" s="44">
        <f t="shared" si="159"/>
        <v>0</v>
      </c>
      <c r="S302" s="44">
        <f t="shared" si="191"/>
        <v>0</v>
      </c>
      <c r="T302" s="44">
        <f t="shared" si="192"/>
        <v>0</v>
      </c>
      <c r="U302" s="43">
        <f t="shared" si="166"/>
        <v>0</v>
      </c>
      <c r="W302" s="72" t="s">
        <v>123</v>
      </c>
      <c r="X302" s="44">
        <f t="shared" si="176"/>
        <v>99979.269811413047</v>
      </c>
      <c r="Y302" s="44">
        <f t="shared" si="160"/>
        <v>525.61704340033009</v>
      </c>
      <c r="Z302" s="44">
        <f t="shared" si="177"/>
        <v>2358.3829565996698</v>
      </c>
      <c r="AA302" s="44">
        <f t="shared" si="178"/>
        <v>0</v>
      </c>
      <c r="AB302" s="43">
        <f t="shared" si="167"/>
        <v>97620.886854813376</v>
      </c>
      <c r="AD302" s="72" t="s">
        <v>123</v>
      </c>
      <c r="AE302" s="44">
        <f t="shared" si="179"/>
        <v>138969.94415749569</v>
      </c>
      <c r="AF302" s="44">
        <f t="shared" si="161"/>
        <v>747.12526416507887</v>
      </c>
      <c r="AG302" s="44">
        <f t="shared" si="180"/>
        <v>5294.874735834921</v>
      </c>
      <c r="AH302" s="44">
        <f t="shared" si="181"/>
        <v>0</v>
      </c>
      <c r="AI302" s="43">
        <f t="shared" si="168"/>
        <v>133675.06942166077</v>
      </c>
      <c r="AK302" s="101">
        <f t="shared" si="188"/>
        <v>2051</v>
      </c>
      <c r="AL302" s="101">
        <f t="shared" si="162"/>
        <v>12</v>
      </c>
      <c r="AM302" s="118">
        <f t="shared" si="182"/>
        <v>0</v>
      </c>
      <c r="AN302" s="100">
        <f t="shared" si="183"/>
        <v>3302.6516049530792</v>
      </c>
      <c r="AO302" s="100">
        <f t="shared" si="184"/>
        <v>4853.6804112775171</v>
      </c>
      <c r="AP302" s="100">
        <f t="shared" si="185"/>
        <v>3302.6516049530792</v>
      </c>
      <c r="AQ302" s="1">
        <f t="shared" si="186"/>
        <v>17304</v>
      </c>
      <c r="AR302" s="100">
        <f t="shared" si="169"/>
        <v>97620.886854813376</v>
      </c>
      <c r="AS302" s="100">
        <f t="shared" si="170"/>
        <v>8156.3320162305963</v>
      </c>
      <c r="AT302" s="100">
        <f t="shared" si="187"/>
        <v>45399.667983769403</v>
      </c>
      <c r="AU302" s="1">
        <f t="shared" si="171"/>
        <v>53556</v>
      </c>
      <c r="AV302" s="100">
        <f t="shared" si="172"/>
        <v>231295.95627647414</v>
      </c>
    </row>
    <row r="303" spans="4:48">
      <c r="D303" s="39">
        <f t="shared" si="173"/>
        <v>295</v>
      </c>
      <c r="E303" s="40">
        <f t="shared" si="189"/>
        <v>2051</v>
      </c>
      <c r="F303" s="35">
        <f t="shared" si="156"/>
        <v>55183</v>
      </c>
      <c r="G303" s="36">
        <f t="shared" si="158"/>
        <v>1</v>
      </c>
      <c r="H303" s="41">
        <f t="shared" si="157"/>
        <v>31</v>
      </c>
      <c r="I303" s="37" t="s">
        <v>123</v>
      </c>
      <c r="J303" s="27">
        <f t="shared" si="174"/>
        <v>0</v>
      </c>
      <c r="K303" s="27">
        <f t="shared" si="163"/>
        <v>0</v>
      </c>
      <c r="L303" s="27">
        <f t="shared" si="175"/>
        <v>0</v>
      </c>
      <c r="M303" s="27">
        <f t="shared" si="164"/>
        <v>0</v>
      </c>
      <c r="N303" s="27">
        <f t="shared" si="165"/>
        <v>0</v>
      </c>
      <c r="P303" s="72" t="s">
        <v>123</v>
      </c>
      <c r="Q303" s="44">
        <f t="shared" si="190"/>
        <v>0</v>
      </c>
      <c r="R303" s="44">
        <f t="shared" si="159"/>
        <v>0</v>
      </c>
      <c r="S303" s="44">
        <f t="shared" si="191"/>
        <v>0</v>
      </c>
      <c r="T303" s="44">
        <f t="shared" si="192"/>
        <v>0</v>
      </c>
      <c r="U303" s="43">
        <f t="shared" si="166"/>
        <v>0</v>
      </c>
      <c r="W303" s="72" t="s">
        <v>123</v>
      </c>
      <c r="X303" s="44">
        <f t="shared" si="176"/>
        <v>97620.886854813376</v>
      </c>
      <c r="Y303" s="44">
        <f t="shared" si="160"/>
        <v>513.21841037178456</v>
      </c>
      <c r="Z303" s="44">
        <f t="shared" si="177"/>
        <v>2370.7815896282154</v>
      </c>
      <c r="AA303" s="44">
        <f t="shared" si="178"/>
        <v>0</v>
      </c>
      <c r="AB303" s="43">
        <f t="shared" si="167"/>
        <v>95250.105265185164</v>
      </c>
      <c r="AD303" s="72" t="s">
        <v>123</v>
      </c>
      <c r="AE303" s="44">
        <f t="shared" si="179"/>
        <v>133675.06942166077</v>
      </c>
      <c r="AF303" s="44">
        <f t="shared" si="161"/>
        <v>718.65914719486284</v>
      </c>
      <c r="AG303" s="44">
        <f t="shared" si="180"/>
        <v>5323.3408528051368</v>
      </c>
      <c r="AH303" s="44">
        <f t="shared" si="181"/>
        <v>0</v>
      </c>
      <c r="AI303" s="43">
        <f t="shared" si="168"/>
        <v>128351.72856885561</v>
      </c>
      <c r="AK303" s="101">
        <f t="shared" si="188"/>
        <v>2051</v>
      </c>
      <c r="AL303" s="101">
        <f t="shared" si="162"/>
        <v>1</v>
      </c>
      <c r="AM303" s="118">
        <f t="shared" si="182"/>
        <v>0</v>
      </c>
      <c r="AN303" s="100">
        <f t="shared" si="183"/>
        <v>3815.8700153248637</v>
      </c>
      <c r="AO303" s="100">
        <f t="shared" si="184"/>
        <v>5572.3395584723803</v>
      </c>
      <c r="AP303" s="100">
        <f t="shared" si="185"/>
        <v>3815.8700153248637</v>
      </c>
      <c r="AQ303" s="1">
        <f t="shared" si="186"/>
        <v>20188</v>
      </c>
      <c r="AR303" s="100">
        <f t="shared" si="169"/>
        <v>95250.105265185164</v>
      </c>
      <c r="AS303" s="100">
        <f t="shared" si="170"/>
        <v>9388.209573797245</v>
      </c>
      <c r="AT303" s="100">
        <f t="shared" si="187"/>
        <v>53093.790426202759</v>
      </c>
      <c r="AU303" s="1">
        <f t="shared" si="171"/>
        <v>62482</v>
      </c>
      <c r="AV303" s="100">
        <f t="shared" si="172"/>
        <v>223601.83383404079</v>
      </c>
    </row>
    <row r="304" spans="4:48">
      <c r="D304" s="39">
        <f t="shared" si="173"/>
        <v>296</v>
      </c>
      <c r="E304" s="40">
        <f t="shared" si="189"/>
        <v>2051</v>
      </c>
      <c r="F304" s="35">
        <f t="shared" si="156"/>
        <v>55212</v>
      </c>
      <c r="G304" s="36">
        <f t="shared" si="158"/>
        <v>2</v>
      </c>
      <c r="H304" s="41">
        <f t="shared" si="157"/>
        <v>28</v>
      </c>
      <c r="I304" s="37" t="s">
        <v>123</v>
      </c>
      <c r="J304" s="27">
        <f t="shared" si="174"/>
        <v>0</v>
      </c>
      <c r="K304" s="27">
        <f t="shared" si="163"/>
        <v>0</v>
      </c>
      <c r="L304" s="27">
        <f t="shared" si="175"/>
        <v>0</v>
      </c>
      <c r="M304" s="27">
        <f t="shared" si="164"/>
        <v>0</v>
      </c>
      <c r="N304" s="27">
        <f t="shared" si="165"/>
        <v>0</v>
      </c>
      <c r="P304" s="72" t="s">
        <v>123</v>
      </c>
      <c r="Q304" s="44">
        <f t="shared" si="190"/>
        <v>0</v>
      </c>
      <c r="R304" s="44">
        <f t="shared" si="159"/>
        <v>0</v>
      </c>
      <c r="S304" s="44">
        <f t="shared" si="191"/>
        <v>0</v>
      </c>
      <c r="T304" s="44">
        <f t="shared" si="192"/>
        <v>0</v>
      </c>
      <c r="U304" s="43">
        <f t="shared" si="166"/>
        <v>0</v>
      </c>
      <c r="W304" s="72" t="s">
        <v>123</v>
      </c>
      <c r="X304" s="44">
        <f t="shared" si="176"/>
        <v>95250.105265185164</v>
      </c>
      <c r="Y304" s="44">
        <f t="shared" si="160"/>
        <v>452.29447245375042</v>
      </c>
      <c r="Z304" s="44">
        <f t="shared" si="177"/>
        <v>2431.7055275462494</v>
      </c>
      <c r="AA304" s="44">
        <f t="shared" si="178"/>
        <v>0</v>
      </c>
      <c r="AB304" s="43">
        <f t="shared" si="167"/>
        <v>92818.399737638916</v>
      </c>
      <c r="AD304" s="72" t="s">
        <v>123</v>
      </c>
      <c r="AE304" s="44">
        <f t="shared" si="179"/>
        <v>128351.72856885561</v>
      </c>
      <c r="AF304" s="44">
        <f t="shared" si="161"/>
        <v>623.26192798750594</v>
      </c>
      <c r="AG304" s="44">
        <f t="shared" si="180"/>
        <v>5418.7380720124938</v>
      </c>
      <c r="AH304" s="44">
        <f t="shared" si="181"/>
        <v>0</v>
      </c>
      <c r="AI304" s="43">
        <f t="shared" si="168"/>
        <v>122932.99049684312</v>
      </c>
      <c r="AK304" s="101">
        <f t="shared" si="188"/>
        <v>2051</v>
      </c>
      <c r="AL304" s="101">
        <f t="shared" si="162"/>
        <v>2</v>
      </c>
      <c r="AM304" s="118">
        <f t="shared" si="182"/>
        <v>0</v>
      </c>
      <c r="AN304" s="100">
        <f t="shared" si="183"/>
        <v>4268.1644877786139</v>
      </c>
      <c r="AO304" s="100">
        <f t="shared" si="184"/>
        <v>6195.6014864598865</v>
      </c>
      <c r="AP304" s="100">
        <f t="shared" si="185"/>
        <v>4268.1644877786139</v>
      </c>
      <c r="AQ304" s="1">
        <f t="shared" si="186"/>
        <v>23072</v>
      </c>
      <c r="AR304" s="100">
        <f t="shared" si="169"/>
        <v>92818.399737638916</v>
      </c>
      <c r="AS304" s="100">
        <f t="shared" si="170"/>
        <v>10463.7659742385</v>
      </c>
      <c r="AT304" s="100">
        <f t="shared" si="187"/>
        <v>60944.2340257615</v>
      </c>
      <c r="AU304" s="1">
        <f t="shared" si="171"/>
        <v>71408</v>
      </c>
      <c r="AV304" s="100">
        <f t="shared" si="172"/>
        <v>215751.39023448204</v>
      </c>
    </row>
    <row r="305" spans="4:48">
      <c r="D305" s="39">
        <f t="shared" si="173"/>
        <v>297</v>
      </c>
      <c r="E305" s="40">
        <f t="shared" si="189"/>
        <v>2051</v>
      </c>
      <c r="F305" s="35">
        <f t="shared" si="156"/>
        <v>55242</v>
      </c>
      <c r="G305" s="36">
        <f t="shared" si="158"/>
        <v>3</v>
      </c>
      <c r="H305" s="41">
        <f t="shared" si="157"/>
        <v>31</v>
      </c>
      <c r="I305" s="37" t="s">
        <v>123</v>
      </c>
      <c r="J305" s="27">
        <f t="shared" si="174"/>
        <v>0</v>
      </c>
      <c r="K305" s="27">
        <f t="shared" si="163"/>
        <v>0</v>
      </c>
      <c r="L305" s="27">
        <f t="shared" si="175"/>
        <v>0</v>
      </c>
      <c r="M305" s="27">
        <f t="shared" si="164"/>
        <v>0</v>
      </c>
      <c r="N305" s="27">
        <f t="shared" si="165"/>
        <v>0</v>
      </c>
      <c r="P305" s="72" t="s">
        <v>123</v>
      </c>
      <c r="Q305" s="44">
        <f t="shared" si="190"/>
        <v>0</v>
      </c>
      <c r="R305" s="44">
        <f t="shared" si="159"/>
        <v>0</v>
      </c>
      <c r="S305" s="44">
        <f t="shared" si="191"/>
        <v>0</v>
      </c>
      <c r="T305" s="44">
        <f t="shared" si="192"/>
        <v>0</v>
      </c>
      <c r="U305" s="43">
        <f t="shared" si="166"/>
        <v>0</v>
      </c>
      <c r="W305" s="72" t="s">
        <v>123</v>
      </c>
      <c r="X305" s="44">
        <f t="shared" si="176"/>
        <v>92818.399737638916</v>
      </c>
      <c r="Y305" s="44">
        <f t="shared" si="160"/>
        <v>487.97048563439813</v>
      </c>
      <c r="Z305" s="44">
        <f t="shared" si="177"/>
        <v>2396.0295143656017</v>
      </c>
      <c r="AA305" s="44">
        <f t="shared" si="178"/>
        <v>0</v>
      </c>
      <c r="AB305" s="43">
        <f t="shared" si="167"/>
        <v>90422.370223273319</v>
      </c>
      <c r="AD305" s="72" t="s">
        <v>123</v>
      </c>
      <c r="AE305" s="44">
        <f t="shared" si="179"/>
        <v>122932.99049684312</v>
      </c>
      <c r="AF305" s="44">
        <f t="shared" si="161"/>
        <v>660.90796507384994</v>
      </c>
      <c r="AG305" s="44">
        <f t="shared" si="180"/>
        <v>5381.0920349261505</v>
      </c>
      <c r="AH305" s="44">
        <f t="shared" si="181"/>
        <v>0</v>
      </c>
      <c r="AI305" s="43">
        <f t="shared" si="168"/>
        <v>117551.89846191698</v>
      </c>
      <c r="AK305" s="101">
        <f t="shared" si="188"/>
        <v>2051</v>
      </c>
      <c r="AL305" s="101">
        <f t="shared" si="162"/>
        <v>3</v>
      </c>
      <c r="AM305" s="118">
        <f t="shared" si="182"/>
        <v>0</v>
      </c>
      <c r="AN305" s="100">
        <f t="shared" si="183"/>
        <v>4756.1349734130117</v>
      </c>
      <c r="AO305" s="100">
        <f t="shared" si="184"/>
        <v>6856.5094515337369</v>
      </c>
      <c r="AP305" s="100">
        <f t="shared" si="185"/>
        <v>4756.1349734130117</v>
      </c>
      <c r="AQ305" s="1">
        <f t="shared" si="186"/>
        <v>25956</v>
      </c>
      <c r="AR305" s="100">
        <f t="shared" si="169"/>
        <v>90422.370223273319</v>
      </c>
      <c r="AS305" s="100">
        <f t="shared" si="170"/>
        <v>11612.644424946749</v>
      </c>
      <c r="AT305" s="100">
        <f t="shared" si="187"/>
        <v>68721.355575053254</v>
      </c>
      <c r="AU305" s="1">
        <f t="shared" si="171"/>
        <v>80334</v>
      </c>
      <c r="AV305" s="100">
        <f t="shared" si="172"/>
        <v>207974.2686851903</v>
      </c>
    </row>
    <row r="306" spans="4:48">
      <c r="D306" s="39">
        <f t="shared" si="173"/>
        <v>298</v>
      </c>
      <c r="E306" s="40">
        <f t="shared" si="189"/>
        <v>2051</v>
      </c>
      <c r="F306" s="35">
        <f t="shared" si="156"/>
        <v>55273</v>
      </c>
      <c r="G306" s="36">
        <f t="shared" si="158"/>
        <v>4</v>
      </c>
      <c r="H306" s="41">
        <f t="shared" si="157"/>
        <v>30</v>
      </c>
      <c r="I306" s="37" t="s">
        <v>123</v>
      </c>
      <c r="J306" s="27">
        <f t="shared" si="174"/>
        <v>0</v>
      </c>
      <c r="K306" s="27">
        <f t="shared" si="163"/>
        <v>0</v>
      </c>
      <c r="L306" s="27">
        <f t="shared" si="175"/>
        <v>0</v>
      </c>
      <c r="M306" s="27">
        <f t="shared" si="164"/>
        <v>0</v>
      </c>
      <c r="N306" s="27">
        <f t="shared" si="165"/>
        <v>0</v>
      </c>
      <c r="P306" s="72" t="s">
        <v>123</v>
      </c>
      <c r="Q306" s="44">
        <f t="shared" si="190"/>
        <v>0</v>
      </c>
      <c r="R306" s="44">
        <f t="shared" si="159"/>
        <v>0</v>
      </c>
      <c r="S306" s="44">
        <f t="shared" si="191"/>
        <v>0</v>
      </c>
      <c r="T306" s="44">
        <f t="shared" si="192"/>
        <v>0</v>
      </c>
      <c r="U306" s="43">
        <f t="shared" si="166"/>
        <v>0</v>
      </c>
      <c r="W306" s="72" t="s">
        <v>123</v>
      </c>
      <c r="X306" s="44">
        <f t="shared" si="176"/>
        <v>90422.370223273319</v>
      </c>
      <c r="Y306" s="44">
        <f t="shared" si="160"/>
        <v>460.03929179347546</v>
      </c>
      <c r="Z306" s="44">
        <f t="shared" si="177"/>
        <v>2423.9607082065245</v>
      </c>
      <c r="AA306" s="44">
        <f t="shared" si="178"/>
        <v>0</v>
      </c>
      <c r="AB306" s="43">
        <f t="shared" si="167"/>
        <v>87998.4095150668</v>
      </c>
      <c r="AD306" s="72" t="s">
        <v>123</v>
      </c>
      <c r="AE306" s="44">
        <f t="shared" si="179"/>
        <v>117551.89846191698</v>
      </c>
      <c r="AF306" s="44">
        <f t="shared" si="161"/>
        <v>611.59193199775427</v>
      </c>
      <c r="AG306" s="44">
        <f t="shared" si="180"/>
        <v>5430.4080680022453</v>
      </c>
      <c r="AH306" s="44">
        <f t="shared" si="181"/>
        <v>0</v>
      </c>
      <c r="AI306" s="43">
        <f t="shared" si="168"/>
        <v>112121.49039391473</v>
      </c>
      <c r="AK306" s="101">
        <f t="shared" si="188"/>
        <v>2051</v>
      </c>
      <c r="AL306" s="101">
        <f t="shared" si="162"/>
        <v>4</v>
      </c>
      <c r="AM306" s="118">
        <f t="shared" si="182"/>
        <v>0</v>
      </c>
      <c r="AN306" s="100">
        <f t="shared" si="183"/>
        <v>5216.1742652064868</v>
      </c>
      <c r="AO306" s="100">
        <f t="shared" si="184"/>
        <v>7468.1013835314916</v>
      </c>
      <c r="AP306" s="100">
        <f t="shared" si="185"/>
        <v>5216.1742652064868</v>
      </c>
      <c r="AQ306" s="1">
        <f t="shared" si="186"/>
        <v>28840</v>
      </c>
      <c r="AR306" s="100">
        <f t="shared" si="169"/>
        <v>87998.4095150668</v>
      </c>
      <c r="AS306" s="100">
        <f t="shared" si="170"/>
        <v>12684.275648737977</v>
      </c>
      <c r="AT306" s="100">
        <f t="shared" si="187"/>
        <v>76575.724351262019</v>
      </c>
      <c r="AU306" s="1">
        <f t="shared" si="171"/>
        <v>89260</v>
      </c>
      <c r="AV306" s="100">
        <f t="shared" si="172"/>
        <v>200119.89990898152</v>
      </c>
    </row>
    <row r="307" spans="4:48">
      <c r="D307" s="39">
        <f t="shared" si="173"/>
        <v>299</v>
      </c>
      <c r="E307" s="40">
        <f t="shared" si="189"/>
        <v>2051</v>
      </c>
      <c r="F307" s="35">
        <f t="shared" ref="F307:F337" si="193">EDATE($E$5,D307)</f>
        <v>55303</v>
      </c>
      <c r="G307" s="36">
        <f t="shared" si="158"/>
        <v>5</v>
      </c>
      <c r="H307" s="41">
        <f t="shared" ref="H307:H367" si="194">DAY(EOMONTH(F307,0))</f>
        <v>31</v>
      </c>
      <c r="I307" s="37" t="s">
        <v>123</v>
      </c>
      <c r="J307" s="27">
        <f t="shared" si="174"/>
        <v>0</v>
      </c>
      <c r="K307" s="27">
        <f t="shared" si="163"/>
        <v>0</v>
      </c>
      <c r="L307" s="27">
        <f t="shared" si="175"/>
        <v>0</v>
      </c>
      <c r="M307" s="27">
        <f t="shared" si="164"/>
        <v>0</v>
      </c>
      <c r="N307" s="27">
        <f t="shared" si="165"/>
        <v>0</v>
      </c>
      <c r="P307" s="72" t="s">
        <v>123</v>
      </c>
      <c r="Q307" s="44">
        <f t="shared" si="190"/>
        <v>0</v>
      </c>
      <c r="R307" s="44">
        <f t="shared" si="159"/>
        <v>0</v>
      </c>
      <c r="S307" s="44">
        <f t="shared" si="191"/>
        <v>0</v>
      </c>
      <c r="T307" s="44">
        <f t="shared" si="192"/>
        <v>0</v>
      </c>
      <c r="U307" s="43">
        <f t="shared" si="166"/>
        <v>0</v>
      </c>
      <c r="W307" s="72" t="s">
        <v>123</v>
      </c>
      <c r="X307" s="44">
        <f t="shared" si="176"/>
        <v>87998.4095150668</v>
      </c>
      <c r="Y307" s="44">
        <f t="shared" si="160"/>
        <v>462.63054251633338</v>
      </c>
      <c r="Z307" s="44">
        <f t="shared" si="177"/>
        <v>2421.3694574836668</v>
      </c>
      <c r="AA307" s="44">
        <f t="shared" si="178"/>
        <v>0</v>
      </c>
      <c r="AB307" s="43">
        <f t="shared" si="167"/>
        <v>85577.04005758313</v>
      </c>
      <c r="AD307" s="72" t="s">
        <v>123</v>
      </c>
      <c r="AE307" s="44">
        <f t="shared" si="179"/>
        <v>112121.49039391473</v>
      </c>
      <c r="AF307" s="44">
        <f t="shared" si="161"/>
        <v>602.78356328761333</v>
      </c>
      <c r="AG307" s="44">
        <f t="shared" si="180"/>
        <v>5439.2164367123869</v>
      </c>
      <c r="AH307" s="44">
        <f t="shared" si="181"/>
        <v>0</v>
      </c>
      <c r="AI307" s="43">
        <f t="shared" si="168"/>
        <v>106682.27395720234</v>
      </c>
      <c r="AK307" s="101">
        <f t="shared" si="188"/>
        <v>2051</v>
      </c>
      <c r="AL307" s="101">
        <f t="shared" si="162"/>
        <v>5</v>
      </c>
      <c r="AM307" s="118">
        <f t="shared" si="182"/>
        <v>0</v>
      </c>
      <c r="AN307" s="100">
        <f t="shared" si="183"/>
        <v>5678.8048077228204</v>
      </c>
      <c r="AO307" s="100">
        <f t="shared" si="184"/>
        <v>8070.8849468191047</v>
      </c>
      <c r="AP307" s="100">
        <f t="shared" si="185"/>
        <v>5678.8048077228204</v>
      </c>
      <c r="AQ307" s="1">
        <f t="shared" si="186"/>
        <v>31724</v>
      </c>
      <c r="AR307" s="100">
        <f t="shared" si="169"/>
        <v>85577.04005758313</v>
      </c>
      <c r="AS307" s="100">
        <f t="shared" si="170"/>
        <v>13749.689754541925</v>
      </c>
      <c r="AT307" s="100">
        <f t="shared" si="187"/>
        <v>84436.31024545808</v>
      </c>
      <c r="AU307" s="1">
        <f t="shared" si="171"/>
        <v>98186</v>
      </c>
      <c r="AV307" s="100">
        <f t="shared" si="172"/>
        <v>192259.31401478546</v>
      </c>
    </row>
    <row r="308" spans="4:48">
      <c r="D308" s="39">
        <f t="shared" si="173"/>
        <v>300</v>
      </c>
      <c r="E308" s="40">
        <f t="shared" si="189"/>
        <v>2051</v>
      </c>
      <c r="F308" s="35">
        <f t="shared" si="193"/>
        <v>55334</v>
      </c>
      <c r="G308" s="36">
        <f t="shared" si="158"/>
        <v>6</v>
      </c>
      <c r="H308" s="41">
        <f t="shared" si="194"/>
        <v>30</v>
      </c>
      <c r="I308" s="37" t="s">
        <v>123</v>
      </c>
      <c r="J308" s="27">
        <f t="shared" si="174"/>
        <v>0</v>
      </c>
      <c r="K308" s="27">
        <f t="shared" si="163"/>
        <v>0</v>
      </c>
      <c r="L308" s="27">
        <f t="shared" si="175"/>
        <v>0</v>
      </c>
      <c r="M308" s="27">
        <f t="shared" si="164"/>
        <v>0</v>
      </c>
      <c r="N308" s="27">
        <f t="shared" si="165"/>
        <v>0</v>
      </c>
      <c r="P308" s="72" t="s">
        <v>123</v>
      </c>
      <c r="Q308" s="44">
        <f t="shared" si="190"/>
        <v>0</v>
      </c>
      <c r="R308" s="44">
        <f t="shared" si="159"/>
        <v>0</v>
      </c>
      <c r="S308" s="44">
        <f t="shared" si="191"/>
        <v>0</v>
      </c>
      <c r="T308" s="44">
        <f t="shared" si="192"/>
        <v>0</v>
      </c>
      <c r="U308" s="43">
        <f t="shared" si="166"/>
        <v>0</v>
      </c>
      <c r="W308" s="72" t="s">
        <v>123</v>
      </c>
      <c r="X308" s="44">
        <f t="shared" si="176"/>
        <v>85577.04005758313</v>
      </c>
      <c r="Y308" s="44">
        <f t="shared" si="160"/>
        <v>435.38784489570378</v>
      </c>
      <c r="Z308" s="44">
        <f t="shared" si="177"/>
        <v>2448.6121551042961</v>
      </c>
      <c r="AA308" s="44">
        <f t="shared" si="178"/>
        <v>0</v>
      </c>
      <c r="AB308" s="43">
        <f t="shared" si="167"/>
        <v>83128.427902478827</v>
      </c>
      <c r="AD308" s="72" t="s">
        <v>123</v>
      </c>
      <c r="AE308" s="44">
        <f t="shared" si="179"/>
        <v>106682.27395720234</v>
      </c>
      <c r="AF308" s="44">
        <f t="shared" si="161"/>
        <v>555.04010478007456</v>
      </c>
      <c r="AG308" s="44">
        <f t="shared" si="180"/>
        <v>5486.9598952199258</v>
      </c>
      <c r="AH308" s="44">
        <f t="shared" si="181"/>
        <v>0</v>
      </c>
      <c r="AI308" s="43">
        <f t="shared" si="168"/>
        <v>101195.31406198241</v>
      </c>
      <c r="AK308" s="101">
        <f t="shared" si="188"/>
        <v>2051</v>
      </c>
      <c r="AL308" s="101">
        <f t="shared" si="162"/>
        <v>6</v>
      </c>
      <c r="AM308" s="118">
        <f t="shared" si="182"/>
        <v>0</v>
      </c>
      <c r="AN308" s="100">
        <f t="shared" si="183"/>
        <v>6114.1926526185243</v>
      </c>
      <c r="AO308" s="100">
        <f t="shared" si="184"/>
        <v>8625.9250515991789</v>
      </c>
      <c r="AP308" s="100">
        <f t="shared" si="185"/>
        <v>6114.1926526185243</v>
      </c>
      <c r="AQ308" s="1">
        <f t="shared" si="186"/>
        <v>34608</v>
      </c>
      <c r="AR308" s="100">
        <f t="shared" si="169"/>
        <v>83128.427902478827</v>
      </c>
      <c r="AS308" s="100">
        <f t="shared" si="170"/>
        <v>14740.117704217704</v>
      </c>
      <c r="AT308" s="100">
        <f t="shared" si="187"/>
        <v>92371.882295782314</v>
      </c>
      <c r="AU308" s="1">
        <f t="shared" si="171"/>
        <v>107112.00000000001</v>
      </c>
      <c r="AV308" s="100">
        <f t="shared" si="172"/>
        <v>184323.74196446122</v>
      </c>
    </row>
    <row r="309" spans="4:48">
      <c r="D309" s="39">
        <f t="shared" si="173"/>
        <v>301</v>
      </c>
      <c r="E309" s="40">
        <f t="shared" si="189"/>
        <v>2052</v>
      </c>
      <c r="F309" s="35">
        <f t="shared" si="193"/>
        <v>55364</v>
      </c>
      <c r="G309" s="36">
        <f t="shared" si="158"/>
        <v>7</v>
      </c>
      <c r="H309" s="41">
        <f t="shared" si="194"/>
        <v>31</v>
      </c>
      <c r="I309" s="37" t="s">
        <v>123</v>
      </c>
      <c r="J309" s="27">
        <f t="shared" si="174"/>
        <v>0</v>
      </c>
      <c r="K309" s="27">
        <f t="shared" si="163"/>
        <v>0</v>
      </c>
      <c r="L309" s="27">
        <f t="shared" si="175"/>
        <v>0</v>
      </c>
      <c r="M309" s="27">
        <f t="shared" si="164"/>
        <v>0</v>
      </c>
      <c r="N309" s="27">
        <f t="shared" si="165"/>
        <v>0</v>
      </c>
      <c r="P309" s="72" t="s">
        <v>123</v>
      </c>
      <c r="Q309" s="44">
        <f t="shared" si="190"/>
        <v>0</v>
      </c>
      <c r="R309" s="44">
        <f t="shared" si="159"/>
        <v>0</v>
      </c>
      <c r="S309" s="44">
        <f t="shared" si="191"/>
        <v>0</v>
      </c>
      <c r="T309" s="44">
        <f t="shared" si="192"/>
        <v>0</v>
      </c>
      <c r="U309" s="43">
        <f t="shared" si="166"/>
        <v>0</v>
      </c>
      <c r="W309" s="72" t="s">
        <v>123</v>
      </c>
      <c r="X309" s="44">
        <f t="shared" si="176"/>
        <v>83128.427902478827</v>
      </c>
      <c r="Y309" s="44">
        <f t="shared" si="160"/>
        <v>437.02778164949757</v>
      </c>
      <c r="Z309" s="44">
        <f t="shared" si="177"/>
        <v>2446.9722183505023</v>
      </c>
      <c r="AA309" s="44">
        <f t="shared" si="178"/>
        <v>0</v>
      </c>
      <c r="AB309" s="43">
        <f t="shared" si="167"/>
        <v>80681.455684128319</v>
      </c>
      <c r="AD309" s="72" t="s">
        <v>123</v>
      </c>
      <c r="AE309" s="44">
        <f t="shared" si="179"/>
        <v>101195.31406198241</v>
      </c>
      <c r="AF309" s="44">
        <f t="shared" si="161"/>
        <v>544.04264324336464</v>
      </c>
      <c r="AG309" s="44">
        <f t="shared" si="180"/>
        <v>5497.9573567566349</v>
      </c>
      <c r="AH309" s="44">
        <f t="shared" si="181"/>
        <v>0</v>
      </c>
      <c r="AI309" s="43">
        <f t="shared" si="168"/>
        <v>95697.356705225771</v>
      </c>
      <c r="AK309" s="101">
        <f t="shared" si="188"/>
        <v>2052</v>
      </c>
      <c r="AL309" s="101">
        <f t="shared" si="162"/>
        <v>7</v>
      </c>
      <c r="AM309" s="118">
        <f t="shared" si="182"/>
        <v>0</v>
      </c>
      <c r="AN309" s="100">
        <f t="shared" si="183"/>
        <v>437.02778164949757</v>
      </c>
      <c r="AO309" s="100">
        <f t="shared" si="184"/>
        <v>544.04264324336464</v>
      </c>
      <c r="AP309" s="100">
        <f t="shared" si="185"/>
        <v>437.02778164949757</v>
      </c>
      <c r="AQ309" s="1">
        <f t="shared" si="186"/>
        <v>2884</v>
      </c>
      <c r="AR309" s="100">
        <f t="shared" si="169"/>
        <v>80681.455684128319</v>
      </c>
      <c r="AS309" s="100">
        <f t="shared" si="170"/>
        <v>981.07042489286221</v>
      </c>
      <c r="AT309" s="100">
        <f t="shared" si="187"/>
        <v>7944.9295751071368</v>
      </c>
      <c r="AU309" s="1">
        <f t="shared" si="171"/>
        <v>8925.9999999999982</v>
      </c>
      <c r="AV309" s="100">
        <f t="shared" si="172"/>
        <v>176378.81238935411</v>
      </c>
    </row>
    <row r="310" spans="4:48">
      <c r="D310" s="39">
        <f t="shared" si="173"/>
        <v>302</v>
      </c>
      <c r="E310" s="40">
        <f t="shared" si="189"/>
        <v>2052</v>
      </c>
      <c r="F310" s="35">
        <f t="shared" si="193"/>
        <v>55395</v>
      </c>
      <c r="G310" s="36">
        <f t="shared" si="158"/>
        <v>8</v>
      </c>
      <c r="H310" s="41">
        <f t="shared" si="194"/>
        <v>31</v>
      </c>
      <c r="I310" s="37" t="s">
        <v>123</v>
      </c>
      <c r="J310" s="27">
        <f t="shared" si="174"/>
        <v>0</v>
      </c>
      <c r="K310" s="27">
        <f t="shared" si="163"/>
        <v>0</v>
      </c>
      <c r="L310" s="27">
        <f t="shared" si="175"/>
        <v>0</v>
      </c>
      <c r="M310" s="27">
        <f t="shared" si="164"/>
        <v>0</v>
      </c>
      <c r="N310" s="27">
        <f t="shared" si="165"/>
        <v>0</v>
      </c>
      <c r="P310" s="72" t="s">
        <v>123</v>
      </c>
      <c r="Q310" s="44">
        <f t="shared" si="190"/>
        <v>0</v>
      </c>
      <c r="R310" s="44">
        <f t="shared" si="159"/>
        <v>0</v>
      </c>
      <c r="S310" s="44">
        <f t="shared" si="191"/>
        <v>0</v>
      </c>
      <c r="T310" s="44">
        <f t="shared" si="192"/>
        <v>0</v>
      </c>
      <c r="U310" s="43">
        <f t="shared" si="166"/>
        <v>0</v>
      </c>
      <c r="W310" s="72" t="s">
        <v>123</v>
      </c>
      <c r="X310" s="44">
        <f t="shared" si="176"/>
        <v>80681.455684128319</v>
      </c>
      <c r="Y310" s="44">
        <f t="shared" si="160"/>
        <v>424.16341181444886</v>
      </c>
      <c r="Z310" s="44">
        <f t="shared" si="177"/>
        <v>2459.8365881855511</v>
      </c>
      <c r="AA310" s="44">
        <f t="shared" si="178"/>
        <v>0</v>
      </c>
      <c r="AB310" s="43">
        <f t="shared" si="167"/>
        <v>78221.619095942762</v>
      </c>
      <c r="AD310" s="72" t="s">
        <v>123</v>
      </c>
      <c r="AE310" s="44">
        <f t="shared" si="179"/>
        <v>95697.356705225771</v>
      </c>
      <c r="AF310" s="44">
        <f t="shared" si="161"/>
        <v>514.48472071962874</v>
      </c>
      <c r="AG310" s="44">
        <f t="shared" si="180"/>
        <v>5527.515279280371</v>
      </c>
      <c r="AH310" s="44">
        <f t="shared" si="181"/>
        <v>0</v>
      </c>
      <c r="AI310" s="43">
        <f t="shared" si="168"/>
        <v>90169.8414259454</v>
      </c>
      <c r="AK310" s="101">
        <f t="shared" si="188"/>
        <v>2052</v>
      </c>
      <c r="AL310" s="101">
        <f t="shared" si="162"/>
        <v>8</v>
      </c>
      <c r="AM310" s="118">
        <f t="shared" si="182"/>
        <v>0</v>
      </c>
      <c r="AN310" s="100">
        <f t="shared" si="183"/>
        <v>861.19119346394643</v>
      </c>
      <c r="AO310" s="100">
        <f t="shared" si="184"/>
        <v>1058.5273639629934</v>
      </c>
      <c r="AP310" s="100">
        <f t="shared" si="185"/>
        <v>861.19119346394643</v>
      </c>
      <c r="AQ310" s="1">
        <f t="shared" si="186"/>
        <v>5768</v>
      </c>
      <c r="AR310" s="100">
        <f t="shared" si="169"/>
        <v>78221.619095942762</v>
      </c>
      <c r="AS310" s="100">
        <f t="shared" si="170"/>
        <v>1919.7185574269397</v>
      </c>
      <c r="AT310" s="100">
        <f t="shared" si="187"/>
        <v>15932.281442573059</v>
      </c>
      <c r="AU310" s="1">
        <f t="shared" si="171"/>
        <v>17852</v>
      </c>
      <c r="AV310" s="100">
        <f t="shared" si="172"/>
        <v>168391.46052188816</v>
      </c>
    </row>
    <row r="311" spans="4:48">
      <c r="D311" s="39">
        <f t="shared" si="173"/>
        <v>303</v>
      </c>
      <c r="E311" s="40">
        <f t="shared" si="189"/>
        <v>2052</v>
      </c>
      <c r="F311" s="35">
        <f t="shared" si="193"/>
        <v>55426</v>
      </c>
      <c r="G311" s="36">
        <f t="shared" si="158"/>
        <v>9</v>
      </c>
      <c r="H311" s="41">
        <f t="shared" si="194"/>
        <v>30</v>
      </c>
      <c r="I311" s="37" t="s">
        <v>123</v>
      </c>
      <c r="J311" s="27">
        <f t="shared" si="174"/>
        <v>0</v>
      </c>
      <c r="K311" s="27">
        <f t="shared" si="163"/>
        <v>0</v>
      </c>
      <c r="L311" s="27">
        <f t="shared" si="175"/>
        <v>0</v>
      </c>
      <c r="M311" s="27">
        <f t="shared" si="164"/>
        <v>0</v>
      </c>
      <c r="N311" s="27">
        <f t="shared" si="165"/>
        <v>0</v>
      </c>
      <c r="P311" s="72" t="s">
        <v>123</v>
      </c>
      <c r="Q311" s="44">
        <f t="shared" si="190"/>
        <v>0</v>
      </c>
      <c r="R311" s="44">
        <f t="shared" si="159"/>
        <v>0</v>
      </c>
      <c r="S311" s="44">
        <f t="shared" si="191"/>
        <v>0</v>
      </c>
      <c r="T311" s="44">
        <f t="shared" si="192"/>
        <v>0</v>
      </c>
      <c r="U311" s="43">
        <f t="shared" si="166"/>
        <v>0</v>
      </c>
      <c r="W311" s="72" t="s">
        <v>123</v>
      </c>
      <c r="X311" s="44">
        <f t="shared" si="176"/>
        <v>78221.619095942762</v>
      </c>
      <c r="Y311" s="44">
        <f t="shared" si="160"/>
        <v>397.96588126346768</v>
      </c>
      <c r="Z311" s="44">
        <f t="shared" si="177"/>
        <v>2486.0341187365325</v>
      </c>
      <c r="AA311" s="44">
        <f t="shared" si="178"/>
        <v>0</v>
      </c>
      <c r="AB311" s="43">
        <f t="shared" si="167"/>
        <v>75735.584977206236</v>
      </c>
      <c r="AD311" s="72" t="s">
        <v>123</v>
      </c>
      <c r="AE311" s="44">
        <f t="shared" si="179"/>
        <v>90169.8414259454</v>
      </c>
      <c r="AF311" s="44">
        <f t="shared" si="161"/>
        <v>469.13021607635699</v>
      </c>
      <c r="AG311" s="44">
        <f t="shared" si="180"/>
        <v>5572.8697839236429</v>
      </c>
      <c r="AH311" s="44">
        <f t="shared" si="181"/>
        <v>0</v>
      </c>
      <c r="AI311" s="43">
        <f t="shared" si="168"/>
        <v>84596.971642021759</v>
      </c>
      <c r="AK311" s="101">
        <f t="shared" si="188"/>
        <v>2052</v>
      </c>
      <c r="AL311" s="101">
        <f t="shared" si="162"/>
        <v>9</v>
      </c>
      <c r="AM311" s="118">
        <f t="shared" si="182"/>
        <v>0</v>
      </c>
      <c r="AN311" s="100">
        <f t="shared" si="183"/>
        <v>1259.1570747274141</v>
      </c>
      <c r="AO311" s="100">
        <f t="shared" si="184"/>
        <v>1527.6575800393503</v>
      </c>
      <c r="AP311" s="100">
        <f t="shared" si="185"/>
        <v>1259.1570747274141</v>
      </c>
      <c r="AQ311" s="1">
        <f t="shared" si="186"/>
        <v>8652</v>
      </c>
      <c r="AR311" s="100">
        <f t="shared" si="169"/>
        <v>75735.584977206236</v>
      </c>
      <c r="AS311" s="100">
        <f t="shared" si="170"/>
        <v>2786.8146547667643</v>
      </c>
      <c r="AT311" s="100">
        <f t="shared" si="187"/>
        <v>23991.185345233236</v>
      </c>
      <c r="AU311" s="1">
        <f t="shared" si="171"/>
        <v>26778</v>
      </c>
      <c r="AV311" s="100">
        <f t="shared" si="172"/>
        <v>160332.55661922798</v>
      </c>
    </row>
    <row r="312" spans="4:48">
      <c r="D312" s="39">
        <f t="shared" si="173"/>
        <v>304</v>
      </c>
      <c r="E312" s="40">
        <f t="shared" si="189"/>
        <v>2052</v>
      </c>
      <c r="F312" s="35">
        <f t="shared" si="193"/>
        <v>55456</v>
      </c>
      <c r="G312" s="36">
        <f t="shared" si="158"/>
        <v>10</v>
      </c>
      <c r="H312" s="41">
        <f t="shared" si="194"/>
        <v>31</v>
      </c>
      <c r="I312" s="37" t="s">
        <v>123</v>
      </c>
      <c r="J312" s="27">
        <f t="shared" si="174"/>
        <v>0</v>
      </c>
      <c r="K312" s="27">
        <f t="shared" si="163"/>
        <v>0</v>
      </c>
      <c r="L312" s="27">
        <f t="shared" si="175"/>
        <v>0</v>
      </c>
      <c r="M312" s="27">
        <f t="shared" si="164"/>
        <v>0</v>
      </c>
      <c r="N312" s="27">
        <f t="shared" si="165"/>
        <v>0</v>
      </c>
      <c r="P312" s="72" t="s">
        <v>123</v>
      </c>
      <c r="Q312" s="44">
        <f t="shared" si="190"/>
        <v>0</v>
      </c>
      <c r="R312" s="44">
        <f t="shared" si="159"/>
        <v>0</v>
      </c>
      <c r="S312" s="44">
        <f t="shared" si="191"/>
        <v>0</v>
      </c>
      <c r="T312" s="44">
        <f t="shared" si="192"/>
        <v>0</v>
      </c>
      <c r="U312" s="43">
        <f t="shared" si="166"/>
        <v>0</v>
      </c>
      <c r="W312" s="72" t="s">
        <v>123</v>
      </c>
      <c r="X312" s="44">
        <f t="shared" si="176"/>
        <v>75735.584977206236</v>
      </c>
      <c r="Y312" s="44">
        <f t="shared" si="160"/>
        <v>398.16168222674253</v>
      </c>
      <c r="Z312" s="44">
        <f t="shared" si="177"/>
        <v>2485.8383177732576</v>
      </c>
      <c r="AA312" s="44">
        <f t="shared" si="178"/>
        <v>0</v>
      </c>
      <c r="AB312" s="43">
        <f t="shared" si="167"/>
        <v>73249.746659432974</v>
      </c>
      <c r="AD312" s="72" t="s">
        <v>123</v>
      </c>
      <c r="AE312" s="44">
        <f t="shared" si="179"/>
        <v>84596.971642021759</v>
      </c>
      <c r="AF312" s="44">
        <f t="shared" si="161"/>
        <v>454.80722589901171</v>
      </c>
      <c r="AG312" s="44">
        <f t="shared" si="180"/>
        <v>5587.1927741009886</v>
      </c>
      <c r="AH312" s="44">
        <f t="shared" si="181"/>
        <v>0</v>
      </c>
      <c r="AI312" s="43">
        <f t="shared" si="168"/>
        <v>79009.778867920773</v>
      </c>
      <c r="AK312" s="101">
        <f t="shared" si="188"/>
        <v>2052</v>
      </c>
      <c r="AL312" s="101">
        <f t="shared" si="162"/>
        <v>10</v>
      </c>
      <c r="AM312" s="118">
        <f t="shared" si="182"/>
        <v>0</v>
      </c>
      <c r="AN312" s="100">
        <f t="shared" si="183"/>
        <v>1657.3187569541565</v>
      </c>
      <c r="AO312" s="100">
        <f t="shared" si="184"/>
        <v>1982.4648059383619</v>
      </c>
      <c r="AP312" s="100">
        <f t="shared" si="185"/>
        <v>1657.3187569541565</v>
      </c>
      <c r="AQ312" s="1">
        <f t="shared" si="186"/>
        <v>11536</v>
      </c>
      <c r="AR312" s="100">
        <f t="shared" si="169"/>
        <v>73249.746659432974</v>
      </c>
      <c r="AS312" s="100">
        <f t="shared" si="170"/>
        <v>3639.7835628925186</v>
      </c>
      <c r="AT312" s="100">
        <f t="shared" si="187"/>
        <v>32064.216437107483</v>
      </c>
      <c r="AU312" s="1">
        <f t="shared" si="171"/>
        <v>35704</v>
      </c>
      <c r="AV312" s="100">
        <f t="shared" si="172"/>
        <v>152259.52552735375</v>
      </c>
    </row>
    <row r="313" spans="4:48">
      <c r="D313" s="39">
        <f t="shared" si="173"/>
        <v>305</v>
      </c>
      <c r="E313" s="40">
        <f t="shared" si="189"/>
        <v>2052</v>
      </c>
      <c r="F313" s="35">
        <f t="shared" si="193"/>
        <v>55487</v>
      </c>
      <c r="G313" s="36">
        <f t="shared" si="158"/>
        <v>11</v>
      </c>
      <c r="H313" s="41">
        <f t="shared" si="194"/>
        <v>30</v>
      </c>
      <c r="I313" s="37" t="s">
        <v>123</v>
      </c>
      <c r="J313" s="27">
        <f t="shared" si="174"/>
        <v>0</v>
      </c>
      <c r="K313" s="27">
        <f t="shared" si="163"/>
        <v>0</v>
      </c>
      <c r="L313" s="27">
        <f t="shared" si="175"/>
        <v>0</v>
      </c>
      <c r="M313" s="27">
        <f t="shared" si="164"/>
        <v>0</v>
      </c>
      <c r="N313" s="27">
        <f t="shared" si="165"/>
        <v>0</v>
      </c>
      <c r="P313" s="72" t="s">
        <v>123</v>
      </c>
      <c r="Q313" s="44">
        <f t="shared" si="190"/>
        <v>0</v>
      </c>
      <c r="R313" s="44">
        <f t="shared" si="159"/>
        <v>0</v>
      </c>
      <c r="S313" s="44">
        <f t="shared" si="191"/>
        <v>0</v>
      </c>
      <c r="T313" s="44">
        <f t="shared" si="192"/>
        <v>0</v>
      </c>
      <c r="U313" s="43">
        <f t="shared" si="166"/>
        <v>0</v>
      </c>
      <c r="W313" s="72" t="s">
        <v>123</v>
      </c>
      <c r="X313" s="44">
        <f t="shared" si="176"/>
        <v>73249.746659432974</v>
      </c>
      <c r="Y313" s="44">
        <f t="shared" si="160"/>
        <v>372.67062889470418</v>
      </c>
      <c r="Z313" s="44">
        <f t="shared" si="177"/>
        <v>2511.3293711052956</v>
      </c>
      <c r="AA313" s="44">
        <f t="shared" si="178"/>
        <v>0</v>
      </c>
      <c r="AB313" s="43">
        <f t="shared" si="167"/>
        <v>70738.417288327677</v>
      </c>
      <c r="AD313" s="72" t="s">
        <v>123</v>
      </c>
      <c r="AE313" s="44">
        <f t="shared" si="179"/>
        <v>79009.778867920773</v>
      </c>
      <c r="AF313" s="44">
        <f t="shared" si="161"/>
        <v>411.0673152607713</v>
      </c>
      <c r="AG313" s="44">
        <f t="shared" si="180"/>
        <v>5630.9326847392285</v>
      </c>
      <c r="AH313" s="44">
        <f t="shared" si="181"/>
        <v>0</v>
      </c>
      <c r="AI313" s="43">
        <f t="shared" si="168"/>
        <v>73378.846183181551</v>
      </c>
      <c r="AK313" s="101">
        <f t="shared" si="188"/>
        <v>2052</v>
      </c>
      <c r="AL313" s="101">
        <f t="shared" si="162"/>
        <v>11</v>
      </c>
      <c r="AM313" s="118">
        <f t="shared" si="182"/>
        <v>0</v>
      </c>
      <c r="AN313" s="100">
        <f t="shared" si="183"/>
        <v>2029.9893858488606</v>
      </c>
      <c r="AO313" s="100">
        <f t="shared" si="184"/>
        <v>2393.5321211991331</v>
      </c>
      <c r="AP313" s="100">
        <f t="shared" si="185"/>
        <v>2029.9893858488606</v>
      </c>
      <c r="AQ313" s="1">
        <f t="shared" si="186"/>
        <v>14420</v>
      </c>
      <c r="AR313" s="100">
        <f t="shared" si="169"/>
        <v>70738.417288327677</v>
      </c>
      <c r="AS313" s="100">
        <f t="shared" si="170"/>
        <v>4423.5215070479935</v>
      </c>
      <c r="AT313" s="100">
        <f t="shared" si="187"/>
        <v>40206.47849295201</v>
      </c>
      <c r="AU313" s="1">
        <f t="shared" si="171"/>
        <v>44630</v>
      </c>
      <c r="AV313" s="100">
        <f t="shared" si="172"/>
        <v>144117.26347150921</v>
      </c>
    </row>
    <row r="314" spans="4:48">
      <c r="D314" s="39">
        <f t="shared" si="173"/>
        <v>306</v>
      </c>
      <c r="E314" s="40">
        <f t="shared" si="189"/>
        <v>2052</v>
      </c>
      <c r="F314" s="35">
        <f t="shared" si="193"/>
        <v>55517</v>
      </c>
      <c r="G314" s="36">
        <f t="shared" si="158"/>
        <v>12</v>
      </c>
      <c r="H314" s="41">
        <f t="shared" si="194"/>
        <v>31</v>
      </c>
      <c r="I314" s="37" t="s">
        <v>123</v>
      </c>
      <c r="J314" s="27">
        <f t="shared" si="174"/>
        <v>0</v>
      </c>
      <c r="K314" s="27">
        <f t="shared" si="163"/>
        <v>0</v>
      </c>
      <c r="L314" s="27">
        <f t="shared" si="175"/>
        <v>0</v>
      </c>
      <c r="M314" s="27">
        <f t="shared" si="164"/>
        <v>0</v>
      </c>
      <c r="N314" s="27">
        <f t="shared" si="165"/>
        <v>0</v>
      </c>
      <c r="P314" s="72" t="s">
        <v>123</v>
      </c>
      <c r="Q314" s="44">
        <f t="shared" si="190"/>
        <v>0</v>
      </c>
      <c r="R314" s="44">
        <f t="shared" si="159"/>
        <v>0</v>
      </c>
      <c r="S314" s="44">
        <f t="shared" si="191"/>
        <v>0</v>
      </c>
      <c r="T314" s="44">
        <f t="shared" si="192"/>
        <v>0</v>
      </c>
      <c r="U314" s="43">
        <f t="shared" si="166"/>
        <v>0</v>
      </c>
      <c r="W314" s="72" t="s">
        <v>123</v>
      </c>
      <c r="X314" s="44">
        <f t="shared" si="176"/>
        <v>70738.417288327677</v>
      </c>
      <c r="Y314" s="44">
        <f t="shared" si="160"/>
        <v>371.8902710536218</v>
      </c>
      <c r="Z314" s="44">
        <f t="shared" si="177"/>
        <v>2512.1097289463783</v>
      </c>
      <c r="AA314" s="44">
        <f t="shared" si="178"/>
        <v>0</v>
      </c>
      <c r="AB314" s="43">
        <f t="shared" si="167"/>
        <v>68226.307559381297</v>
      </c>
      <c r="AD314" s="72" t="s">
        <v>123</v>
      </c>
      <c r="AE314" s="44">
        <f t="shared" si="179"/>
        <v>73378.846183181551</v>
      </c>
      <c r="AF314" s="44">
        <f t="shared" si="161"/>
        <v>394.49673935686889</v>
      </c>
      <c r="AG314" s="44">
        <f t="shared" si="180"/>
        <v>5647.5032606431314</v>
      </c>
      <c r="AH314" s="44">
        <f t="shared" si="181"/>
        <v>0</v>
      </c>
      <c r="AI314" s="43">
        <f t="shared" si="168"/>
        <v>67731.342922538417</v>
      </c>
      <c r="AK314" s="101">
        <f t="shared" si="188"/>
        <v>2052</v>
      </c>
      <c r="AL314" s="101">
        <f t="shared" si="162"/>
        <v>12</v>
      </c>
      <c r="AM314" s="118">
        <f t="shared" si="182"/>
        <v>0</v>
      </c>
      <c r="AN314" s="100">
        <f t="shared" si="183"/>
        <v>2401.8796569024826</v>
      </c>
      <c r="AO314" s="100">
        <f t="shared" si="184"/>
        <v>2788.0288605560022</v>
      </c>
      <c r="AP314" s="100">
        <f t="shared" si="185"/>
        <v>2401.8796569024826</v>
      </c>
      <c r="AQ314" s="1">
        <f t="shared" si="186"/>
        <v>17304</v>
      </c>
      <c r="AR314" s="100">
        <f t="shared" si="169"/>
        <v>68226.307559381297</v>
      </c>
      <c r="AS314" s="100">
        <f t="shared" si="170"/>
        <v>5189.9085174584852</v>
      </c>
      <c r="AT314" s="100">
        <f t="shared" si="187"/>
        <v>48366.091482541524</v>
      </c>
      <c r="AU314" s="1">
        <f t="shared" si="171"/>
        <v>53556.000000000007</v>
      </c>
      <c r="AV314" s="100">
        <f t="shared" si="172"/>
        <v>135957.6504819197</v>
      </c>
    </row>
    <row r="315" spans="4:48">
      <c r="D315" s="39">
        <f t="shared" si="173"/>
        <v>307</v>
      </c>
      <c r="E315" s="40">
        <f t="shared" si="189"/>
        <v>2052</v>
      </c>
      <c r="F315" s="35">
        <f t="shared" si="193"/>
        <v>55548</v>
      </c>
      <c r="G315" s="36">
        <f t="shared" si="158"/>
        <v>1</v>
      </c>
      <c r="H315" s="41">
        <f t="shared" si="194"/>
        <v>31</v>
      </c>
      <c r="I315" s="37" t="s">
        <v>123</v>
      </c>
      <c r="J315" s="27">
        <f t="shared" si="174"/>
        <v>0</v>
      </c>
      <c r="K315" s="27">
        <f t="shared" si="163"/>
        <v>0</v>
      </c>
      <c r="L315" s="27">
        <f t="shared" si="175"/>
        <v>0</v>
      </c>
      <c r="M315" s="27">
        <f t="shared" si="164"/>
        <v>0</v>
      </c>
      <c r="N315" s="27">
        <f t="shared" si="165"/>
        <v>0</v>
      </c>
      <c r="P315" s="72" t="s">
        <v>123</v>
      </c>
      <c r="Q315" s="44">
        <f t="shared" si="190"/>
        <v>0</v>
      </c>
      <c r="R315" s="44">
        <f t="shared" si="159"/>
        <v>0</v>
      </c>
      <c r="S315" s="44">
        <f t="shared" si="191"/>
        <v>0</v>
      </c>
      <c r="T315" s="44">
        <f t="shared" si="192"/>
        <v>0</v>
      </c>
      <c r="U315" s="43">
        <f t="shared" si="166"/>
        <v>0</v>
      </c>
      <c r="W315" s="72" t="s">
        <v>123</v>
      </c>
      <c r="X315" s="44">
        <f t="shared" si="176"/>
        <v>68226.307559381297</v>
      </c>
      <c r="Y315" s="44">
        <f t="shared" si="160"/>
        <v>358.68345637177197</v>
      </c>
      <c r="Z315" s="44">
        <f t="shared" si="177"/>
        <v>2525.3165436282279</v>
      </c>
      <c r="AA315" s="44">
        <f t="shared" si="178"/>
        <v>0</v>
      </c>
      <c r="AB315" s="43">
        <f t="shared" si="167"/>
        <v>65700.991015753068</v>
      </c>
      <c r="AD315" s="72" t="s">
        <v>123</v>
      </c>
      <c r="AE315" s="44">
        <f t="shared" si="179"/>
        <v>67731.342922538417</v>
      </c>
      <c r="AF315" s="44">
        <f t="shared" si="161"/>
        <v>364.13483347095104</v>
      </c>
      <c r="AG315" s="44">
        <f t="shared" si="180"/>
        <v>5677.865166529049</v>
      </c>
      <c r="AH315" s="44">
        <f t="shared" si="181"/>
        <v>0</v>
      </c>
      <c r="AI315" s="43">
        <f t="shared" si="168"/>
        <v>62053.477756009364</v>
      </c>
      <c r="AK315" s="101">
        <f t="shared" si="188"/>
        <v>2052</v>
      </c>
      <c r="AL315" s="101">
        <f t="shared" si="162"/>
        <v>1</v>
      </c>
      <c r="AM315" s="118">
        <f t="shared" si="182"/>
        <v>0</v>
      </c>
      <c r="AN315" s="100">
        <f t="shared" si="183"/>
        <v>2760.5631132742546</v>
      </c>
      <c r="AO315" s="100">
        <f t="shared" si="184"/>
        <v>3152.1636940269532</v>
      </c>
      <c r="AP315" s="100">
        <f t="shared" si="185"/>
        <v>2760.5631132742546</v>
      </c>
      <c r="AQ315" s="1">
        <f t="shared" si="186"/>
        <v>20188</v>
      </c>
      <c r="AR315" s="100">
        <f t="shared" si="169"/>
        <v>65700.991015753068</v>
      </c>
      <c r="AS315" s="100">
        <f t="shared" si="170"/>
        <v>5912.7268073012074</v>
      </c>
      <c r="AT315" s="100">
        <f t="shared" si="187"/>
        <v>56569.273192698805</v>
      </c>
      <c r="AU315" s="1">
        <f t="shared" si="171"/>
        <v>62482.000000000015</v>
      </c>
      <c r="AV315" s="100">
        <f t="shared" si="172"/>
        <v>127754.46877176243</v>
      </c>
    </row>
    <row r="316" spans="4:48">
      <c r="D316" s="39">
        <f t="shared" si="173"/>
        <v>308</v>
      </c>
      <c r="E316" s="40">
        <f t="shared" si="189"/>
        <v>2052</v>
      </c>
      <c r="F316" s="35">
        <f t="shared" si="193"/>
        <v>55578</v>
      </c>
      <c r="G316" s="36">
        <f t="shared" si="158"/>
        <v>2</v>
      </c>
      <c r="H316" s="41">
        <f t="shared" si="194"/>
        <v>29</v>
      </c>
      <c r="I316" s="37" t="s">
        <v>123</v>
      </c>
      <c r="J316" s="27">
        <f t="shared" si="174"/>
        <v>0</v>
      </c>
      <c r="K316" s="27">
        <f t="shared" si="163"/>
        <v>0</v>
      </c>
      <c r="L316" s="27">
        <f t="shared" si="175"/>
        <v>0</v>
      </c>
      <c r="M316" s="27">
        <f t="shared" si="164"/>
        <v>0</v>
      </c>
      <c r="N316" s="27">
        <f t="shared" si="165"/>
        <v>0</v>
      </c>
      <c r="P316" s="72" t="s">
        <v>123</v>
      </c>
      <c r="Q316" s="44">
        <f t="shared" si="190"/>
        <v>0</v>
      </c>
      <c r="R316" s="44">
        <f t="shared" si="159"/>
        <v>0</v>
      </c>
      <c r="S316" s="44">
        <f t="shared" si="191"/>
        <v>0</v>
      </c>
      <c r="T316" s="44">
        <f t="shared" si="192"/>
        <v>0</v>
      </c>
      <c r="U316" s="43">
        <f t="shared" si="166"/>
        <v>0</v>
      </c>
      <c r="W316" s="72" t="s">
        <v>123</v>
      </c>
      <c r="X316" s="44">
        <f t="shared" si="176"/>
        <v>65700.991015753068</v>
      </c>
      <c r="Y316" s="44">
        <f t="shared" si="160"/>
        <v>323.12287389692693</v>
      </c>
      <c r="Z316" s="44">
        <f t="shared" si="177"/>
        <v>2560.8771261030729</v>
      </c>
      <c r="AA316" s="44">
        <f t="shared" si="178"/>
        <v>0</v>
      </c>
      <c r="AB316" s="43">
        <f t="shared" si="167"/>
        <v>63140.113889649991</v>
      </c>
      <c r="AD316" s="72" t="s">
        <v>123</v>
      </c>
      <c r="AE316" s="44">
        <f t="shared" si="179"/>
        <v>62053.477756009364</v>
      </c>
      <c r="AF316" s="44">
        <f t="shared" si="161"/>
        <v>312.08649073070239</v>
      </c>
      <c r="AG316" s="44">
        <f t="shared" si="180"/>
        <v>5729.9135092692977</v>
      </c>
      <c r="AH316" s="44">
        <f t="shared" si="181"/>
        <v>0</v>
      </c>
      <c r="AI316" s="43">
        <f t="shared" si="168"/>
        <v>56323.564246740068</v>
      </c>
      <c r="AK316" s="101">
        <f t="shared" si="188"/>
        <v>2052</v>
      </c>
      <c r="AL316" s="101">
        <f t="shared" si="162"/>
        <v>2</v>
      </c>
      <c r="AM316" s="118">
        <f t="shared" si="182"/>
        <v>0</v>
      </c>
      <c r="AN316" s="100">
        <f t="shared" si="183"/>
        <v>3083.6859871711818</v>
      </c>
      <c r="AO316" s="100">
        <f t="shared" si="184"/>
        <v>3464.2501847576555</v>
      </c>
      <c r="AP316" s="100">
        <f t="shared" si="185"/>
        <v>3083.6859871711818</v>
      </c>
      <c r="AQ316" s="1">
        <f t="shared" si="186"/>
        <v>23072</v>
      </c>
      <c r="AR316" s="100">
        <f t="shared" si="169"/>
        <v>63140.113889649991</v>
      </c>
      <c r="AS316" s="100">
        <f t="shared" si="170"/>
        <v>6547.9361719288372</v>
      </c>
      <c r="AT316" s="100">
        <f t="shared" si="187"/>
        <v>64860.063828071172</v>
      </c>
      <c r="AU316" s="1">
        <f t="shared" si="171"/>
        <v>71408.000000000015</v>
      </c>
      <c r="AV316" s="100">
        <f t="shared" si="172"/>
        <v>119463.67813639005</v>
      </c>
    </row>
    <row r="317" spans="4:48">
      <c r="D317" s="39">
        <f t="shared" si="173"/>
        <v>309</v>
      </c>
      <c r="E317" s="40">
        <f t="shared" si="189"/>
        <v>2052</v>
      </c>
      <c r="F317" s="35">
        <f t="shared" si="193"/>
        <v>55608</v>
      </c>
      <c r="G317" s="36">
        <f t="shared" si="158"/>
        <v>3</v>
      </c>
      <c r="H317" s="41">
        <f t="shared" si="194"/>
        <v>31</v>
      </c>
      <c r="I317" s="37" t="s">
        <v>123</v>
      </c>
      <c r="J317" s="27">
        <f t="shared" si="174"/>
        <v>0</v>
      </c>
      <c r="K317" s="27">
        <f t="shared" si="163"/>
        <v>0</v>
      </c>
      <c r="L317" s="27">
        <f t="shared" si="175"/>
        <v>0</v>
      </c>
      <c r="M317" s="27">
        <f t="shared" si="164"/>
        <v>0</v>
      </c>
      <c r="N317" s="27">
        <f t="shared" si="165"/>
        <v>0</v>
      </c>
      <c r="P317" s="72" t="s">
        <v>123</v>
      </c>
      <c r="Q317" s="44">
        <f t="shared" si="190"/>
        <v>0</v>
      </c>
      <c r="R317" s="44">
        <f t="shared" si="159"/>
        <v>0</v>
      </c>
      <c r="S317" s="44">
        <f t="shared" si="191"/>
        <v>0</v>
      </c>
      <c r="T317" s="44">
        <f t="shared" si="192"/>
        <v>0</v>
      </c>
      <c r="U317" s="43">
        <f t="shared" si="166"/>
        <v>0</v>
      </c>
      <c r="W317" s="72" t="s">
        <v>123</v>
      </c>
      <c r="X317" s="44">
        <f t="shared" si="176"/>
        <v>63140.113889649991</v>
      </c>
      <c r="Y317" s="44">
        <f t="shared" si="160"/>
        <v>331.94401244616262</v>
      </c>
      <c r="Z317" s="44">
        <f t="shared" si="177"/>
        <v>2552.0559875538374</v>
      </c>
      <c r="AA317" s="44">
        <f t="shared" si="178"/>
        <v>0</v>
      </c>
      <c r="AB317" s="43">
        <f t="shared" si="167"/>
        <v>60588.057902096152</v>
      </c>
      <c r="AD317" s="72" t="s">
        <v>123</v>
      </c>
      <c r="AE317" s="44">
        <f t="shared" si="179"/>
        <v>56323.564246740068</v>
      </c>
      <c r="AF317" s="44">
        <f t="shared" si="161"/>
        <v>302.80474005856996</v>
      </c>
      <c r="AG317" s="44">
        <f t="shared" si="180"/>
        <v>5739.1952599414299</v>
      </c>
      <c r="AH317" s="44">
        <f t="shared" si="181"/>
        <v>0</v>
      </c>
      <c r="AI317" s="43">
        <f t="shared" si="168"/>
        <v>50584.36898679864</v>
      </c>
      <c r="AK317" s="101">
        <f t="shared" si="188"/>
        <v>2052</v>
      </c>
      <c r="AL317" s="101">
        <f t="shared" si="162"/>
        <v>3</v>
      </c>
      <c r="AM317" s="118">
        <f t="shared" si="182"/>
        <v>0</v>
      </c>
      <c r="AN317" s="100">
        <f t="shared" si="183"/>
        <v>3415.6299996173443</v>
      </c>
      <c r="AO317" s="100">
        <f t="shared" si="184"/>
        <v>3767.0549248162256</v>
      </c>
      <c r="AP317" s="100">
        <f t="shared" si="185"/>
        <v>3415.6299996173443</v>
      </c>
      <c r="AQ317" s="1">
        <f t="shared" si="186"/>
        <v>25956</v>
      </c>
      <c r="AR317" s="100">
        <f t="shared" si="169"/>
        <v>60588.057902096152</v>
      </c>
      <c r="AS317" s="100">
        <f t="shared" si="170"/>
        <v>7182.6849244335699</v>
      </c>
      <c r="AT317" s="100">
        <f t="shared" si="187"/>
        <v>73151.315075566439</v>
      </c>
      <c r="AU317" s="1">
        <f t="shared" si="171"/>
        <v>80334.000000000015</v>
      </c>
      <c r="AV317" s="100">
        <f t="shared" si="172"/>
        <v>111172.42688889478</v>
      </c>
    </row>
    <row r="318" spans="4:48">
      <c r="D318" s="39">
        <f t="shared" si="173"/>
        <v>310</v>
      </c>
      <c r="E318" s="40">
        <f t="shared" si="189"/>
        <v>2052</v>
      </c>
      <c r="F318" s="35">
        <f t="shared" si="193"/>
        <v>55639</v>
      </c>
      <c r="G318" s="36">
        <f t="shared" si="158"/>
        <v>4</v>
      </c>
      <c r="H318" s="41">
        <f t="shared" si="194"/>
        <v>30</v>
      </c>
      <c r="I318" s="37" t="s">
        <v>123</v>
      </c>
      <c r="J318" s="27">
        <f t="shared" si="174"/>
        <v>0</v>
      </c>
      <c r="K318" s="27">
        <f t="shared" si="163"/>
        <v>0</v>
      </c>
      <c r="L318" s="27">
        <f t="shared" si="175"/>
        <v>0</v>
      </c>
      <c r="M318" s="27">
        <f t="shared" si="164"/>
        <v>0</v>
      </c>
      <c r="N318" s="27">
        <f t="shared" si="165"/>
        <v>0</v>
      </c>
      <c r="P318" s="72" t="s">
        <v>123</v>
      </c>
      <c r="Q318" s="44">
        <f t="shared" si="190"/>
        <v>0</v>
      </c>
      <c r="R318" s="44">
        <f t="shared" si="159"/>
        <v>0</v>
      </c>
      <c r="S318" s="44">
        <f t="shared" si="191"/>
        <v>0</v>
      </c>
      <c r="T318" s="44">
        <f t="shared" si="192"/>
        <v>0</v>
      </c>
      <c r="U318" s="43">
        <f t="shared" si="166"/>
        <v>0</v>
      </c>
      <c r="W318" s="72" t="s">
        <v>123</v>
      </c>
      <c r="X318" s="44">
        <f t="shared" si="176"/>
        <v>60588.057902096152</v>
      </c>
      <c r="Y318" s="44">
        <f t="shared" si="160"/>
        <v>308.25211924436314</v>
      </c>
      <c r="Z318" s="44">
        <f t="shared" si="177"/>
        <v>2575.7478807556367</v>
      </c>
      <c r="AA318" s="44">
        <f t="shared" si="178"/>
        <v>0</v>
      </c>
      <c r="AB318" s="43">
        <f t="shared" si="167"/>
        <v>58012.310021340512</v>
      </c>
      <c r="AD318" s="72" t="s">
        <v>123</v>
      </c>
      <c r="AE318" s="44">
        <f t="shared" si="179"/>
        <v>50584.36898679864</v>
      </c>
      <c r="AF318" s="44">
        <f t="shared" si="161"/>
        <v>263.1773060436455</v>
      </c>
      <c r="AG318" s="44">
        <f t="shared" si="180"/>
        <v>5778.8226939563547</v>
      </c>
      <c r="AH318" s="44">
        <f t="shared" si="181"/>
        <v>0</v>
      </c>
      <c r="AI318" s="43">
        <f t="shared" si="168"/>
        <v>44805.546292842286</v>
      </c>
      <c r="AK318" s="101">
        <f t="shared" si="188"/>
        <v>2052</v>
      </c>
      <c r="AL318" s="101">
        <f t="shared" si="162"/>
        <v>4</v>
      </c>
      <c r="AM318" s="118">
        <f t="shared" si="182"/>
        <v>0</v>
      </c>
      <c r="AN318" s="100">
        <f t="shared" si="183"/>
        <v>3723.8821188617076</v>
      </c>
      <c r="AO318" s="100">
        <f t="shared" si="184"/>
        <v>4030.2322308598709</v>
      </c>
      <c r="AP318" s="100">
        <f t="shared" si="185"/>
        <v>3723.8821188617076</v>
      </c>
      <c r="AQ318" s="1">
        <f t="shared" si="186"/>
        <v>28840</v>
      </c>
      <c r="AR318" s="100">
        <f t="shared" si="169"/>
        <v>58012.310021340512</v>
      </c>
      <c r="AS318" s="100">
        <f t="shared" si="170"/>
        <v>7754.114349721578</v>
      </c>
      <c r="AT318" s="100">
        <f t="shared" si="187"/>
        <v>81505.885650278433</v>
      </c>
      <c r="AU318" s="1">
        <f t="shared" si="171"/>
        <v>89260.000000000015</v>
      </c>
      <c r="AV318" s="100">
        <f t="shared" si="172"/>
        <v>102817.85631418281</v>
      </c>
    </row>
    <row r="319" spans="4:48">
      <c r="D319" s="39">
        <f t="shared" si="173"/>
        <v>311</v>
      </c>
      <c r="E319" s="40">
        <f t="shared" si="189"/>
        <v>2052</v>
      </c>
      <c r="F319" s="35">
        <f t="shared" si="193"/>
        <v>55669</v>
      </c>
      <c r="G319" s="36">
        <f t="shared" si="158"/>
        <v>5</v>
      </c>
      <c r="H319" s="41">
        <f t="shared" si="194"/>
        <v>31</v>
      </c>
      <c r="I319" s="37" t="s">
        <v>123</v>
      </c>
      <c r="J319" s="27">
        <f t="shared" si="174"/>
        <v>0</v>
      </c>
      <c r="K319" s="27">
        <f t="shared" si="163"/>
        <v>0</v>
      </c>
      <c r="L319" s="27">
        <f t="shared" si="175"/>
        <v>0</v>
      </c>
      <c r="M319" s="27">
        <f t="shared" si="164"/>
        <v>0</v>
      </c>
      <c r="N319" s="27">
        <f t="shared" si="165"/>
        <v>0</v>
      </c>
      <c r="P319" s="72" t="s">
        <v>123</v>
      </c>
      <c r="Q319" s="44">
        <f t="shared" si="190"/>
        <v>0</v>
      </c>
      <c r="R319" s="44">
        <f t="shared" si="159"/>
        <v>0</v>
      </c>
      <c r="S319" s="44">
        <f t="shared" si="191"/>
        <v>0</v>
      </c>
      <c r="T319" s="44">
        <f t="shared" si="192"/>
        <v>0</v>
      </c>
      <c r="U319" s="43">
        <f t="shared" si="166"/>
        <v>0</v>
      </c>
      <c r="W319" s="72" t="s">
        <v>123</v>
      </c>
      <c r="X319" s="44">
        <f t="shared" si="176"/>
        <v>58012.310021340512</v>
      </c>
      <c r="Y319" s="44">
        <f t="shared" si="160"/>
        <v>304.98581287657618</v>
      </c>
      <c r="Z319" s="44">
        <f t="shared" si="177"/>
        <v>2579.0141871234237</v>
      </c>
      <c r="AA319" s="44">
        <f t="shared" si="178"/>
        <v>0</v>
      </c>
      <c r="AB319" s="43">
        <f t="shared" si="167"/>
        <v>55433.29583421709</v>
      </c>
      <c r="AD319" s="72" t="s">
        <v>123</v>
      </c>
      <c r="AE319" s="44">
        <f t="shared" si="179"/>
        <v>44805.546292842286</v>
      </c>
      <c r="AF319" s="44">
        <f t="shared" si="161"/>
        <v>240.88198216560113</v>
      </c>
      <c r="AG319" s="44">
        <f t="shared" si="180"/>
        <v>5801.1180178343984</v>
      </c>
      <c r="AH319" s="44">
        <f t="shared" si="181"/>
        <v>0</v>
      </c>
      <c r="AI319" s="43">
        <f t="shared" si="168"/>
        <v>39004.428275007886</v>
      </c>
      <c r="AK319" s="101">
        <f t="shared" si="188"/>
        <v>2052</v>
      </c>
      <c r="AL319" s="101">
        <f t="shared" si="162"/>
        <v>5</v>
      </c>
      <c r="AM319" s="118">
        <f t="shared" si="182"/>
        <v>0</v>
      </c>
      <c r="AN319" s="100">
        <f t="shared" si="183"/>
        <v>4028.8679317382839</v>
      </c>
      <c r="AO319" s="100">
        <f t="shared" si="184"/>
        <v>4271.1142130254721</v>
      </c>
      <c r="AP319" s="100">
        <f t="shared" si="185"/>
        <v>4028.8679317382839</v>
      </c>
      <c r="AQ319" s="1">
        <f t="shared" si="186"/>
        <v>31724</v>
      </c>
      <c r="AR319" s="100">
        <f t="shared" si="169"/>
        <v>55433.29583421709</v>
      </c>
      <c r="AS319" s="100">
        <f t="shared" si="170"/>
        <v>8299.9821447637551</v>
      </c>
      <c r="AT319" s="100">
        <f t="shared" si="187"/>
        <v>89886.017855236249</v>
      </c>
      <c r="AU319" s="1">
        <f t="shared" si="171"/>
        <v>98186</v>
      </c>
      <c r="AV319" s="100">
        <f t="shared" si="172"/>
        <v>94437.724109224975</v>
      </c>
    </row>
    <row r="320" spans="4:48">
      <c r="D320" s="39">
        <f t="shared" si="173"/>
        <v>312</v>
      </c>
      <c r="E320" s="40">
        <f t="shared" si="189"/>
        <v>2052</v>
      </c>
      <c r="F320" s="35">
        <f t="shared" si="193"/>
        <v>55700</v>
      </c>
      <c r="G320" s="36">
        <f t="shared" si="158"/>
        <v>6</v>
      </c>
      <c r="H320" s="41">
        <f t="shared" si="194"/>
        <v>30</v>
      </c>
      <c r="I320" s="37" t="s">
        <v>123</v>
      </c>
      <c r="J320" s="27">
        <f t="shared" si="174"/>
        <v>0</v>
      </c>
      <c r="K320" s="27">
        <f t="shared" si="163"/>
        <v>0</v>
      </c>
      <c r="L320" s="27">
        <f t="shared" si="175"/>
        <v>0</v>
      </c>
      <c r="M320" s="27">
        <f t="shared" si="164"/>
        <v>0</v>
      </c>
      <c r="N320" s="27">
        <f t="shared" si="165"/>
        <v>0</v>
      </c>
      <c r="P320" s="72" t="s">
        <v>123</v>
      </c>
      <c r="Q320" s="44">
        <f t="shared" si="190"/>
        <v>0</v>
      </c>
      <c r="R320" s="44">
        <f t="shared" si="159"/>
        <v>0</v>
      </c>
      <c r="S320" s="44">
        <f t="shared" si="191"/>
        <v>0</v>
      </c>
      <c r="T320" s="44">
        <f t="shared" si="192"/>
        <v>0</v>
      </c>
      <c r="U320" s="43">
        <f t="shared" si="166"/>
        <v>0</v>
      </c>
      <c r="W320" s="72" t="s">
        <v>123</v>
      </c>
      <c r="X320" s="44">
        <f t="shared" si="176"/>
        <v>55433.29583421709</v>
      </c>
      <c r="Y320" s="44">
        <f t="shared" si="160"/>
        <v>282.02638455929076</v>
      </c>
      <c r="Z320" s="44">
        <f t="shared" si="177"/>
        <v>2601.9736154407092</v>
      </c>
      <c r="AA320" s="44">
        <f t="shared" si="178"/>
        <v>0</v>
      </c>
      <c r="AB320" s="43">
        <f t="shared" si="167"/>
        <v>52831.322218776382</v>
      </c>
      <c r="AD320" s="72" t="s">
        <v>123</v>
      </c>
      <c r="AE320" s="44">
        <f t="shared" si="179"/>
        <v>39004.428275007886</v>
      </c>
      <c r="AF320" s="44">
        <f t="shared" si="161"/>
        <v>202.92988847736976</v>
      </c>
      <c r="AG320" s="44">
        <f t="shared" si="180"/>
        <v>5839.0701115226302</v>
      </c>
      <c r="AH320" s="44">
        <f t="shared" si="181"/>
        <v>0</v>
      </c>
      <c r="AI320" s="43">
        <f t="shared" si="168"/>
        <v>33165.358163485253</v>
      </c>
      <c r="AK320" s="101">
        <f t="shared" si="188"/>
        <v>2052</v>
      </c>
      <c r="AL320" s="101">
        <f t="shared" si="162"/>
        <v>6</v>
      </c>
      <c r="AM320" s="118">
        <f t="shared" si="182"/>
        <v>0</v>
      </c>
      <c r="AN320" s="100">
        <f t="shared" si="183"/>
        <v>4310.8943162975747</v>
      </c>
      <c r="AO320" s="100">
        <f t="shared" si="184"/>
        <v>4474.0441015028418</v>
      </c>
      <c r="AP320" s="100">
        <f t="shared" si="185"/>
        <v>4310.8943162975747</v>
      </c>
      <c r="AQ320" s="1">
        <f t="shared" si="186"/>
        <v>34608</v>
      </c>
      <c r="AR320" s="100">
        <f t="shared" si="169"/>
        <v>52831.322218776382</v>
      </c>
      <c r="AS320" s="100">
        <f t="shared" si="170"/>
        <v>8784.9384178004166</v>
      </c>
      <c r="AT320" s="100">
        <f t="shared" si="187"/>
        <v>98327.061582199589</v>
      </c>
      <c r="AU320" s="1">
        <f t="shared" si="171"/>
        <v>107112</v>
      </c>
      <c r="AV320" s="100">
        <f t="shared" si="172"/>
        <v>85996.680382261635</v>
      </c>
    </row>
    <row r="321" spans="4:48">
      <c r="D321" s="39">
        <f t="shared" si="173"/>
        <v>313</v>
      </c>
      <c r="E321" s="40">
        <f t="shared" si="189"/>
        <v>2053</v>
      </c>
      <c r="F321" s="35">
        <f t="shared" si="193"/>
        <v>55730</v>
      </c>
      <c r="G321" s="36">
        <f t="shared" si="158"/>
        <v>7</v>
      </c>
      <c r="H321" s="41">
        <f t="shared" si="194"/>
        <v>31</v>
      </c>
      <c r="I321" s="37" t="s">
        <v>123</v>
      </c>
      <c r="J321" s="27">
        <f t="shared" si="174"/>
        <v>0</v>
      </c>
      <c r="K321" s="27">
        <f t="shared" si="163"/>
        <v>0</v>
      </c>
      <c r="L321" s="27">
        <f t="shared" si="175"/>
        <v>0</v>
      </c>
      <c r="M321" s="27">
        <f t="shared" si="164"/>
        <v>0</v>
      </c>
      <c r="N321" s="27">
        <f t="shared" si="165"/>
        <v>0</v>
      </c>
      <c r="P321" s="72" t="s">
        <v>123</v>
      </c>
      <c r="Q321" s="44">
        <f t="shared" si="190"/>
        <v>0</v>
      </c>
      <c r="R321" s="44">
        <f t="shared" si="159"/>
        <v>0</v>
      </c>
      <c r="S321" s="44">
        <f t="shared" si="191"/>
        <v>0</v>
      </c>
      <c r="T321" s="44">
        <f t="shared" si="192"/>
        <v>0</v>
      </c>
      <c r="U321" s="43">
        <f t="shared" si="166"/>
        <v>0</v>
      </c>
      <c r="W321" s="72" t="s">
        <v>123</v>
      </c>
      <c r="X321" s="44">
        <f t="shared" si="176"/>
        <v>52831.322218776382</v>
      </c>
      <c r="Y321" s="44">
        <f t="shared" si="160"/>
        <v>277.74801152221914</v>
      </c>
      <c r="Z321" s="44">
        <f t="shared" si="177"/>
        <v>2606.2519884777807</v>
      </c>
      <c r="AA321" s="44">
        <f t="shared" si="178"/>
        <v>0</v>
      </c>
      <c r="AB321" s="43">
        <f t="shared" si="167"/>
        <v>50225.070230298603</v>
      </c>
      <c r="AD321" s="72" t="s">
        <v>123</v>
      </c>
      <c r="AE321" s="44">
        <f t="shared" si="179"/>
        <v>33165.358163485253</v>
      </c>
      <c r="AF321" s="44">
        <f t="shared" si="161"/>
        <v>178.30241732659479</v>
      </c>
      <c r="AG321" s="44">
        <f t="shared" si="180"/>
        <v>5863.6975826734051</v>
      </c>
      <c r="AH321" s="44">
        <f t="shared" si="181"/>
        <v>0</v>
      </c>
      <c r="AI321" s="43">
        <f t="shared" si="168"/>
        <v>27301.660580811847</v>
      </c>
      <c r="AK321" s="101">
        <f t="shared" si="188"/>
        <v>2053</v>
      </c>
      <c r="AL321" s="101">
        <f t="shared" si="162"/>
        <v>7</v>
      </c>
      <c r="AM321" s="118">
        <f t="shared" si="182"/>
        <v>0</v>
      </c>
      <c r="AN321" s="100">
        <f t="shared" si="183"/>
        <v>277.74801152221914</v>
      </c>
      <c r="AO321" s="100">
        <f t="shared" si="184"/>
        <v>178.30241732659479</v>
      </c>
      <c r="AP321" s="100">
        <f t="shared" si="185"/>
        <v>277.74801152221914</v>
      </c>
      <c r="AQ321" s="1">
        <f t="shared" si="186"/>
        <v>2884</v>
      </c>
      <c r="AR321" s="100">
        <f t="shared" si="169"/>
        <v>50225.070230298603</v>
      </c>
      <c r="AS321" s="100">
        <f t="shared" si="170"/>
        <v>456.05042884881391</v>
      </c>
      <c r="AT321" s="100">
        <f t="shared" si="187"/>
        <v>8469.9495711511863</v>
      </c>
      <c r="AU321" s="1">
        <f t="shared" si="171"/>
        <v>8926</v>
      </c>
      <c r="AV321" s="100">
        <f t="shared" si="172"/>
        <v>77526.73081111045</v>
      </c>
    </row>
    <row r="322" spans="4:48">
      <c r="D322" s="39">
        <f t="shared" si="173"/>
        <v>314</v>
      </c>
      <c r="E322" s="40">
        <f t="shared" si="189"/>
        <v>2053</v>
      </c>
      <c r="F322" s="35">
        <f t="shared" si="193"/>
        <v>55761</v>
      </c>
      <c r="G322" s="36">
        <f t="shared" si="158"/>
        <v>8</v>
      </c>
      <c r="H322" s="41">
        <f t="shared" si="194"/>
        <v>31</v>
      </c>
      <c r="I322" s="37" t="s">
        <v>123</v>
      </c>
      <c r="J322" s="27">
        <f t="shared" si="174"/>
        <v>0</v>
      </c>
      <c r="K322" s="27">
        <f t="shared" si="163"/>
        <v>0</v>
      </c>
      <c r="L322" s="27">
        <f t="shared" si="175"/>
        <v>0</v>
      </c>
      <c r="M322" s="27">
        <f t="shared" si="164"/>
        <v>0</v>
      </c>
      <c r="N322" s="27">
        <f t="shared" si="165"/>
        <v>0</v>
      </c>
      <c r="P322" s="72" t="s">
        <v>123</v>
      </c>
      <c r="Q322" s="44">
        <f t="shared" si="190"/>
        <v>0</v>
      </c>
      <c r="R322" s="44">
        <f t="shared" si="159"/>
        <v>0</v>
      </c>
      <c r="S322" s="44">
        <f t="shared" si="191"/>
        <v>0</v>
      </c>
      <c r="T322" s="44">
        <f t="shared" si="192"/>
        <v>0</v>
      </c>
      <c r="U322" s="43">
        <f t="shared" si="166"/>
        <v>0</v>
      </c>
      <c r="W322" s="72" t="s">
        <v>123</v>
      </c>
      <c r="X322" s="44">
        <f t="shared" si="176"/>
        <v>50225.070230298603</v>
      </c>
      <c r="Y322" s="44">
        <f t="shared" si="160"/>
        <v>264.04626647923283</v>
      </c>
      <c r="Z322" s="44">
        <f t="shared" si="177"/>
        <v>2619.9537335207669</v>
      </c>
      <c r="AA322" s="44">
        <f t="shared" si="178"/>
        <v>0</v>
      </c>
      <c r="AB322" s="43">
        <f t="shared" si="167"/>
        <v>47605.116496777839</v>
      </c>
      <c r="AD322" s="72" t="s">
        <v>123</v>
      </c>
      <c r="AE322" s="44">
        <f t="shared" si="179"/>
        <v>27301.660580811847</v>
      </c>
      <c r="AF322" s="44">
        <f t="shared" si="161"/>
        <v>146.77821522664954</v>
      </c>
      <c r="AG322" s="44">
        <f t="shared" si="180"/>
        <v>5895.22178477335</v>
      </c>
      <c r="AH322" s="44">
        <f t="shared" si="181"/>
        <v>0</v>
      </c>
      <c r="AI322" s="43">
        <f t="shared" si="168"/>
        <v>21406.438796038496</v>
      </c>
      <c r="AK322" s="101">
        <f t="shared" si="188"/>
        <v>2053</v>
      </c>
      <c r="AL322" s="101">
        <f t="shared" si="162"/>
        <v>8</v>
      </c>
      <c r="AM322" s="118">
        <f t="shared" si="182"/>
        <v>0</v>
      </c>
      <c r="AN322" s="100">
        <f t="shared" si="183"/>
        <v>541.79427800145197</v>
      </c>
      <c r="AO322" s="100">
        <f t="shared" si="184"/>
        <v>325.0806325532443</v>
      </c>
      <c r="AP322" s="100">
        <f t="shared" si="185"/>
        <v>541.79427800145197</v>
      </c>
      <c r="AQ322" s="1">
        <f t="shared" si="186"/>
        <v>5768</v>
      </c>
      <c r="AR322" s="100">
        <f t="shared" si="169"/>
        <v>47605.116496777839</v>
      </c>
      <c r="AS322" s="100">
        <f t="shared" si="170"/>
        <v>866.87491055469627</v>
      </c>
      <c r="AT322" s="100">
        <f t="shared" si="187"/>
        <v>16985.125089445304</v>
      </c>
      <c r="AU322" s="1">
        <f t="shared" si="171"/>
        <v>17852</v>
      </c>
      <c r="AV322" s="100">
        <f t="shared" si="172"/>
        <v>69011.555292816338</v>
      </c>
    </row>
    <row r="323" spans="4:48">
      <c r="D323" s="39">
        <f t="shared" si="173"/>
        <v>315</v>
      </c>
      <c r="E323" s="40">
        <f t="shared" si="189"/>
        <v>2053</v>
      </c>
      <c r="F323" s="35">
        <f t="shared" si="193"/>
        <v>55792</v>
      </c>
      <c r="G323" s="36">
        <f t="shared" si="158"/>
        <v>9</v>
      </c>
      <c r="H323" s="41">
        <f t="shared" si="194"/>
        <v>30</v>
      </c>
      <c r="I323" s="37" t="s">
        <v>123</v>
      </c>
      <c r="J323" s="27">
        <f t="shared" si="174"/>
        <v>0</v>
      </c>
      <c r="K323" s="27">
        <f t="shared" si="163"/>
        <v>0</v>
      </c>
      <c r="L323" s="27">
        <f t="shared" si="175"/>
        <v>0</v>
      </c>
      <c r="M323" s="27">
        <f t="shared" si="164"/>
        <v>0</v>
      </c>
      <c r="N323" s="27">
        <f t="shared" si="165"/>
        <v>0</v>
      </c>
      <c r="P323" s="72" t="s">
        <v>123</v>
      </c>
      <c r="Q323" s="44">
        <f t="shared" si="190"/>
        <v>0</v>
      </c>
      <c r="R323" s="44">
        <f t="shared" si="159"/>
        <v>0</v>
      </c>
      <c r="S323" s="44">
        <f t="shared" si="191"/>
        <v>0</v>
      </c>
      <c r="T323" s="44">
        <f t="shared" si="192"/>
        <v>0</v>
      </c>
      <c r="U323" s="43">
        <f t="shared" si="166"/>
        <v>0</v>
      </c>
      <c r="W323" s="72" t="s">
        <v>123</v>
      </c>
      <c r="X323" s="44">
        <f t="shared" si="176"/>
        <v>47605.116496777839</v>
      </c>
      <c r="Y323" s="44">
        <f t="shared" si="160"/>
        <v>242.19918173840122</v>
      </c>
      <c r="Z323" s="44">
        <f t="shared" si="177"/>
        <v>2641.8008182615986</v>
      </c>
      <c r="AA323" s="44">
        <f t="shared" si="178"/>
        <v>0</v>
      </c>
      <c r="AB323" s="43">
        <f t="shared" si="167"/>
        <v>44963.315678516243</v>
      </c>
      <c r="AD323" s="72" t="s">
        <v>123</v>
      </c>
      <c r="AE323" s="44">
        <f t="shared" si="179"/>
        <v>21406.438796038496</v>
      </c>
      <c r="AF323" s="44">
        <f t="shared" si="161"/>
        <v>111.37212951692355</v>
      </c>
      <c r="AG323" s="44">
        <f t="shared" si="180"/>
        <v>5930.6278704830765</v>
      </c>
      <c r="AH323" s="44">
        <f t="shared" si="181"/>
        <v>0</v>
      </c>
      <c r="AI323" s="43">
        <f t="shared" si="168"/>
        <v>15475.810925555419</v>
      </c>
      <c r="AK323" s="101">
        <f t="shared" si="188"/>
        <v>2053</v>
      </c>
      <c r="AL323" s="101">
        <f t="shared" si="162"/>
        <v>9</v>
      </c>
      <c r="AM323" s="118">
        <f t="shared" si="182"/>
        <v>0</v>
      </c>
      <c r="AN323" s="100">
        <f t="shared" si="183"/>
        <v>783.99345973985317</v>
      </c>
      <c r="AO323" s="100">
        <f t="shared" si="184"/>
        <v>436.45276207016786</v>
      </c>
      <c r="AP323" s="100">
        <f t="shared" si="185"/>
        <v>783.99345973985317</v>
      </c>
      <c r="AQ323" s="1">
        <f t="shared" si="186"/>
        <v>8652</v>
      </c>
      <c r="AR323" s="100">
        <f t="shared" si="169"/>
        <v>44963.315678516243</v>
      </c>
      <c r="AS323" s="100">
        <f t="shared" si="170"/>
        <v>1220.4462218100211</v>
      </c>
      <c r="AT323" s="100">
        <f t="shared" si="187"/>
        <v>25557.55377818998</v>
      </c>
      <c r="AU323" s="1">
        <f t="shared" si="171"/>
        <v>26778</v>
      </c>
      <c r="AV323" s="100">
        <f t="shared" si="172"/>
        <v>60439.126604071658</v>
      </c>
    </row>
    <row r="324" spans="4:48">
      <c r="D324" s="39">
        <f t="shared" si="173"/>
        <v>316</v>
      </c>
      <c r="E324" s="40">
        <f t="shared" si="189"/>
        <v>2053</v>
      </c>
      <c r="F324" s="35">
        <f t="shared" si="193"/>
        <v>55822</v>
      </c>
      <c r="G324" s="36">
        <f t="shared" si="158"/>
        <v>10</v>
      </c>
      <c r="H324" s="41">
        <f t="shared" si="194"/>
        <v>31</v>
      </c>
      <c r="I324" s="37" t="s">
        <v>123</v>
      </c>
      <c r="J324" s="27">
        <f t="shared" si="174"/>
        <v>0</v>
      </c>
      <c r="K324" s="27">
        <f t="shared" si="163"/>
        <v>0</v>
      </c>
      <c r="L324" s="27">
        <f t="shared" si="175"/>
        <v>0</v>
      </c>
      <c r="M324" s="27">
        <f t="shared" si="164"/>
        <v>0</v>
      </c>
      <c r="N324" s="27">
        <f t="shared" si="165"/>
        <v>0</v>
      </c>
      <c r="P324" s="72" t="s">
        <v>123</v>
      </c>
      <c r="Q324" s="44">
        <f t="shared" si="190"/>
        <v>0</v>
      </c>
      <c r="R324" s="44">
        <f t="shared" si="159"/>
        <v>0</v>
      </c>
      <c r="S324" s="44">
        <f t="shared" si="191"/>
        <v>0</v>
      </c>
      <c r="T324" s="44">
        <f t="shared" si="192"/>
        <v>0</v>
      </c>
      <c r="U324" s="43">
        <f t="shared" si="166"/>
        <v>0</v>
      </c>
      <c r="W324" s="72" t="s">
        <v>123</v>
      </c>
      <c r="X324" s="44">
        <f t="shared" si="176"/>
        <v>44963.315678516243</v>
      </c>
      <c r="Y324" s="44">
        <f t="shared" si="160"/>
        <v>236.38385330275293</v>
      </c>
      <c r="Z324" s="44">
        <f t="shared" si="177"/>
        <v>2647.6161466972471</v>
      </c>
      <c r="AA324" s="44">
        <f t="shared" si="178"/>
        <v>0</v>
      </c>
      <c r="AB324" s="43">
        <f t="shared" si="167"/>
        <v>42315.699531818995</v>
      </c>
      <c r="AD324" s="72" t="s">
        <v>123</v>
      </c>
      <c r="AE324" s="44">
        <f t="shared" si="179"/>
        <v>15475.810925555419</v>
      </c>
      <c r="AF324" s="44">
        <f t="shared" si="161"/>
        <v>83.200503504705196</v>
      </c>
      <c r="AG324" s="44">
        <f t="shared" si="180"/>
        <v>5958.799496495295</v>
      </c>
      <c r="AH324" s="44">
        <f t="shared" si="181"/>
        <v>0</v>
      </c>
      <c r="AI324" s="43">
        <f t="shared" si="168"/>
        <v>9517.011429060125</v>
      </c>
      <c r="AK324" s="101">
        <f t="shared" si="188"/>
        <v>2053</v>
      </c>
      <c r="AL324" s="101">
        <f t="shared" si="162"/>
        <v>10</v>
      </c>
      <c r="AM324" s="118">
        <f t="shared" si="182"/>
        <v>0</v>
      </c>
      <c r="AN324" s="100">
        <f t="shared" si="183"/>
        <v>1020.3773130426061</v>
      </c>
      <c r="AO324" s="100">
        <f t="shared" si="184"/>
        <v>519.6532655748731</v>
      </c>
      <c r="AP324" s="100">
        <f t="shared" si="185"/>
        <v>1020.3773130426061</v>
      </c>
      <c r="AQ324" s="1">
        <f t="shared" si="186"/>
        <v>11536</v>
      </c>
      <c r="AR324" s="100">
        <f t="shared" si="169"/>
        <v>42315.699531818995</v>
      </c>
      <c r="AS324" s="100">
        <f t="shared" si="170"/>
        <v>1540.0305786174793</v>
      </c>
      <c r="AT324" s="100">
        <f t="shared" si="187"/>
        <v>34163.969421382521</v>
      </c>
      <c r="AU324" s="1">
        <f t="shared" si="171"/>
        <v>35704</v>
      </c>
      <c r="AV324" s="100">
        <f t="shared" si="172"/>
        <v>51832.710960879122</v>
      </c>
    </row>
    <row r="325" spans="4:48">
      <c r="D325" s="39">
        <f t="shared" si="173"/>
        <v>317</v>
      </c>
      <c r="E325" s="40">
        <f t="shared" si="189"/>
        <v>2053</v>
      </c>
      <c r="F325" s="35">
        <f t="shared" si="193"/>
        <v>55853</v>
      </c>
      <c r="G325" s="36">
        <f t="shared" si="158"/>
        <v>11</v>
      </c>
      <c r="H325" s="41">
        <f t="shared" si="194"/>
        <v>30</v>
      </c>
      <c r="I325" s="37" t="s">
        <v>123</v>
      </c>
      <c r="J325" s="27">
        <f t="shared" si="174"/>
        <v>0</v>
      </c>
      <c r="K325" s="27">
        <f t="shared" si="163"/>
        <v>0</v>
      </c>
      <c r="L325" s="27">
        <f t="shared" si="175"/>
        <v>0</v>
      </c>
      <c r="M325" s="27">
        <f t="shared" si="164"/>
        <v>0</v>
      </c>
      <c r="N325" s="27">
        <f t="shared" si="165"/>
        <v>0</v>
      </c>
      <c r="P325" s="72" t="s">
        <v>123</v>
      </c>
      <c r="Q325" s="44">
        <f t="shared" si="190"/>
        <v>0</v>
      </c>
      <c r="R325" s="44">
        <f t="shared" si="159"/>
        <v>0</v>
      </c>
      <c r="S325" s="44">
        <f t="shared" si="191"/>
        <v>0</v>
      </c>
      <c r="T325" s="44">
        <f t="shared" si="192"/>
        <v>0</v>
      </c>
      <c r="U325" s="43">
        <f t="shared" si="166"/>
        <v>0</v>
      </c>
      <c r="W325" s="72" t="s">
        <v>123</v>
      </c>
      <c r="X325" s="44">
        <f t="shared" si="176"/>
        <v>42315.699531818995</v>
      </c>
      <c r="Y325" s="44">
        <f t="shared" si="160"/>
        <v>215.28836720709003</v>
      </c>
      <c r="Z325" s="44">
        <f t="shared" si="177"/>
        <v>2668.7116327929098</v>
      </c>
      <c r="AA325" s="44">
        <f t="shared" si="178"/>
        <v>0</v>
      </c>
      <c r="AB325" s="43">
        <f t="shared" si="167"/>
        <v>39646.987899026084</v>
      </c>
      <c r="AD325" s="72" t="s">
        <v>123</v>
      </c>
      <c r="AE325" s="44">
        <f t="shared" si="179"/>
        <v>9517.011429060125</v>
      </c>
      <c r="AF325" s="44">
        <f t="shared" si="161"/>
        <v>49.514533435027879</v>
      </c>
      <c r="AG325" s="44">
        <f t="shared" si="180"/>
        <v>5992.4854665649718</v>
      </c>
      <c r="AH325" s="44">
        <f t="shared" si="181"/>
        <v>0</v>
      </c>
      <c r="AI325" s="43">
        <f t="shared" si="168"/>
        <v>3524.5259624951523</v>
      </c>
      <c r="AK325" s="101">
        <f t="shared" si="188"/>
        <v>2053</v>
      </c>
      <c r="AL325" s="101">
        <f t="shared" si="162"/>
        <v>11</v>
      </c>
      <c r="AM325" s="118">
        <f t="shared" si="182"/>
        <v>0</v>
      </c>
      <c r="AN325" s="100">
        <f t="shared" si="183"/>
        <v>1235.6656802496962</v>
      </c>
      <c r="AO325" s="100">
        <f t="shared" si="184"/>
        <v>569.16779900990093</v>
      </c>
      <c r="AP325" s="100">
        <f t="shared" si="185"/>
        <v>1235.6656802496962</v>
      </c>
      <c r="AQ325" s="1">
        <f t="shared" si="186"/>
        <v>14420</v>
      </c>
      <c r="AR325" s="100">
        <f t="shared" si="169"/>
        <v>39646.987899026084</v>
      </c>
      <c r="AS325" s="100">
        <f t="shared" si="170"/>
        <v>1804.833479259597</v>
      </c>
      <c r="AT325" s="100">
        <f t="shared" si="187"/>
        <v>42825.1665207404</v>
      </c>
      <c r="AU325" s="1">
        <f t="shared" si="171"/>
        <v>44630</v>
      </c>
      <c r="AV325" s="100">
        <f t="shared" si="172"/>
        <v>43171.513861521235</v>
      </c>
    </row>
    <row r="326" spans="4:48">
      <c r="D326" s="39">
        <f t="shared" si="173"/>
        <v>318</v>
      </c>
      <c r="E326" s="40">
        <f t="shared" si="189"/>
        <v>2053</v>
      </c>
      <c r="F326" s="35">
        <f t="shared" si="193"/>
        <v>55883</v>
      </c>
      <c r="G326" s="36">
        <f t="shared" si="158"/>
        <v>12</v>
      </c>
      <c r="H326" s="41">
        <f t="shared" si="194"/>
        <v>31</v>
      </c>
      <c r="I326" s="37" t="s">
        <v>123</v>
      </c>
      <c r="J326" s="27">
        <f t="shared" si="174"/>
        <v>0</v>
      </c>
      <c r="K326" s="27">
        <f t="shared" si="163"/>
        <v>0</v>
      </c>
      <c r="L326" s="27">
        <f t="shared" si="175"/>
        <v>0</v>
      </c>
      <c r="M326" s="27">
        <f t="shared" si="164"/>
        <v>0</v>
      </c>
      <c r="N326" s="27">
        <f t="shared" si="165"/>
        <v>0</v>
      </c>
      <c r="P326" s="72" t="s">
        <v>123</v>
      </c>
      <c r="Q326" s="44">
        <f t="shared" si="190"/>
        <v>0</v>
      </c>
      <c r="R326" s="44">
        <f t="shared" si="159"/>
        <v>0</v>
      </c>
      <c r="S326" s="44">
        <f t="shared" si="191"/>
        <v>0</v>
      </c>
      <c r="T326" s="44">
        <f t="shared" si="192"/>
        <v>0</v>
      </c>
      <c r="U326" s="43">
        <f t="shared" si="166"/>
        <v>0</v>
      </c>
      <c r="W326" s="72" t="s">
        <v>123</v>
      </c>
      <c r="X326" s="44">
        <f t="shared" si="176"/>
        <v>39646.987899026084</v>
      </c>
      <c r="Y326" s="44">
        <f t="shared" si="160"/>
        <v>208.43453446422231</v>
      </c>
      <c r="Z326" s="44">
        <f t="shared" si="177"/>
        <v>2675.5654655357775</v>
      </c>
      <c r="AA326" s="44">
        <f t="shared" si="178"/>
        <v>0</v>
      </c>
      <c r="AB326" s="43">
        <f t="shared" si="167"/>
        <v>36971.422433490305</v>
      </c>
      <c r="AD326" s="72" t="s">
        <v>123</v>
      </c>
      <c r="AE326" s="44">
        <f t="shared" si="179"/>
        <v>3524.5259624951523</v>
      </c>
      <c r="AF326" s="44">
        <f t="shared" si="161"/>
        <v>18.948430948504761</v>
      </c>
      <c r="AG326" s="44">
        <f t="shared" si="180"/>
        <v>6023.0515690514949</v>
      </c>
      <c r="AH326" s="44">
        <f t="shared" si="181"/>
        <v>0</v>
      </c>
      <c r="AI326" s="43">
        <f t="shared" si="168"/>
        <v>-2498.5256065563431</v>
      </c>
      <c r="AK326" s="101">
        <f t="shared" si="188"/>
        <v>2053</v>
      </c>
      <c r="AL326" s="101">
        <f t="shared" si="162"/>
        <v>12</v>
      </c>
      <c r="AM326" s="118">
        <f t="shared" si="182"/>
        <v>0</v>
      </c>
      <c r="AN326" s="100">
        <f t="shared" si="183"/>
        <v>1444.1002147139184</v>
      </c>
      <c r="AO326" s="100">
        <f t="shared" si="184"/>
        <v>588.11622995840571</v>
      </c>
      <c r="AP326" s="100">
        <f t="shared" si="185"/>
        <v>1444.1002147139184</v>
      </c>
      <c r="AQ326" s="1">
        <f t="shared" si="186"/>
        <v>17304</v>
      </c>
      <c r="AR326" s="100">
        <f t="shared" si="169"/>
        <v>36971.422433490305</v>
      </c>
      <c r="AS326" s="100">
        <f t="shared" si="170"/>
        <v>2032.2164446723241</v>
      </c>
      <c r="AT326" s="100">
        <f t="shared" si="187"/>
        <v>51523.783555327675</v>
      </c>
      <c r="AU326" s="1">
        <f t="shared" si="171"/>
        <v>53556</v>
      </c>
      <c r="AV326" s="100">
        <f t="shared" si="172"/>
        <v>34472.89682693396</v>
      </c>
    </row>
    <row r="327" spans="4:48">
      <c r="D327" s="39">
        <f t="shared" si="173"/>
        <v>319</v>
      </c>
      <c r="E327" s="40">
        <f t="shared" si="189"/>
        <v>2053</v>
      </c>
      <c r="F327" s="35">
        <f t="shared" si="193"/>
        <v>55914</v>
      </c>
      <c r="G327" s="36">
        <f t="shared" si="158"/>
        <v>1</v>
      </c>
      <c r="H327" s="41">
        <f t="shared" si="194"/>
        <v>31</v>
      </c>
      <c r="I327" s="37" t="s">
        <v>123</v>
      </c>
      <c r="J327" s="27">
        <f t="shared" si="174"/>
        <v>0</v>
      </c>
      <c r="K327" s="27">
        <f t="shared" si="163"/>
        <v>0</v>
      </c>
      <c r="L327" s="27">
        <f t="shared" si="175"/>
        <v>0</v>
      </c>
      <c r="M327" s="27">
        <f t="shared" si="164"/>
        <v>0</v>
      </c>
      <c r="N327" s="27">
        <f t="shared" si="165"/>
        <v>0</v>
      </c>
      <c r="P327" s="72" t="s">
        <v>123</v>
      </c>
      <c r="Q327" s="44">
        <f t="shared" si="190"/>
        <v>0</v>
      </c>
      <c r="R327" s="44">
        <f t="shared" si="159"/>
        <v>0</v>
      </c>
      <c r="S327" s="44">
        <f t="shared" si="191"/>
        <v>0</v>
      </c>
      <c r="T327" s="44">
        <f t="shared" si="192"/>
        <v>0</v>
      </c>
      <c r="U327" s="43">
        <f t="shared" si="166"/>
        <v>0</v>
      </c>
      <c r="W327" s="72" t="s">
        <v>123</v>
      </c>
      <c r="X327" s="44">
        <f t="shared" si="176"/>
        <v>36971.422433490305</v>
      </c>
      <c r="Y327" s="44">
        <f t="shared" si="160"/>
        <v>194.36839043184804</v>
      </c>
      <c r="Z327" s="44">
        <f t="shared" si="177"/>
        <v>2689.6316095681518</v>
      </c>
      <c r="AA327" s="44">
        <f t="shared" si="178"/>
        <v>0</v>
      </c>
      <c r="AB327" s="43">
        <f t="shared" si="167"/>
        <v>34281.790823922151</v>
      </c>
      <c r="AD327" s="72" t="s">
        <v>123</v>
      </c>
      <c r="AE327" s="44">
        <f t="shared" si="179"/>
        <v>0</v>
      </c>
      <c r="AF327" s="44">
        <f t="shared" si="161"/>
        <v>0</v>
      </c>
      <c r="AG327" s="44">
        <f t="shared" si="180"/>
        <v>0</v>
      </c>
      <c r="AH327" s="44">
        <f t="shared" si="181"/>
        <v>0</v>
      </c>
      <c r="AI327" s="43">
        <f t="shared" si="168"/>
        <v>0</v>
      </c>
      <c r="AK327" s="101">
        <f t="shared" si="188"/>
        <v>2053</v>
      </c>
      <c r="AL327" s="101">
        <f t="shared" si="162"/>
        <v>1</v>
      </c>
      <c r="AM327" s="118">
        <f t="shared" si="182"/>
        <v>0</v>
      </c>
      <c r="AN327" s="100">
        <f t="shared" si="183"/>
        <v>1638.4686051457663</v>
      </c>
      <c r="AO327" s="100">
        <f t="shared" si="184"/>
        <v>588.11622995840571</v>
      </c>
      <c r="AP327" s="100">
        <f t="shared" si="185"/>
        <v>1638.4686051457663</v>
      </c>
      <c r="AQ327" s="1">
        <f t="shared" si="186"/>
        <v>20188</v>
      </c>
      <c r="AR327" s="100">
        <f t="shared" si="169"/>
        <v>34281.790823922151</v>
      </c>
      <c r="AS327" s="100">
        <f t="shared" si="170"/>
        <v>2226.5848351041723</v>
      </c>
      <c r="AT327" s="100">
        <f t="shared" si="187"/>
        <v>54213.415164895829</v>
      </c>
      <c r="AU327" s="1">
        <f t="shared" si="171"/>
        <v>56440</v>
      </c>
      <c r="AV327" s="100">
        <f t="shared" si="172"/>
        <v>34281.790823922151</v>
      </c>
    </row>
    <row r="328" spans="4:48">
      <c r="D328" s="39">
        <f t="shared" si="173"/>
        <v>320</v>
      </c>
      <c r="E328" s="40">
        <f t="shared" si="189"/>
        <v>2053</v>
      </c>
      <c r="F328" s="35">
        <f t="shared" si="193"/>
        <v>55943</v>
      </c>
      <c r="G328" s="36">
        <f t="shared" si="158"/>
        <v>2</v>
      </c>
      <c r="H328" s="41">
        <f t="shared" si="194"/>
        <v>28</v>
      </c>
      <c r="I328" s="37" t="s">
        <v>123</v>
      </c>
      <c r="J328" s="27">
        <f t="shared" si="174"/>
        <v>0</v>
      </c>
      <c r="K328" s="27">
        <f t="shared" si="163"/>
        <v>0</v>
      </c>
      <c r="L328" s="27">
        <f t="shared" si="175"/>
        <v>0</v>
      </c>
      <c r="M328" s="27">
        <f t="shared" si="164"/>
        <v>0</v>
      </c>
      <c r="N328" s="27">
        <f t="shared" si="165"/>
        <v>0</v>
      </c>
      <c r="P328" s="72" t="s">
        <v>123</v>
      </c>
      <c r="Q328" s="44">
        <f t="shared" si="190"/>
        <v>0</v>
      </c>
      <c r="R328" s="44">
        <f t="shared" si="159"/>
        <v>0</v>
      </c>
      <c r="S328" s="44">
        <f t="shared" si="191"/>
        <v>0</v>
      </c>
      <c r="T328" s="44">
        <f t="shared" si="192"/>
        <v>0</v>
      </c>
      <c r="U328" s="43">
        <f t="shared" si="166"/>
        <v>0</v>
      </c>
      <c r="W328" s="72" t="s">
        <v>123</v>
      </c>
      <c r="X328" s="44">
        <f t="shared" si="176"/>
        <v>34281.790823922151</v>
      </c>
      <c r="Y328" s="44">
        <f t="shared" si="160"/>
        <v>162.78684892060784</v>
      </c>
      <c r="Z328" s="44">
        <f t="shared" si="177"/>
        <v>2721.213151079392</v>
      </c>
      <c r="AA328" s="44">
        <f t="shared" si="178"/>
        <v>0</v>
      </c>
      <c r="AB328" s="43">
        <f t="shared" si="167"/>
        <v>31560.577672842759</v>
      </c>
      <c r="AD328" s="72" t="s">
        <v>123</v>
      </c>
      <c r="AE328" s="44">
        <f t="shared" si="179"/>
        <v>0</v>
      </c>
      <c r="AF328" s="44">
        <f t="shared" si="161"/>
        <v>0</v>
      </c>
      <c r="AG328" s="44">
        <f t="shared" si="180"/>
        <v>0</v>
      </c>
      <c r="AH328" s="44">
        <f t="shared" si="181"/>
        <v>0</v>
      </c>
      <c r="AI328" s="43">
        <f t="shared" si="168"/>
        <v>0</v>
      </c>
      <c r="AK328" s="101">
        <f t="shared" si="188"/>
        <v>2053</v>
      </c>
      <c r="AL328" s="101">
        <f t="shared" si="162"/>
        <v>2</v>
      </c>
      <c r="AM328" s="118">
        <f t="shared" si="182"/>
        <v>0</v>
      </c>
      <c r="AN328" s="100">
        <f t="shared" si="183"/>
        <v>1801.2554540663741</v>
      </c>
      <c r="AO328" s="100">
        <f t="shared" si="184"/>
        <v>588.11622995840571</v>
      </c>
      <c r="AP328" s="100">
        <f t="shared" si="185"/>
        <v>1801.2554540663741</v>
      </c>
      <c r="AQ328" s="1">
        <f t="shared" si="186"/>
        <v>23072</v>
      </c>
      <c r="AR328" s="100">
        <f t="shared" si="169"/>
        <v>31560.577672842759</v>
      </c>
      <c r="AS328" s="100">
        <f t="shared" si="170"/>
        <v>2389.3716840247798</v>
      </c>
      <c r="AT328" s="100">
        <f t="shared" si="187"/>
        <v>56934.62831597522</v>
      </c>
      <c r="AU328" s="1">
        <f t="shared" si="171"/>
        <v>59324</v>
      </c>
      <c r="AV328" s="100">
        <f t="shared" si="172"/>
        <v>31560.577672842759</v>
      </c>
    </row>
    <row r="329" spans="4:48">
      <c r="D329" s="39">
        <f t="shared" si="173"/>
        <v>321</v>
      </c>
      <c r="E329" s="40">
        <f t="shared" si="189"/>
        <v>2053</v>
      </c>
      <c r="F329" s="35">
        <f t="shared" si="193"/>
        <v>55973</v>
      </c>
      <c r="G329" s="36">
        <f t="shared" ref="G329:G367" si="195">MONTH(F329)</f>
        <v>3</v>
      </c>
      <c r="H329" s="41">
        <f t="shared" si="194"/>
        <v>31</v>
      </c>
      <c r="I329" s="37" t="s">
        <v>123</v>
      </c>
      <c r="J329" s="27">
        <f t="shared" si="174"/>
        <v>0</v>
      </c>
      <c r="K329" s="27">
        <f t="shared" si="163"/>
        <v>0</v>
      </c>
      <c r="L329" s="27">
        <f t="shared" si="175"/>
        <v>0</v>
      </c>
      <c r="M329" s="27">
        <f t="shared" si="164"/>
        <v>0</v>
      </c>
      <c r="N329" s="27">
        <f t="shared" si="165"/>
        <v>0</v>
      </c>
      <c r="P329" s="72" t="s">
        <v>123</v>
      </c>
      <c r="Q329" s="44">
        <f t="shared" si="190"/>
        <v>0</v>
      </c>
      <c r="R329" s="44">
        <f t="shared" ref="R329:R367" si="196">(IF(P329="PI",Q329,IF(ISNUMBER(U328),U328,Q329))*$R$3/365*$H329*IF(Q329&gt;0,1,0))</f>
        <v>0</v>
      </c>
      <c r="S329" s="44">
        <f t="shared" si="191"/>
        <v>0</v>
      </c>
      <c r="T329" s="44">
        <f t="shared" si="192"/>
        <v>0</v>
      </c>
      <c r="U329" s="43">
        <f t="shared" si="166"/>
        <v>0</v>
      </c>
      <c r="W329" s="72" t="s">
        <v>123</v>
      </c>
      <c r="X329" s="44">
        <f t="shared" si="176"/>
        <v>31560.577672842759</v>
      </c>
      <c r="Y329" s="44">
        <f t="shared" ref="Y329:Y367" si="197">(IF(W329="PI",X329,IF(ISNUMBER(AB328),AB328,X329))*$Y$3/365*$H329*IF(X329&gt;0,1,0))</f>
        <v>165.92217122306292</v>
      </c>
      <c r="Z329" s="44">
        <f t="shared" si="177"/>
        <v>2718.0778287769372</v>
      </c>
      <c r="AA329" s="44">
        <f t="shared" si="178"/>
        <v>0</v>
      </c>
      <c r="AB329" s="43">
        <f t="shared" si="167"/>
        <v>28842.499844065824</v>
      </c>
      <c r="AD329" s="72" t="s">
        <v>123</v>
      </c>
      <c r="AE329" s="44">
        <f t="shared" si="179"/>
        <v>0</v>
      </c>
      <c r="AF329" s="44">
        <f t="shared" ref="AF329:AF367" si="198">(IF(AD329="PI",AE329,IF(ISNUMBER(AI328),AI328,AE329))*$AF$3/365*$H329*IF(AE329&gt;0,1,0))</f>
        <v>0</v>
      </c>
      <c r="AG329" s="44">
        <f t="shared" si="180"/>
        <v>0</v>
      </c>
      <c r="AH329" s="44">
        <f t="shared" si="181"/>
        <v>0</v>
      </c>
      <c r="AI329" s="43">
        <f t="shared" si="168"/>
        <v>0</v>
      </c>
      <c r="AK329" s="101">
        <f t="shared" si="188"/>
        <v>2053</v>
      </c>
      <c r="AL329" s="101">
        <f t="shared" ref="AL329:AL367" si="199">G329</f>
        <v>3</v>
      </c>
      <c r="AM329" s="118">
        <f t="shared" si="182"/>
        <v>0</v>
      </c>
      <c r="AN329" s="100">
        <f t="shared" si="183"/>
        <v>1967.1776252894369</v>
      </c>
      <c r="AO329" s="100">
        <f t="shared" si="184"/>
        <v>588.11622995840571</v>
      </c>
      <c r="AP329" s="100">
        <f t="shared" si="185"/>
        <v>1967.1776252894369</v>
      </c>
      <c r="AQ329" s="1">
        <f t="shared" si="186"/>
        <v>25956</v>
      </c>
      <c r="AR329" s="100">
        <f t="shared" si="169"/>
        <v>28842.499844065824</v>
      </c>
      <c r="AS329" s="100">
        <f t="shared" si="170"/>
        <v>2555.2938552478427</v>
      </c>
      <c r="AT329" s="100">
        <f t="shared" si="187"/>
        <v>59652.706144752156</v>
      </c>
      <c r="AU329" s="1">
        <f t="shared" si="171"/>
        <v>62208</v>
      </c>
      <c r="AV329" s="100">
        <f t="shared" si="172"/>
        <v>28842.499844065824</v>
      </c>
    </row>
    <row r="330" spans="4:48">
      <c r="D330" s="39">
        <f t="shared" si="173"/>
        <v>322</v>
      </c>
      <c r="E330" s="40">
        <f t="shared" si="189"/>
        <v>2053</v>
      </c>
      <c r="F330" s="35">
        <f t="shared" si="193"/>
        <v>56004</v>
      </c>
      <c r="G330" s="36">
        <f t="shared" si="195"/>
        <v>4</v>
      </c>
      <c r="H330" s="41">
        <f t="shared" si="194"/>
        <v>30</v>
      </c>
      <c r="I330" s="37" t="s">
        <v>123</v>
      </c>
      <c r="J330" s="27">
        <f t="shared" si="174"/>
        <v>0</v>
      </c>
      <c r="K330" s="27">
        <f t="shared" ref="K330:K367" si="200">(IF(I330="PI",J330,IF(ISNUMBER(N329),N329,J330))*$K$3/365*$H330*IF(J330&gt;0,1,0))</f>
        <v>0</v>
      </c>
      <c r="L330" s="27">
        <f t="shared" si="175"/>
        <v>0</v>
      </c>
      <c r="M330" s="27">
        <f t="shared" ref="M330:M367" si="201">IF(I330="IO",$K$6-K330+IF(ISNUMBER(M329),M329,0),IF(ISNUMBER(M329),M329,0))</f>
        <v>0</v>
      </c>
      <c r="N330" s="27">
        <f t="shared" ref="N330:N367" si="202">(J330+K330-$K$6-IF(I330="PI",0,M330))*IF(J330&gt;0,1,0)</f>
        <v>0</v>
      </c>
      <c r="P330" s="72" t="s">
        <v>123</v>
      </c>
      <c r="Q330" s="44">
        <f t="shared" si="190"/>
        <v>0</v>
      </c>
      <c r="R330" s="44">
        <f t="shared" si="196"/>
        <v>0</v>
      </c>
      <c r="S330" s="44">
        <f t="shared" si="191"/>
        <v>0</v>
      </c>
      <c r="T330" s="44">
        <f t="shared" si="192"/>
        <v>0</v>
      </c>
      <c r="U330" s="43">
        <f t="shared" ref="U330:U367" si="203">(Q330+R330-$R$6-IF(P330="PI",0,T330))*IF(Q330&gt;0,1,0)</f>
        <v>0</v>
      </c>
      <c r="W330" s="72" t="s">
        <v>123</v>
      </c>
      <c r="X330" s="44">
        <f t="shared" si="176"/>
        <v>28842.499844065824</v>
      </c>
      <c r="Y330" s="44">
        <f t="shared" si="197"/>
        <v>146.74115674090476</v>
      </c>
      <c r="Z330" s="44">
        <f t="shared" si="177"/>
        <v>2737.2588432590951</v>
      </c>
      <c r="AA330" s="44">
        <f t="shared" si="178"/>
        <v>0</v>
      </c>
      <c r="AB330" s="43">
        <f t="shared" ref="AB330:AB367" si="204">(X330+Y330-$Y$6-IF(W330="PI",0,AA330))*IF(X330&gt;0,1,0)</f>
        <v>26105.241000806727</v>
      </c>
      <c r="AD330" s="72" t="s">
        <v>123</v>
      </c>
      <c r="AE330" s="44">
        <f t="shared" si="179"/>
        <v>0</v>
      </c>
      <c r="AF330" s="44">
        <f t="shared" si="198"/>
        <v>0</v>
      </c>
      <c r="AG330" s="44">
        <f t="shared" si="180"/>
        <v>0</v>
      </c>
      <c r="AH330" s="44">
        <f t="shared" si="181"/>
        <v>0</v>
      </c>
      <c r="AI330" s="43">
        <f t="shared" ref="AI330:AI367" si="205">(AE330+AF330-$AF$6-IF(AD330="PI",0,AH330))*IF(AE330&gt;0,1,0)</f>
        <v>0</v>
      </c>
      <c r="AK330" s="101">
        <f t="shared" si="188"/>
        <v>2053</v>
      </c>
      <c r="AL330" s="101">
        <f t="shared" si="199"/>
        <v>4</v>
      </c>
      <c r="AM330" s="118">
        <f t="shared" si="182"/>
        <v>0</v>
      </c>
      <c r="AN330" s="100">
        <f t="shared" si="183"/>
        <v>2113.9187820303418</v>
      </c>
      <c r="AO330" s="100">
        <f t="shared" si="184"/>
        <v>588.11622995840571</v>
      </c>
      <c r="AP330" s="100">
        <f t="shared" si="185"/>
        <v>2113.9187820303418</v>
      </c>
      <c r="AQ330" s="1">
        <f t="shared" si="186"/>
        <v>28840</v>
      </c>
      <c r="AR330" s="100">
        <f t="shared" ref="AR330:AR367" si="206">N330+U330+AB330</f>
        <v>26105.241000806727</v>
      </c>
      <c r="AS330" s="100">
        <f t="shared" ref="AS330:AS367" si="207">AP330+AO330</f>
        <v>2702.0350119887476</v>
      </c>
      <c r="AT330" s="100">
        <f t="shared" si="187"/>
        <v>62389.964988011248</v>
      </c>
      <c r="AU330" s="1">
        <f t="shared" ref="AU330:AU367" si="208">AS330+AT330</f>
        <v>65091.999999999993</v>
      </c>
      <c r="AV330" s="100">
        <f t="shared" ref="AV330:AV367" si="209">N330+U330+AB330+AI330</f>
        <v>26105.241000806727</v>
      </c>
    </row>
    <row r="331" spans="4:48">
      <c r="D331" s="39">
        <f t="shared" ref="D331:D367" si="210">D330+1</f>
        <v>323</v>
      </c>
      <c r="E331" s="40">
        <f t="shared" si="189"/>
        <v>2053</v>
      </c>
      <c r="F331" s="35">
        <f t="shared" si="193"/>
        <v>56034</v>
      </c>
      <c r="G331" s="36">
        <f t="shared" si="195"/>
        <v>5</v>
      </c>
      <c r="H331" s="41">
        <f t="shared" si="194"/>
        <v>31</v>
      </c>
      <c r="I331" s="37" t="s">
        <v>123</v>
      </c>
      <c r="J331" s="27">
        <f t="shared" ref="J331:J367" si="211">IF(I331="PI",IF(N330&lt;=0,0,N330),(IF(I331="IO",J330,"")))*IF(N330&lt;=0,0,1)</f>
        <v>0</v>
      </c>
      <c r="K331" s="27">
        <f t="shared" si="200"/>
        <v>0</v>
      </c>
      <c r="L331" s="27">
        <f t="shared" ref="L331:L367" si="212">IF(I331="IO",0,$K$6-K331)*IF(J331&gt;0,1,0)</f>
        <v>0</v>
      </c>
      <c r="M331" s="27">
        <f t="shared" si="201"/>
        <v>0</v>
      </c>
      <c r="N331" s="27">
        <f t="shared" si="202"/>
        <v>0</v>
      </c>
      <c r="P331" s="72" t="s">
        <v>123</v>
      </c>
      <c r="Q331" s="44">
        <f t="shared" si="190"/>
        <v>0</v>
      </c>
      <c r="R331" s="44">
        <f t="shared" si="196"/>
        <v>0</v>
      </c>
      <c r="S331" s="44">
        <f t="shared" si="191"/>
        <v>0</v>
      </c>
      <c r="T331" s="44">
        <f t="shared" si="192"/>
        <v>0</v>
      </c>
      <c r="U331" s="43">
        <f t="shared" si="203"/>
        <v>0</v>
      </c>
      <c r="W331" s="72" t="s">
        <v>123</v>
      </c>
      <c r="X331" s="44">
        <f t="shared" ref="X331:X367" si="213">IF(W331="PI",IF(AB330&lt;=0,0,AB330),(IF(W331="IO",X330,"")))*IF(AB330&lt;=0,0,1)</f>
        <v>26105.241000806727</v>
      </c>
      <c r="Y331" s="44">
        <f t="shared" si="197"/>
        <v>137.242046456022</v>
      </c>
      <c r="Z331" s="44">
        <f t="shared" ref="Z331:Z367" si="214">IF(W331="IO",0,$Y$6-Y331)*IF(X331&gt;0,1,0)</f>
        <v>2746.7579535439781</v>
      </c>
      <c r="AA331" s="44">
        <f t="shared" ref="AA331:AA367" si="215">IF(W331="IO",$Y$6-Y331+IF(ISNUMBER(AA330),AA330,0),IF(ISNUMBER(AA330),AA330,0))</f>
        <v>0</v>
      </c>
      <c r="AB331" s="43">
        <f t="shared" si="204"/>
        <v>23358.483047262751</v>
      </c>
      <c r="AD331" s="72" t="s">
        <v>123</v>
      </c>
      <c r="AE331" s="44">
        <f t="shared" ref="AE331:AE367" si="216">IF(AD331="PI",IF(AI330&lt;=0,0,AI330),(IF(AD331="IO",AE330,"")))*IF(AI330&lt;=0,0,1)</f>
        <v>0</v>
      </c>
      <c r="AF331" s="44">
        <f t="shared" si="198"/>
        <v>0</v>
      </c>
      <c r="AG331" s="44">
        <f t="shared" ref="AG331:AG367" si="217">IF(AD331="IO",0,$AF$6-AF331)*IF(AE331&gt;0,1,0)</f>
        <v>0</v>
      </c>
      <c r="AH331" s="44">
        <f t="shared" ref="AH331:AH367" si="218">IF(AD331="IO",$AF$6-AF331+IF(ISNUMBER(AH330),AH330,0),IF(ISNUMBER(AH330),AH330,0))</f>
        <v>0</v>
      </c>
      <c r="AI331" s="43">
        <f t="shared" si="205"/>
        <v>0</v>
      </c>
      <c r="AK331" s="101">
        <f t="shared" si="188"/>
        <v>2053</v>
      </c>
      <c r="AL331" s="101">
        <f t="shared" si="199"/>
        <v>5</v>
      </c>
      <c r="AM331" s="118">
        <f t="shared" ref="AM331:AM367" si="219">IF($AK331=$AK330,R331+AM330,R331)</f>
        <v>0</v>
      </c>
      <c r="AN331" s="100">
        <f t="shared" ref="AN331:AN367" si="220">IF($AK331=$AK330,Y331+AN330,Y331)</f>
        <v>2251.1608284863637</v>
      </c>
      <c r="AO331" s="100">
        <f t="shared" ref="AO331:AO367" si="221">IF($AK331=$AK330,AF331+AO330,AF331)</f>
        <v>588.11622995840571</v>
      </c>
      <c r="AP331" s="100">
        <f t="shared" ref="AP331:AP367" si="222">AM331+AN331</f>
        <v>2251.1608284863637</v>
      </c>
      <c r="AQ331" s="1">
        <f t="shared" ref="AQ331:AQ367" si="223">IF(AK331=AK330,AQ330,0)+
IF(J331&gt;0,$K$6,0)+
IF(Q331&gt;0,$R$6,0)+
IF(X331&gt;0,$Y$6,0)</f>
        <v>31724</v>
      </c>
      <c r="AR331" s="100">
        <f t="shared" si="206"/>
        <v>23358.483047262751</v>
      </c>
      <c r="AS331" s="100">
        <f t="shared" si="207"/>
        <v>2839.2770584447694</v>
      </c>
      <c r="AT331" s="100">
        <f t="shared" ref="AT331:AT367" si="224">IF(AK331=AK330,AT330,0)+
IF(J331&gt;0,L331,0)+
IF(Q331&gt;0,S331,0)+
IF(X331&gt;0,Z331,0)+
IF(AE331&gt;0,AG331,0)</f>
        <v>65136.722941555228</v>
      </c>
      <c r="AU331" s="1">
        <f t="shared" si="208"/>
        <v>67976</v>
      </c>
      <c r="AV331" s="100">
        <f t="shared" si="209"/>
        <v>23358.483047262751</v>
      </c>
    </row>
    <row r="332" spans="4:48">
      <c r="D332" s="39">
        <f t="shared" si="210"/>
        <v>324</v>
      </c>
      <c r="E332" s="40">
        <f t="shared" si="189"/>
        <v>2053</v>
      </c>
      <c r="F332" s="35">
        <f t="shared" si="193"/>
        <v>56065</v>
      </c>
      <c r="G332" s="36">
        <f t="shared" si="195"/>
        <v>6</v>
      </c>
      <c r="H332" s="41">
        <f t="shared" si="194"/>
        <v>30</v>
      </c>
      <c r="I332" s="37" t="s">
        <v>123</v>
      </c>
      <c r="J332" s="27">
        <f t="shared" si="211"/>
        <v>0</v>
      </c>
      <c r="K332" s="27">
        <f t="shared" si="200"/>
        <v>0</v>
      </c>
      <c r="L332" s="27">
        <f t="shared" si="212"/>
        <v>0</v>
      </c>
      <c r="M332" s="27">
        <f t="shared" si="201"/>
        <v>0</v>
      </c>
      <c r="N332" s="27">
        <f t="shared" si="202"/>
        <v>0</v>
      </c>
      <c r="P332" s="72" t="s">
        <v>123</v>
      </c>
      <c r="Q332" s="44">
        <f t="shared" si="190"/>
        <v>0</v>
      </c>
      <c r="R332" s="44">
        <f t="shared" si="196"/>
        <v>0</v>
      </c>
      <c r="S332" s="44">
        <f t="shared" si="191"/>
        <v>0</v>
      </c>
      <c r="T332" s="44">
        <f t="shared" si="192"/>
        <v>0</v>
      </c>
      <c r="U332" s="43">
        <f t="shared" si="203"/>
        <v>0</v>
      </c>
      <c r="W332" s="72" t="s">
        <v>123</v>
      </c>
      <c r="X332" s="44">
        <f t="shared" si="213"/>
        <v>23358.483047262751</v>
      </c>
      <c r="Y332" s="44">
        <f t="shared" si="197"/>
        <v>118.84028224319707</v>
      </c>
      <c r="Z332" s="44">
        <f t="shared" si="214"/>
        <v>2765.1597177568028</v>
      </c>
      <c r="AA332" s="44">
        <f t="shared" si="215"/>
        <v>0</v>
      </c>
      <c r="AB332" s="43">
        <f t="shared" si="204"/>
        <v>20593.323329505947</v>
      </c>
      <c r="AD332" s="72" t="s">
        <v>123</v>
      </c>
      <c r="AE332" s="44">
        <f t="shared" si="216"/>
        <v>0</v>
      </c>
      <c r="AF332" s="44">
        <f t="shared" si="198"/>
        <v>0</v>
      </c>
      <c r="AG332" s="44">
        <f t="shared" si="217"/>
        <v>0</v>
      </c>
      <c r="AH332" s="44">
        <f t="shared" si="218"/>
        <v>0</v>
      </c>
      <c r="AI332" s="43">
        <f t="shared" si="205"/>
        <v>0</v>
      </c>
      <c r="AK332" s="101">
        <f t="shared" si="188"/>
        <v>2053</v>
      </c>
      <c r="AL332" s="101">
        <f t="shared" si="199"/>
        <v>6</v>
      </c>
      <c r="AM332" s="118">
        <f t="shared" si="219"/>
        <v>0</v>
      </c>
      <c r="AN332" s="100">
        <f t="shared" si="220"/>
        <v>2370.0011107295609</v>
      </c>
      <c r="AO332" s="100">
        <f t="shared" si="221"/>
        <v>588.11622995840571</v>
      </c>
      <c r="AP332" s="100">
        <f t="shared" si="222"/>
        <v>2370.0011107295609</v>
      </c>
      <c r="AQ332" s="1">
        <f t="shared" si="223"/>
        <v>34608</v>
      </c>
      <c r="AR332" s="100">
        <f t="shared" si="206"/>
        <v>20593.323329505947</v>
      </c>
      <c r="AS332" s="100">
        <f t="shared" si="207"/>
        <v>2958.1173406879666</v>
      </c>
      <c r="AT332" s="100">
        <f t="shared" si="224"/>
        <v>67901.882659312032</v>
      </c>
      <c r="AU332" s="1">
        <f t="shared" si="208"/>
        <v>70860</v>
      </c>
      <c r="AV332" s="100">
        <f t="shared" si="209"/>
        <v>20593.323329505947</v>
      </c>
    </row>
    <row r="333" spans="4:48">
      <c r="D333" s="39">
        <f t="shared" si="210"/>
        <v>325</v>
      </c>
      <c r="E333" s="40">
        <f t="shared" si="189"/>
        <v>2054</v>
      </c>
      <c r="F333" s="35">
        <f t="shared" si="193"/>
        <v>56095</v>
      </c>
      <c r="G333" s="36">
        <f t="shared" si="195"/>
        <v>7</v>
      </c>
      <c r="H333" s="41">
        <f t="shared" si="194"/>
        <v>31</v>
      </c>
      <c r="I333" s="37" t="s">
        <v>123</v>
      </c>
      <c r="J333" s="27">
        <f t="shared" si="211"/>
        <v>0</v>
      </c>
      <c r="K333" s="27">
        <f t="shared" si="200"/>
        <v>0</v>
      </c>
      <c r="L333" s="27">
        <f t="shared" si="212"/>
        <v>0</v>
      </c>
      <c r="M333" s="27">
        <f t="shared" si="201"/>
        <v>0</v>
      </c>
      <c r="N333" s="27">
        <f t="shared" si="202"/>
        <v>0</v>
      </c>
      <c r="P333" s="72" t="s">
        <v>123</v>
      </c>
      <c r="Q333" s="44">
        <f t="shared" si="190"/>
        <v>0</v>
      </c>
      <c r="R333" s="44">
        <f t="shared" si="196"/>
        <v>0</v>
      </c>
      <c r="S333" s="44">
        <f t="shared" si="191"/>
        <v>0</v>
      </c>
      <c r="T333" s="44">
        <f t="shared" si="192"/>
        <v>0</v>
      </c>
      <c r="U333" s="43">
        <f t="shared" si="203"/>
        <v>0</v>
      </c>
      <c r="W333" s="72" t="s">
        <v>123</v>
      </c>
      <c r="X333" s="44">
        <f t="shared" si="213"/>
        <v>20593.323329505947</v>
      </c>
      <c r="Y333" s="44">
        <f t="shared" si="197"/>
        <v>108.26446064928484</v>
      </c>
      <c r="Z333" s="44">
        <f t="shared" si="214"/>
        <v>2775.735539350715</v>
      </c>
      <c r="AA333" s="44">
        <f t="shared" si="215"/>
        <v>0</v>
      </c>
      <c r="AB333" s="43">
        <f t="shared" si="204"/>
        <v>17817.58779015523</v>
      </c>
      <c r="AD333" s="72" t="s">
        <v>123</v>
      </c>
      <c r="AE333" s="44">
        <f t="shared" si="216"/>
        <v>0</v>
      </c>
      <c r="AF333" s="44">
        <f t="shared" si="198"/>
        <v>0</v>
      </c>
      <c r="AG333" s="44">
        <f t="shared" si="217"/>
        <v>0</v>
      </c>
      <c r="AH333" s="44">
        <f t="shared" si="218"/>
        <v>0</v>
      </c>
      <c r="AI333" s="43">
        <f t="shared" si="205"/>
        <v>0</v>
      </c>
      <c r="AK333" s="101">
        <f t="shared" si="188"/>
        <v>2054</v>
      </c>
      <c r="AL333" s="101">
        <f t="shared" si="199"/>
        <v>7</v>
      </c>
      <c r="AM333" s="118">
        <f t="shared" si="219"/>
        <v>0</v>
      </c>
      <c r="AN333" s="100">
        <f t="shared" si="220"/>
        <v>108.26446064928484</v>
      </c>
      <c r="AO333" s="100">
        <f t="shared" si="221"/>
        <v>0</v>
      </c>
      <c r="AP333" s="100">
        <f t="shared" si="222"/>
        <v>108.26446064928484</v>
      </c>
      <c r="AQ333" s="1">
        <f t="shared" si="223"/>
        <v>2884</v>
      </c>
      <c r="AR333" s="100">
        <f t="shared" si="206"/>
        <v>17817.58779015523</v>
      </c>
      <c r="AS333" s="100">
        <f t="shared" si="207"/>
        <v>108.26446064928484</v>
      </c>
      <c r="AT333" s="100">
        <f t="shared" si="224"/>
        <v>2775.735539350715</v>
      </c>
      <c r="AU333" s="1">
        <f t="shared" si="208"/>
        <v>2884</v>
      </c>
      <c r="AV333" s="100">
        <f t="shared" si="209"/>
        <v>17817.58779015523</v>
      </c>
    </row>
    <row r="334" spans="4:48">
      <c r="D334" s="39">
        <f t="shared" si="210"/>
        <v>326</v>
      </c>
      <c r="E334" s="40">
        <f t="shared" si="189"/>
        <v>2054</v>
      </c>
      <c r="F334" s="35">
        <f t="shared" si="193"/>
        <v>56126</v>
      </c>
      <c r="G334" s="36">
        <f t="shared" si="195"/>
        <v>8</v>
      </c>
      <c r="H334" s="41">
        <f t="shared" si="194"/>
        <v>31</v>
      </c>
      <c r="I334" s="37" t="s">
        <v>123</v>
      </c>
      <c r="J334" s="27">
        <f t="shared" si="211"/>
        <v>0</v>
      </c>
      <c r="K334" s="27">
        <f t="shared" si="200"/>
        <v>0</v>
      </c>
      <c r="L334" s="27">
        <f t="shared" si="212"/>
        <v>0</v>
      </c>
      <c r="M334" s="27">
        <f t="shared" si="201"/>
        <v>0</v>
      </c>
      <c r="N334" s="27">
        <f t="shared" si="202"/>
        <v>0</v>
      </c>
      <c r="P334" s="72" t="s">
        <v>123</v>
      </c>
      <c r="Q334" s="44">
        <f t="shared" si="190"/>
        <v>0</v>
      </c>
      <c r="R334" s="44">
        <f t="shared" si="196"/>
        <v>0</v>
      </c>
      <c r="S334" s="44">
        <f t="shared" si="191"/>
        <v>0</v>
      </c>
      <c r="T334" s="44">
        <f t="shared" si="192"/>
        <v>0</v>
      </c>
      <c r="U334" s="43">
        <f t="shared" si="203"/>
        <v>0</v>
      </c>
      <c r="W334" s="72" t="s">
        <v>123</v>
      </c>
      <c r="X334" s="44">
        <f t="shared" si="213"/>
        <v>17817.58779015523</v>
      </c>
      <c r="Y334" s="44">
        <f t="shared" si="197"/>
        <v>93.671696467202395</v>
      </c>
      <c r="Z334" s="44">
        <f t="shared" si="214"/>
        <v>2790.3283035327977</v>
      </c>
      <c r="AA334" s="44">
        <f t="shared" si="215"/>
        <v>0</v>
      </c>
      <c r="AB334" s="43">
        <f t="shared" si="204"/>
        <v>15027.259486622432</v>
      </c>
      <c r="AD334" s="72" t="s">
        <v>123</v>
      </c>
      <c r="AE334" s="44">
        <f t="shared" si="216"/>
        <v>0</v>
      </c>
      <c r="AF334" s="44">
        <f t="shared" si="198"/>
        <v>0</v>
      </c>
      <c r="AG334" s="44">
        <f t="shared" si="217"/>
        <v>0</v>
      </c>
      <c r="AH334" s="44">
        <f t="shared" si="218"/>
        <v>0</v>
      </c>
      <c r="AI334" s="43">
        <f t="shared" si="205"/>
        <v>0</v>
      </c>
      <c r="AK334" s="101">
        <f t="shared" si="188"/>
        <v>2054</v>
      </c>
      <c r="AL334" s="101">
        <f t="shared" si="199"/>
        <v>8</v>
      </c>
      <c r="AM334" s="118">
        <f t="shared" si="219"/>
        <v>0</v>
      </c>
      <c r="AN334" s="100">
        <f t="shared" si="220"/>
        <v>201.93615711648724</v>
      </c>
      <c r="AO334" s="100">
        <f t="shared" si="221"/>
        <v>0</v>
      </c>
      <c r="AP334" s="100">
        <f t="shared" si="222"/>
        <v>201.93615711648724</v>
      </c>
      <c r="AQ334" s="1">
        <f t="shared" si="223"/>
        <v>5768</v>
      </c>
      <c r="AR334" s="100">
        <f t="shared" si="206"/>
        <v>15027.259486622432</v>
      </c>
      <c r="AS334" s="100">
        <f t="shared" si="207"/>
        <v>201.93615711648724</v>
      </c>
      <c r="AT334" s="100">
        <f t="shared" si="224"/>
        <v>5566.0638428835127</v>
      </c>
      <c r="AU334" s="1">
        <f t="shared" si="208"/>
        <v>5768</v>
      </c>
      <c r="AV334" s="100">
        <f t="shared" si="209"/>
        <v>15027.259486622432</v>
      </c>
    </row>
    <row r="335" spans="4:48">
      <c r="D335" s="39">
        <f t="shared" si="210"/>
        <v>327</v>
      </c>
      <c r="E335" s="40">
        <f t="shared" si="189"/>
        <v>2054</v>
      </c>
      <c r="F335" s="35">
        <f t="shared" si="193"/>
        <v>56157</v>
      </c>
      <c r="G335" s="36">
        <f t="shared" si="195"/>
        <v>9</v>
      </c>
      <c r="H335" s="41">
        <f t="shared" si="194"/>
        <v>30</v>
      </c>
      <c r="I335" s="37" t="s">
        <v>123</v>
      </c>
      <c r="J335" s="27">
        <f t="shared" si="211"/>
        <v>0</v>
      </c>
      <c r="K335" s="27">
        <f t="shared" si="200"/>
        <v>0</v>
      </c>
      <c r="L335" s="27">
        <f t="shared" si="212"/>
        <v>0</v>
      </c>
      <c r="M335" s="27">
        <f t="shared" si="201"/>
        <v>0</v>
      </c>
      <c r="N335" s="27">
        <f t="shared" si="202"/>
        <v>0</v>
      </c>
      <c r="P335" s="72" t="s">
        <v>123</v>
      </c>
      <c r="Q335" s="44">
        <f t="shared" si="190"/>
        <v>0</v>
      </c>
      <c r="R335" s="44">
        <f t="shared" si="196"/>
        <v>0</v>
      </c>
      <c r="S335" s="44">
        <f t="shared" si="191"/>
        <v>0</v>
      </c>
      <c r="T335" s="44">
        <f t="shared" si="192"/>
        <v>0</v>
      </c>
      <c r="U335" s="43">
        <f t="shared" si="203"/>
        <v>0</v>
      </c>
      <c r="W335" s="72" t="s">
        <v>123</v>
      </c>
      <c r="X335" s="44">
        <f t="shared" si="213"/>
        <v>15027.259486622432</v>
      </c>
      <c r="Y335" s="44">
        <f t="shared" si="197"/>
        <v>76.453755799062606</v>
      </c>
      <c r="Z335" s="44">
        <f t="shared" si="214"/>
        <v>2807.5462442009375</v>
      </c>
      <c r="AA335" s="44">
        <f t="shared" si="215"/>
        <v>0</v>
      </c>
      <c r="AB335" s="43">
        <f t="shared" si="204"/>
        <v>12219.713242421494</v>
      </c>
      <c r="AD335" s="72" t="s">
        <v>123</v>
      </c>
      <c r="AE335" s="44">
        <f t="shared" si="216"/>
        <v>0</v>
      </c>
      <c r="AF335" s="44">
        <f t="shared" si="198"/>
        <v>0</v>
      </c>
      <c r="AG335" s="44">
        <f t="shared" si="217"/>
        <v>0</v>
      </c>
      <c r="AH335" s="44">
        <f t="shared" si="218"/>
        <v>0</v>
      </c>
      <c r="AI335" s="43">
        <f t="shared" si="205"/>
        <v>0</v>
      </c>
      <c r="AK335" s="101">
        <f t="shared" si="188"/>
        <v>2054</v>
      </c>
      <c r="AL335" s="101">
        <f t="shared" si="199"/>
        <v>9</v>
      </c>
      <c r="AM335" s="118">
        <f t="shared" si="219"/>
        <v>0</v>
      </c>
      <c r="AN335" s="100">
        <f t="shared" si="220"/>
        <v>278.38991291554987</v>
      </c>
      <c r="AO335" s="100">
        <f t="shared" si="221"/>
        <v>0</v>
      </c>
      <c r="AP335" s="100">
        <f t="shared" si="222"/>
        <v>278.38991291554987</v>
      </c>
      <c r="AQ335" s="1">
        <f t="shared" si="223"/>
        <v>8652</v>
      </c>
      <c r="AR335" s="100">
        <f t="shared" si="206"/>
        <v>12219.713242421494</v>
      </c>
      <c r="AS335" s="100">
        <f t="shared" si="207"/>
        <v>278.38991291554987</v>
      </c>
      <c r="AT335" s="100">
        <f t="shared" si="224"/>
        <v>8373.6100870844493</v>
      </c>
      <c r="AU335" s="1">
        <f t="shared" si="208"/>
        <v>8652</v>
      </c>
      <c r="AV335" s="100">
        <f t="shared" si="209"/>
        <v>12219.713242421494</v>
      </c>
    </row>
    <row r="336" spans="4:48">
      <c r="D336" s="39">
        <f t="shared" si="210"/>
        <v>328</v>
      </c>
      <c r="E336" s="40">
        <f t="shared" si="189"/>
        <v>2054</v>
      </c>
      <c r="F336" s="35">
        <f t="shared" si="193"/>
        <v>56187</v>
      </c>
      <c r="G336" s="36">
        <f t="shared" si="195"/>
        <v>10</v>
      </c>
      <c r="H336" s="41">
        <f t="shared" si="194"/>
        <v>31</v>
      </c>
      <c r="I336" s="37" t="s">
        <v>123</v>
      </c>
      <c r="J336" s="27">
        <f t="shared" si="211"/>
        <v>0</v>
      </c>
      <c r="K336" s="27">
        <f t="shared" si="200"/>
        <v>0</v>
      </c>
      <c r="L336" s="27">
        <f t="shared" si="212"/>
        <v>0</v>
      </c>
      <c r="M336" s="27">
        <f t="shared" si="201"/>
        <v>0</v>
      </c>
      <c r="N336" s="27">
        <f t="shared" si="202"/>
        <v>0</v>
      </c>
      <c r="P336" s="72" t="s">
        <v>123</v>
      </c>
      <c r="Q336" s="44">
        <f t="shared" si="190"/>
        <v>0</v>
      </c>
      <c r="R336" s="44">
        <f t="shared" si="196"/>
        <v>0</v>
      </c>
      <c r="S336" s="44">
        <f t="shared" si="191"/>
        <v>0</v>
      </c>
      <c r="T336" s="44">
        <f t="shared" si="192"/>
        <v>0</v>
      </c>
      <c r="U336" s="43">
        <f t="shared" si="203"/>
        <v>0</v>
      </c>
      <c r="W336" s="72" t="s">
        <v>123</v>
      </c>
      <c r="X336" s="44">
        <f t="shared" si="213"/>
        <v>12219.713242421494</v>
      </c>
      <c r="Y336" s="44">
        <f t="shared" si="197"/>
        <v>64.242212988719459</v>
      </c>
      <c r="Z336" s="44">
        <f t="shared" si="214"/>
        <v>2819.7577870112805</v>
      </c>
      <c r="AA336" s="44">
        <f t="shared" si="215"/>
        <v>0</v>
      </c>
      <c r="AB336" s="43">
        <f t="shared" si="204"/>
        <v>9399.9554554102142</v>
      </c>
      <c r="AD336" s="72" t="s">
        <v>123</v>
      </c>
      <c r="AE336" s="44">
        <f t="shared" si="216"/>
        <v>0</v>
      </c>
      <c r="AF336" s="44">
        <f t="shared" si="198"/>
        <v>0</v>
      </c>
      <c r="AG336" s="44">
        <f t="shared" si="217"/>
        <v>0</v>
      </c>
      <c r="AH336" s="44">
        <f t="shared" si="218"/>
        <v>0</v>
      </c>
      <c r="AI336" s="43">
        <f t="shared" si="205"/>
        <v>0</v>
      </c>
      <c r="AK336" s="101">
        <f t="shared" si="188"/>
        <v>2054</v>
      </c>
      <c r="AL336" s="101">
        <f t="shared" si="199"/>
        <v>10</v>
      </c>
      <c r="AM336" s="118">
        <f t="shared" si="219"/>
        <v>0</v>
      </c>
      <c r="AN336" s="100">
        <f t="shared" si="220"/>
        <v>342.63212590426934</v>
      </c>
      <c r="AO336" s="100">
        <f t="shared" si="221"/>
        <v>0</v>
      </c>
      <c r="AP336" s="100">
        <f t="shared" si="222"/>
        <v>342.63212590426934</v>
      </c>
      <c r="AQ336" s="1">
        <f t="shared" si="223"/>
        <v>11536</v>
      </c>
      <c r="AR336" s="100">
        <f t="shared" si="206"/>
        <v>9399.9554554102142</v>
      </c>
      <c r="AS336" s="100">
        <f t="shared" si="207"/>
        <v>342.63212590426934</v>
      </c>
      <c r="AT336" s="100">
        <f t="shared" si="224"/>
        <v>11193.367874095729</v>
      </c>
      <c r="AU336" s="1">
        <f t="shared" si="208"/>
        <v>11535.999999999998</v>
      </c>
      <c r="AV336" s="100">
        <f t="shared" si="209"/>
        <v>9399.9554554102142</v>
      </c>
    </row>
    <row r="337" spans="4:48">
      <c r="D337" s="39">
        <f t="shared" si="210"/>
        <v>329</v>
      </c>
      <c r="E337" s="40">
        <f t="shared" si="189"/>
        <v>2054</v>
      </c>
      <c r="F337" s="35">
        <f t="shared" si="193"/>
        <v>56218</v>
      </c>
      <c r="G337" s="36">
        <f t="shared" si="195"/>
        <v>11</v>
      </c>
      <c r="H337" s="41">
        <f t="shared" si="194"/>
        <v>30</v>
      </c>
      <c r="I337" s="37" t="s">
        <v>123</v>
      </c>
      <c r="J337" s="27">
        <f t="shared" si="211"/>
        <v>0</v>
      </c>
      <c r="K337" s="27">
        <f t="shared" si="200"/>
        <v>0</v>
      </c>
      <c r="L337" s="27">
        <f t="shared" si="212"/>
        <v>0</v>
      </c>
      <c r="M337" s="27">
        <f t="shared" si="201"/>
        <v>0</v>
      </c>
      <c r="N337" s="27">
        <f t="shared" si="202"/>
        <v>0</v>
      </c>
      <c r="P337" s="72" t="s">
        <v>123</v>
      </c>
      <c r="Q337" s="44">
        <f t="shared" si="190"/>
        <v>0</v>
      </c>
      <c r="R337" s="44">
        <f t="shared" si="196"/>
        <v>0</v>
      </c>
      <c r="S337" s="44">
        <f t="shared" si="191"/>
        <v>0</v>
      </c>
      <c r="T337" s="44">
        <f t="shared" si="192"/>
        <v>0</v>
      </c>
      <c r="U337" s="43">
        <f t="shared" si="203"/>
        <v>0</v>
      </c>
      <c r="W337" s="72" t="s">
        <v>123</v>
      </c>
      <c r="X337" s="44">
        <f t="shared" si="213"/>
        <v>9399.9554554102142</v>
      </c>
      <c r="Y337" s="44">
        <f t="shared" si="197"/>
        <v>47.823882960813059</v>
      </c>
      <c r="Z337" s="44">
        <f t="shared" si="214"/>
        <v>2836.1761170391869</v>
      </c>
      <c r="AA337" s="44">
        <f t="shared" si="215"/>
        <v>0</v>
      </c>
      <c r="AB337" s="43">
        <f t="shared" si="204"/>
        <v>6563.7793383710268</v>
      </c>
      <c r="AD337" s="72" t="s">
        <v>123</v>
      </c>
      <c r="AE337" s="44">
        <f t="shared" si="216"/>
        <v>0</v>
      </c>
      <c r="AF337" s="44">
        <f t="shared" si="198"/>
        <v>0</v>
      </c>
      <c r="AG337" s="44">
        <f t="shared" si="217"/>
        <v>0</v>
      </c>
      <c r="AH337" s="44">
        <f t="shared" si="218"/>
        <v>0</v>
      </c>
      <c r="AI337" s="43">
        <f t="shared" si="205"/>
        <v>0</v>
      </c>
      <c r="AK337" s="101">
        <f t="shared" si="188"/>
        <v>2054</v>
      </c>
      <c r="AL337" s="101">
        <f t="shared" si="199"/>
        <v>11</v>
      </c>
      <c r="AM337" s="118">
        <f t="shared" si="219"/>
        <v>0</v>
      </c>
      <c r="AN337" s="100">
        <f t="shared" si="220"/>
        <v>390.45600886508242</v>
      </c>
      <c r="AO337" s="100">
        <f t="shared" si="221"/>
        <v>0</v>
      </c>
      <c r="AP337" s="100">
        <f t="shared" si="222"/>
        <v>390.45600886508242</v>
      </c>
      <c r="AQ337" s="1">
        <f t="shared" si="223"/>
        <v>14420</v>
      </c>
      <c r="AR337" s="100">
        <f t="shared" si="206"/>
        <v>6563.7793383710268</v>
      </c>
      <c r="AS337" s="100">
        <f t="shared" si="207"/>
        <v>390.45600886508242</v>
      </c>
      <c r="AT337" s="100">
        <f t="shared" si="224"/>
        <v>14029.543991134917</v>
      </c>
      <c r="AU337" s="1">
        <f t="shared" si="208"/>
        <v>14420</v>
      </c>
      <c r="AV337" s="100">
        <f t="shared" si="209"/>
        <v>6563.7793383710268</v>
      </c>
    </row>
    <row r="338" spans="4:48">
      <c r="D338" s="39">
        <f t="shared" si="210"/>
        <v>330</v>
      </c>
      <c r="E338" s="40">
        <f>IF(MONTH(EDATE($E$5,D338))&lt;7,YEAR(EDATE($E$5,D338)),YEAR(EDATE($E$5,D338))+1)</f>
        <v>2054</v>
      </c>
      <c r="F338" s="35">
        <f>EDATE($E$5,D338)</f>
        <v>56248</v>
      </c>
      <c r="G338" s="36">
        <f t="shared" si="195"/>
        <v>12</v>
      </c>
      <c r="H338" s="41">
        <f t="shared" si="194"/>
        <v>31</v>
      </c>
      <c r="I338" s="37" t="s">
        <v>123</v>
      </c>
      <c r="J338" s="27">
        <f t="shared" si="211"/>
        <v>0</v>
      </c>
      <c r="K338" s="27">
        <f t="shared" si="200"/>
        <v>0</v>
      </c>
      <c r="L338" s="27">
        <f t="shared" si="212"/>
        <v>0</v>
      </c>
      <c r="M338" s="27">
        <f t="shared" si="201"/>
        <v>0</v>
      </c>
      <c r="N338" s="27">
        <f t="shared" si="202"/>
        <v>0</v>
      </c>
      <c r="P338" s="72" t="s">
        <v>123</v>
      </c>
      <c r="Q338" s="44">
        <f t="shared" si="190"/>
        <v>0</v>
      </c>
      <c r="R338" s="44">
        <f t="shared" si="196"/>
        <v>0</v>
      </c>
      <c r="S338" s="44">
        <f t="shared" si="191"/>
        <v>0</v>
      </c>
      <c r="T338" s="44">
        <f t="shared" si="192"/>
        <v>0</v>
      </c>
      <c r="U338" s="43">
        <f t="shared" si="203"/>
        <v>0</v>
      </c>
      <c r="W338" s="72" t="s">
        <v>123</v>
      </c>
      <c r="X338" s="44">
        <f t="shared" si="213"/>
        <v>6563.7793383710268</v>
      </c>
      <c r="Y338" s="44">
        <f t="shared" si="197"/>
        <v>34.507496362740163</v>
      </c>
      <c r="Z338" s="44">
        <f t="shared" si="214"/>
        <v>2849.4925036372597</v>
      </c>
      <c r="AA338" s="44">
        <f t="shared" si="215"/>
        <v>0</v>
      </c>
      <c r="AB338" s="43">
        <f t="shared" si="204"/>
        <v>3714.2868347337671</v>
      </c>
      <c r="AD338" s="72" t="s">
        <v>123</v>
      </c>
      <c r="AE338" s="44">
        <f t="shared" si="216"/>
        <v>0</v>
      </c>
      <c r="AF338" s="44">
        <f t="shared" si="198"/>
        <v>0</v>
      </c>
      <c r="AG338" s="44">
        <f t="shared" si="217"/>
        <v>0</v>
      </c>
      <c r="AH338" s="44">
        <f t="shared" si="218"/>
        <v>0</v>
      </c>
      <c r="AI338" s="43">
        <f t="shared" si="205"/>
        <v>0</v>
      </c>
      <c r="AK338" s="101">
        <f t="shared" si="188"/>
        <v>2054</v>
      </c>
      <c r="AL338" s="101">
        <f t="shared" si="199"/>
        <v>12</v>
      </c>
      <c r="AM338" s="118">
        <f t="shared" si="219"/>
        <v>0</v>
      </c>
      <c r="AN338" s="100">
        <f t="shared" si="220"/>
        <v>424.96350522782257</v>
      </c>
      <c r="AO338" s="100">
        <f t="shared" si="221"/>
        <v>0</v>
      </c>
      <c r="AP338" s="100">
        <f t="shared" si="222"/>
        <v>424.96350522782257</v>
      </c>
      <c r="AQ338" s="1">
        <f t="shared" si="223"/>
        <v>17304</v>
      </c>
      <c r="AR338" s="100">
        <f t="shared" si="206"/>
        <v>3714.2868347337671</v>
      </c>
      <c r="AS338" s="100">
        <f t="shared" si="207"/>
        <v>424.96350522782257</v>
      </c>
      <c r="AT338" s="100">
        <f t="shared" si="224"/>
        <v>16879.036494772176</v>
      </c>
      <c r="AU338" s="1">
        <f t="shared" si="208"/>
        <v>17303.999999999996</v>
      </c>
      <c r="AV338" s="100">
        <f t="shared" si="209"/>
        <v>3714.2868347337671</v>
      </c>
    </row>
    <row r="339" spans="4:48">
      <c r="D339" s="39">
        <f t="shared" si="210"/>
        <v>331</v>
      </c>
      <c r="E339" s="40">
        <f t="shared" ref="E339:E365" si="225">IF(MONTH(EDATE($E$5,D339))&lt;7,YEAR(EDATE($E$5,D339)),YEAR(EDATE($E$5,D339))+1)</f>
        <v>2054</v>
      </c>
      <c r="F339" s="35">
        <f t="shared" ref="F339:F365" si="226">EDATE($E$5,D339)</f>
        <v>56279</v>
      </c>
      <c r="G339" s="36">
        <f t="shared" si="195"/>
        <v>1</v>
      </c>
      <c r="H339" s="41">
        <f t="shared" si="194"/>
        <v>31</v>
      </c>
      <c r="I339" s="37" t="s">
        <v>123</v>
      </c>
      <c r="J339" s="27">
        <f t="shared" si="211"/>
        <v>0</v>
      </c>
      <c r="K339" s="27">
        <f t="shared" si="200"/>
        <v>0</v>
      </c>
      <c r="L339" s="27">
        <f t="shared" si="212"/>
        <v>0</v>
      </c>
      <c r="M339" s="27">
        <f t="shared" si="201"/>
        <v>0</v>
      </c>
      <c r="N339" s="27">
        <f t="shared" si="202"/>
        <v>0</v>
      </c>
      <c r="P339" s="72" t="s">
        <v>123</v>
      </c>
      <c r="Q339" s="44">
        <f t="shared" si="190"/>
        <v>0</v>
      </c>
      <c r="R339" s="44">
        <f t="shared" si="196"/>
        <v>0</v>
      </c>
      <c r="S339" s="44">
        <f t="shared" si="191"/>
        <v>0</v>
      </c>
      <c r="T339" s="44">
        <f t="shared" si="192"/>
        <v>0</v>
      </c>
      <c r="U339" s="43">
        <f t="shared" si="203"/>
        <v>0</v>
      </c>
      <c r="W339" s="72" t="s">
        <v>123</v>
      </c>
      <c r="X339" s="44">
        <f t="shared" si="213"/>
        <v>3714.2868347337671</v>
      </c>
      <c r="Y339" s="44">
        <f t="shared" si="197"/>
        <v>19.526972622385273</v>
      </c>
      <c r="Z339" s="44">
        <f t="shared" si="214"/>
        <v>2864.4730273776149</v>
      </c>
      <c r="AA339" s="44">
        <f t="shared" si="215"/>
        <v>0</v>
      </c>
      <c r="AB339" s="43">
        <f t="shared" si="204"/>
        <v>849.81380735615221</v>
      </c>
      <c r="AD339" s="72" t="s">
        <v>123</v>
      </c>
      <c r="AE339" s="44">
        <f t="shared" si="216"/>
        <v>0</v>
      </c>
      <c r="AF339" s="44">
        <f t="shared" si="198"/>
        <v>0</v>
      </c>
      <c r="AG339" s="44">
        <f t="shared" si="217"/>
        <v>0</v>
      </c>
      <c r="AH339" s="44">
        <f t="shared" si="218"/>
        <v>0</v>
      </c>
      <c r="AI339" s="43">
        <f t="shared" si="205"/>
        <v>0</v>
      </c>
      <c r="AK339" s="101">
        <f t="shared" si="188"/>
        <v>2054</v>
      </c>
      <c r="AL339" s="101">
        <f t="shared" si="199"/>
        <v>1</v>
      </c>
      <c r="AM339" s="118">
        <f t="shared" si="219"/>
        <v>0</v>
      </c>
      <c r="AN339" s="100">
        <f t="shared" si="220"/>
        <v>444.49047785020787</v>
      </c>
      <c r="AO339" s="100">
        <f t="shared" si="221"/>
        <v>0</v>
      </c>
      <c r="AP339" s="100">
        <f t="shared" si="222"/>
        <v>444.49047785020787</v>
      </c>
      <c r="AQ339" s="1">
        <f t="shared" si="223"/>
        <v>20188</v>
      </c>
      <c r="AR339" s="100">
        <f t="shared" si="206"/>
        <v>849.81380735615221</v>
      </c>
      <c r="AS339" s="100">
        <f t="shared" si="207"/>
        <v>444.49047785020787</v>
      </c>
      <c r="AT339" s="100">
        <f t="shared" si="224"/>
        <v>19743.50952214979</v>
      </c>
      <c r="AU339" s="1">
        <f t="shared" si="208"/>
        <v>20188</v>
      </c>
      <c r="AV339" s="100">
        <f t="shared" si="209"/>
        <v>849.81380735615221</v>
      </c>
    </row>
    <row r="340" spans="4:48">
      <c r="D340" s="39">
        <f t="shared" si="210"/>
        <v>332</v>
      </c>
      <c r="E340" s="40">
        <f t="shared" si="225"/>
        <v>2054</v>
      </c>
      <c r="F340" s="35">
        <f t="shared" si="226"/>
        <v>56308</v>
      </c>
      <c r="G340" s="36">
        <f t="shared" si="195"/>
        <v>2</v>
      </c>
      <c r="H340" s="41">
        <f t="shared" si="194"/>
        <v>28</v>
      </c>
      <c r="I340" s="37" t="s">
        <v>123</v>
      </c>
      <c r="J340" s="27">
        <f t="shared" si="211"/>
        <v>0</v>
      </c>
      <c r="K340" s="27">
        <f t="shared" si="200"/>
        <v>0</v>
      </c>
      <c r="L340" s="27">
        <f t="shared" si="212"/>
        <v>0</v>
      </c>
      <c r="M340" s="27">
        <f t="shared" si="201"/>
        <v>0</v>
      </c>
      <c r="N340" s="27">
        <f t="shared" si="202"/>
        <v>0</v>
      </c>
      <c r="P340" s="72" t="s">
        <v>123</v>
      </c>
      <c r="Q340" s="44">
        <f t="shared" si="190"/>
        <v>0</v>
      </c>
      <c r="R340" s="44">
        <f t="shared" si="196"/>
        <v>0</v>
      </c>
      <c r="S340" s="44">
        <f t="shared" si="191"/>
        <v>0</v>
      </c>
      <c r="T340" s="44">
        <f t="shared" si="192"/>
        <v>0</v>
      </c>
      <c r="U340" s="43">
        <f t="shared" si="203"/>
        <v>0</v>
      </c>
      <c r="W340" s="72" t="s">
        <v>123</v>
      </c>
      <c r="X340" s="44">
        <f t="shared" si="213"/>
        <v>849.81380735615221</v>
      </c>
      <c r="Y340" s="44">
        <f t="shared" si="197"/>
        <v>4.0353350435881721</v>
      </c>
      <c r="Z340" s="44">
        <f t="shared" si="214"/>
        <v>2879.964664956412</v>
      </c>
      <c r="AA340" s="44">
        <f t="shared" si="215"/>
        <v>0</v>
      </c>
      <c r="AB340" s="43">
        <f t="shared" si="204"/>
        <v>-2030.1508576002598</v>
      </c>
      <c r="AD340" s="72" t="s">
        <v>123</v>
      </c>
      <c r="AE340" s="44">
        <f t="shared" si="216"/>
        <v>0</v>
      </c>
      <c r="AF340" s="44">
        <f t="shared" si="198"/>
        <v>0</v>
      </c>
      <c r="AG340" s="44">
        <f t="shared" si="217"/>
        <v>0</v>
      </c>
      <c r="AH340" s="44">
        <f t="shared" si="218"/>
        <v>0</v>
      </c>
      <c r="AI340" s="43">
        <f t="shared" si="205"/>
        <v>0</v>
      </c>
      <c r="AK340" s="101">
        <f t="shared" si="188"/>
        <v>2054</v>
      </c>
      <c r="AL340" s="101">
        <f t="shared" si="199"/>
        <v>2</v>
      </c>
      <c r="AM340" s="118">
        <f t="shared" si="219"/>
        <v>0</v>
      </c>
      <c r="AN340" s="100">
        <f t="shared" si="220"/>
        <v>448.52581289379606</v>
      </c>
      <c r="AO340" s="100">
        <f t="shared" si="221"/>
        <v>0</v>
      </c>
      <c r="AP340" s="100">
        <f t="shared" si="222"/>
        <v>448.52581289379606</v>
      </c>
      <c r="AQ340" s="1">
        <f t="shared" si="223"/>
        <v>23072</v>
      </c>
      <c r="AR340" s="100">
        <f t="shared" si="206"/>
        <v>-2030.1508576002598</v>
      </c>
      <c r="AS340" s="100">
        <f t="shared" si="207"/>
        <v>448.52581289379606</v>
      </c>
      <c r="AT340" s="100">
        <f t="shared" si="224"/>
        <v>22623.474187106203</v>
      </c>
      <c r="AU340" s="1">
        <f t="shared" si="208"/>
        <v>23072</v>
      </c>
      <c r="AV340" s="100">
        <f t="shared" si="209"/>
        <v>-2030.1508576002598</v>
      </c>
    </row>
    <row r="341" spans="4:48">
      <c r="D341" s="39">
        <f t="shared" si="210"/>
        <v>333</v>
      </c>
      <c r="E341" s="40">
        <f t="shared" si="225"/>
        <v>2054</v>
      </c>
      <c r="F341" s="35">
        <f t="shared" si="226"/>
        <v>56338</v>
      </c>
      <c r="G341" s="36">
        <f t="shared" si="195"/>
        <v>3</v>
      </c>
      <c r="H341" s="41">
        <f t="shared" si="194"/>
        <v>31</v>
      </c>
      <c r="I341" s="37" t="s">
        <v>123</v>
      </c>
      <c r="J341" s="27">
        <f t="shared" si="211"/>
        <v>0</v>
      </c>
      <c r="K341" s="27">
        <f t="shared" si="200"/>
        <v>0</v>
      </c>
      <c r="L341" s="27">
        <f t="shared" si="212"/>
        <v>0</v>
      </c>
      <c r="M341" s="27">
        <f t="shared" si="201"/>
        <v>0</v>
      </c>
      <c r="N341" s="27">
        <f t="shared" si="202"/>
        <v>0</v>
      </c>
      <c r="P341" s="72" t="s">
        <v>123</v>
      </c>
      <c r="Q341" s="44">
        <f t="shared" si="190"/>
        <v>0</v>
      </c>
      <c r="R341" s="44">
        <f t="shared" si="196"/>
        <v>0</v>
      </c>
      <c r="S341" s="44">
        <f t="shared" si="191"/>
        <v>0</v>
      </c>
      <c r="T341" s="44">
        <f t="shared" si="192"/>
        <v>0</v>
      </c>
      <c r="U341" s="43">
        <f t="shared" si="203"/>
        <v>0</v>
      </c>
      <c r="W341" s="72" t="s">
        <v>123</v>
      </c>
      <c r="X341" s="44">
        <f t="shared" si="213"/>
        <v>0</v>
      </c>
      <c r="Y341" s="44">
        <f t="shared" si="197"/>
        <v>0</v>
      </c>
      <c r="Z341" s="44">
        <f t="shared" si="214"/>
        <v>0</v>
      </c>
      <c r="AA341" s="44">
        <f t="shared" si="215"/>
        <v>0</v>
      </c>
      <c r="AB341" s="43">
        <f t="shared" si="204"/>
        <v>0</v>
      </c>
      <c r="AD341" s="72" t="s">
        <v>123</v>
      </c>
      <c r="AE341" s="44">
        <f t="shared" si="216"/>
        <v>0</v>
      </c>
      <c r="AF341" s="44">
        <f t="shared" si="198"/>
        <v>0</v>
      </c>
      <c r="AG341" s="44">
        <f t="shared" si="217"/>
        <v>0</v>
      </c>
      <c r="AH341" s="44">
        <f t="shared" si="218"/>
        <v>0</v>
      </c>
      <c r="AI341" s="43">
        <f t="shared" si="205"/>
        <v>0</v>
      </c>
      <c r="AK341" s="101">
        <f t="shared" si="188"/>
        <v>2054</v>
      </c>
      <c r="AL341" s="101">
        <f t="shared" si="199"/>
        <v>3</v>
      </c>
      <c r="AM341" s="118">
        <f t="shared" si="219"/>
        <v>0</v>
      </c>
      <c r="AN341" s="100">
        <f t="shared" si="220"/>
        <v>448.52581289379606</v>
      </c>
      <c r="AO341" s="100">
        <f t="shared" si="221"/>
        <v>0</v>
      </c>
      <c r="AP341" s="100">
        <f t="shared" si="222"/>
        <v>448.52581289379606</v>
      </c>
      <c r="AQ341" s="1">
        <f t="shared" si="223"/>
        <v>23072</v>
      </c>
      <c r="AR341" s="100">
        <f t="shared" si="206"/>
        <v>0</v>
      </c>
      <c r="AS341" s="100">
        <f t="shared" si="207"/>
        <v>448.52581289379606</v>
      </c>
      <c r="AT341" s="100">
        <f t="shared" si="224"/>
        <v>22623.474187106203</v>
      </c>
      <c r="AU341" s="1">
        <f t="shared" si="208"/>
        <v>23072</v>
      </c>
      <c r="AV341" s="100">
        <f t="shared" si="209"/>
        <v>0</v>
      </c>
    </row>
    <row r="342" spans="4:48">
      <c r="D342" s="39">
        <f t="shared" si="210"/>
        <v>334</v>
      </c>
      <c r="E342" s="40">
        <f t="shared" si="225"/>
        <v>2054</v>
      </c>
      <c r="F342" s="35">
        <f t="shared" si="226"/>
        <v>56369</v>
      </c>
      <c r="G342" s="36">
        <f t="shared" si="195"/>
        <v>4</v>
      </c>
      <c r="H342" s="41">
        <f t="shared" si="194"/>
        <v>30</v>
      </c>
      <c r="I342" s="37" t="s">
        <v>123</v>
      </c>
      <c r="J342" s="27">
        <f t="shared" si="211"/>
        <v>0</v>
      </c>
      <c r="K342" s="27">
        <f t="shared" si="200"/>
        <v>0</v>
      </c>
      <c r="L342" s="27">
        <f t="shared" si="212"/>
        <v>0</v>
      </c>
      <c r="M342" s="27">
        <f t="shared" si="201"/>
        <v>0</v>
      </c>
      <c r="N342" s="27">
        <f t="shared" si="202"/>
        <v>0</v>
      </c>
      <c r="P342" s="72" t="s">
        <v>123</v>
      </c>
      <c r="Q342" s="44">
        <f t="shared" si="190"/>
        <v>0</v>
      </c>
      <c r="R342" s="44">
        <f t="shared" si="196"/>
        <v>0</v>
      </c>
      <c r="S342" s="44">
        <f t="shared" si="191"/>
        <v>0</v>
      </c>
      <c r="T342" s="44">
        <f t="shared" si="192"/>
        <v>0</v>
      </c>
      <c r="U342" s="43">
        <f t="shared" si="203"/>
        <v>0</v>
      </c>
      <c r="W342" s="72" t="s">
        <v>123</v>
      </c>
      <c r="X342" s="44">
        <f t="shared" si="213"/>
        <v>0</v>
      </c>
      <c r="Y342" s="44">
        <f t="shared" si="197"/>
        <v>0</v>
      </c>
      <c r="Z342" s="44">
        <f t="shared" si="214"/>
        <v>0</v>
      </c>
      <c r="AA342" s="44">
        <f t="shared" si="215"/>
        <v>0</v>
      </c>
      <c r="AB342" s="43">
        <f t="shared" si="204"/>
        <v>0</v>
      </c>
      <c r="AD342" s="72" t="s">
        <v>123</v>
      </c>
      <c r="AE342" s="44">
        <f t="shared" si="216"/>
        <v>0</v>
      </c>
      <c r="AF342" s="44">
        <f t="shared" si="198"/>
        <v>0</v>
      </c>
      <c r="AG342" s="44">
        <f t="shared" si="217"/>
        <v>0</v>
      </c>
      <c r="AH342" s="44">
        <f t="shared" si="218"/>
        <v>0</v>
      </c>
      <c r="AI342" s="43">
        <f t="shared" si="205"/>
        <v>0</v>
      </c>
      <c r="AK342" s="101">
        <f t="shared" si="188"/>
        <v>2054</v>
      </c>
      <c r="AL342" s="101">
        <f t="shared" si="199"/>
        <v>4</v>
      </c>
      <c r="AM342" s="118">
        <f t="shared" si="219"/>
        <v>0</v>
      </c>
      <c r="AN342" s="100">
        <f t="shared" si="220"/>
        <v>448.52581289379606</v>
      </c>
      <c r="AO342" s="100">
        <f t="shared" si="221"/>
        <v>0</v>
      </c>
      <c r="AP342" s="100">
        <f t="shared" si="222"/>
        <v>448.52581289379606</v>
      </c>
      <c r="AQ342" s="1">
        <f t="shared" si="223"/>
        <v>23072</v>
      </c>
      <c r="AR342" s="100">
        <f t="shared" si="206"/>
        <v>0</v>
      </c>
      <c r="AS342" s="100">
        <f t="shared" si="207"/>
        <v>448.52581289379606</v>
      </c>
      <c r="AT342" s="100">
        <f t="shared" si="224"/>
        <v>22623.474187106203</v>
      </c>
      <c r="AU342" s="1">
        <f t="shared" si="208"/>
        <v>23072</v>
      </c>
      <c r="AV342" s="100">
        <f t="shared" si="209"/>
        <v>0</v>
      </c>
    </row>
    <row r="343" spans="4:48">
      <c r="D343" s="39">
        <f t="shared" si="210"/>
        <v>335</v>
      </c>
      <c r="E343" s="40">
        <f t="shared" si="225"/>
        <v>2054</v>
      </c>
      <c r="F343" s="35">
        <f t="shared" si="226"/>
        <v>56399</v>
      </c>
      <c r="G343" s="36">
        <f t="shared" si="195"/>
        <v>5</v>
      </c>
      <c r="H343" s="41">
        <f t="shared" si="194"/>
        <v>31</v>
      </c>
      <c r="I343" s="37" t="s">
        <v>123</v>
      </c>
      <c r="J343" s="27">
        <f t="shared" si="211"/>
        <v>0</v>
      </c>
      <c r="K343" s="27">
        <f t="shared" si="200"/>
        <v>0</v>
      </c>
      <c r="L343" s="27">
        <f t="shared" si="212"/>
        <v>0</v>
      </c>
      <c r="M343" s="27">
        <f t="shared" si="201"/>
        <v>0</v>
      </c>
      <c r="N343" s="27">
        <f t="shared" si="202"/>
        <v>0</v>
      </c>
      <c r="P343" s="72" t="s">
        <v>123</v>
      </c>
      <c r="Q343" s="44">
        <f t="shared" si="190"/>
        <v>0</v>
      </c>
      <c r="R343" s="44">
        <f t="shared" si="196"/>
        <v>0</v>
      </c>
      <c r="S343" s="44">
        <f t="shared" si="191"/>
        <v>0</v>
      </c>
      <c r="T343" s="44">
        <f t="shared" si="192"/>
        <v>0</v>
      </c>
      <c r="U343" s="43">
        <f t="shared" si="203"/>
        <v>0</v>
      </c>
      <c r="W343" s="72" t="s">
        <v>123</v>
      </c>
      <c r="X343" s="44">
        <f t="shared" si="213"/>
        <v>0</v>
      </c>
      <c r="Y343" s="44">
        <f t="shared" si="197"/>
        <v>0</v>
      </c>
      <c r="Z343" s="44">
        <f t="shared" si="214"/>
        <v>0</v>
      </c>
      <c r="AA343" s="44">
        <f t="shared" si="215"/>
        <v>0</v>
      </c>
      <c r="AB343" s="43">
        <f t="shared" si="204"/>
        <v>0</v>
      </c>
      <c r="AD343" s="72" t="s">
        <v>123</v>
      </c>
      <c r="AE343" s="44">
        <f t="shared" si="216"/>
        <v>0</v>
      </c>
      <c r="AF343" s="44">
        <f t="shared" si="198"/>
        <v>0</v>
      </c>
      <c r="AG343" s="44">
        <f t="shared" si="217"/>
        <v>0</v>
      </c>
      <c r="AH343" s="44">
        <f t="shared" si="218"/>
        <v>0</v>
      </c>
      <c r="AI343" s="43">
        <f t="shared" si="205"/>
        <v>0</v>
      </c>
      <c r="AK343" s="101">
        <f t="shared" ref="AK343:AK367" si="227">E343</f>
        <v>2054</v>
      </c>
      <c r="AL343" s="101">
        <f t="shared" si="199"/>
        <v>5</v>
      </c>
      <c r="AM343" s="118">
        <f t="shared" si="219"/>
        <v>0</v>
      </c>
      <c r="AN343" s="100">
        <f t="shared" si="220"/>
        <v>448.52581289379606</v>
      </c>
      <c r="AO343" s="100">
        <f t="shared" si="221"/>
        <v>0</v>
      </c>
      <c r="AP343" s="100">
        <f t="shared" si="222"/>
        <v>448.52581289379606</v>
      </c>
      <c r="AQ343" s="1">
        <f t="shared" si="223"/>
        <v>23072</v>
      </c>
      <c r="AR343" s="100">
        <f t="shared" si="206"/>
        <v>0</v>
      </c>
      <c r="AS343" s="100">
        <f t="shared" si="207"/>
        <v>448.52581289379606</v>
      </c>
      <c r="AT343" s="100">
        <f t="shared" si="224"/>
        <v>22623.474187106203</v>
      </c>
      <c r="AU343" s="1">
        <f t="shared" si="208"/>
        <v>23072</v>
      </c>
      <c r="AV343" s="100">
        <f t="shared" si="209"/>
        <v>0</v>
      </c>
    </row>
    <row r="344" spans="4:48">
      <c r="D344" s="39">
        <f t="shared" si="210"/>
        <v>336</v>
      </c>
      <c r="E344" s="40">
        <f t="shared" si="225"/>
        <v>2054</v>
      </c>
      <c r="F344" s="35">
        <f t="shared" si="226"/>
        <v>56430</v>
      </c>
      <c r="G344" s="36">
        <f t="shared" si="195"/>
        <v>6</v>
      </c>
      <c r="H344" s="41">
        <f t="shared" si="194"/>
        <v>30</v>
      </c>
      <c r="I344" s="37" t="s">
        <v>123</v>
      </c>
      <c r="J344" s="27">
        <f t="shared" si="211"/>
        <v>0</v>
      </c>
      <c r="K344" s="27">
        <f t="shared" si="200"/>
        <v>0</v>
      </c>
      <c r="L344" s="27">
        <f t="shared" si="212"/>
        <v>0</v>
      </c>
      <c r="M344" s="27">
        <f t="shared" si="201"/>
        <v>0</v>
      </c>
      <c r="N344" s="27">
        <f t="shared" si="202"/>
        <v>0</v>
      </c>
      <c r="P344" s="72" t="s">
        <v>123</v>
      </c>
      <c r="Q344" s="44">
        <f t="shared" si="190"/>
        <v>0</v>
      </c>
      <c r="R344" s="44">
        <f t="shared" si="196"/>
        <v>0</v>
      </c>
      <c r="S344" s="44">
        <f t="shared" si="191"/>
        <v>0</v>
      </c>
      <c r="T344" s="44">
        <f t="shared" si="192"/>
        <v>0</v>
      </c>
      <c r="U344" s="43">
        <f t="shared" si="203"/>
        <v>0</v>
      </c>
      <c r="W344" s="72" t="s">
        <v>123</v>
      </c>
      <c r="X344" s="44">
        <f t="shared" si="213"/>
        <v>0</v>
      </c>
      <c r="Y344" s="44">
        <f t="shared" si="197"/>
        <v>0</v>
      </c>
      <c r="Z344" s="44">
        <f t="shared" si="214"/>
        <v>0</v>
      </c>
      <c r="AA344" s="44">
        <f t="shared" si="215"/>
        <v>0</v>
      </c>
      <c r="AB344" s="43">
        <f t="shared" si="204"/>
        <v>0</v>
      </c>
      <c r="AD344" s="72" t="s">
        <v>123</v>
      </c>
      <c r="AE344" s="44">
        <f t="shared" si="216"/>
        <v>0</v>
      </c>
      <c r="AF344" s="44">
        <f t="shared" si="198"/>
        <v>0</v>
      </c>
      <c r="AG344" s="44">
        <f t="shared" si="217"/>
        <v>0</v>
      </c>
      <c r="AH344" s="44">
        <f t="shared" si="218"/>
        <v>0</v>
      </c>
      <c r="AI344" s="43">
        <f t="shared" si="205"/>
        <v>0</v>
      </c>
      <c r="AK344" s="101">
        <f t="shared" si="227"/>
        <v>2054</v>
      </c>
      <c r="AL344" s="101">
        <f t="shared" si="199"/>
        <v>6</v>
      </c>
      <c r="AM344" s="118">
        <f t="shared" si="219"/>
        <v>0</v>
      </c>
      <c r="AN344" s="100">
        <f t="shared" si="220"/>
        <v>448.52581289379606</v>
      </c>
      <c r="AO344" s="100">
        <f t="shared" si="221"/>
        <v>0</v>
      </c>
      <c r="AP344" s="100">
        <f t="shared" si="222"/>
        <v>448.52581289379606</v>
      </c>
      <c r="AQ344" s="1">
        <f t="shared" si="223"/>
        <v>23072</v>
      </c>
      <c r="AR344" s="100">
        <f t="shared" si="206"/>
        <v>0</v>
      </c>
      <c r="AS344" s="100">
        <f t="shared" si="207"/>
        <v>448.52581289379606</v>
      </c>
      <c r="AT344" s="100">
        <f t="shared" si="224"/>
        <v>22623.474187106203</v>
      </c>
      <c r="AU344" s="1">
        <f t="shared" si="208"/>
        <v>23072</v>
      </c>
      <c r="AV344" s="100">
        <f t="shared" si="209"/>
        <v>0</v>
      </c>
    </row>
    <row r="345" spans="4:48">
      <c r="D345" s="39">
        <f t="shared" si="210"/>
        <v>337</v>
      </c>
      <c r="E345" s="40">
        <f t="shared" si="225"/>
        <v>2055</v>
      </c>
      <c r="F345" s="35">
        <f t="shared" si="226"/>
        <v>56460</v>
      </c>
      <c r="G345" s="36">
        <f t="shared" si="195"/>
        <v>7</v>
      </c>
      <c r="H345" s="41">
        <f t="shared" si="194"/>
        <v>31</v>
      </c>
      <c r="I345" s="37" t="s">
        <v>123</v>
      </c>
      <c r="J345" s="27">
        <f t="shared" si="211"/>
        <v>0</v>
      </c>
      <c r="K345" s="27">
        <f t="shared" si="200"/>
        <v>0</v>
      </c>
      <c r="L345" s="27">
        <f t="shared" si="212"/>
        <v>0</v>
      </c>
      <c r="M345" s="27">
        <f t="shared" si="201"/>
        <v>0</v>
      </c>
      <c r="N345" s="27">
        <f t="shared" si="202"/>
        <v>0</v>
      </c>
      <c r="P345" s="72" t="s">
        <v>123</v>
      </c>
      <c r="Q345" s="44">
        <f t="shared" si="190"/>
        <v>0</v>
      </c>
      <c r="R345" s="44">
        <f t="shared" si="196"/>
        <v>0</v>
      </c>
      <c r="S345" s="44">
        <f t="shared" si="191"/>
        <v>0</v>
      </c>
      <c r="T345" s="44">
        <f t="shared" si="192"/>
        <v>0</v>
      </c>
      <c r="U345" s="43">
        <f t="shared" si="203"/>
        <v>0</v>
      </c>
      <c r="W345" s="72" t="s">
        <v>123</v>
      </c>
      <c r="X345" s="44">
        <f t="shared" si="213"/>
        <v>0</v>
      </c>
      <c r="Y345" s="44">
        <f t="shared" si="197"/>
        <v>0</v>
      </c>
      <c r="Z345" s="44">
        <f t="shared" si="214"/>
        <v>0</v>
      </c>
      <c r="AA345" s="44">
        <f t="shared" si="215"/>
        <v>0</v>
      </c>
      <c r="AB345" s="43">
        <f t="shared" si="204"/>
        <v>0</v>
      </c>
      <c r="AD345" s="72" t="s">
        <v>123</v>
      </c>
      <c r="AE345" s="44">
        <f t="shared" si="216"/>
        <v>0</v>
      </c>
      <c r="AF345" s="44">
        <f t="shared" si="198"/>
        <v>0</v>
      </c>
      <c r="AG345" s="44">
        <f t="shared" si="217"/>
        <v>0</v>
      </c>
      <c r="AH345" s="44">
        <f t="shared" si="218"/>
        <v>0</v>
      </c>
      <c r="AI345" s="43">
        <f t="shared" si="205"/>
        <v>0</v>
      </c>
      <c r="AK345" s="101">
        <f t="shared" si="227"/>
        <v>2055</v>
      </c>
      <c r="AL345" s="101">
        <f t="shared" si="199"/>
        <v>7</v>
      </c>
      <c r="AM345" s="118">
        <f t="shared" si="219"/>
        <v>0</v>
      </c>
      <c r="AN345" s="100">
        <f t="shared" si="220"/>
        <v>0</v>
      </c>
      <c r="AO345" s="100">
        <f t="shared" si="221"/>
        <v>0</v>
      </c>
      <c r="AP345" s="100">
        <f t="shared" si="222"/>
        <v>0</v>
      </c>
      <c r="AQ345" s="1">
        <f t="shared" si="223"/>
        <v>0</v>
      </c>
      <c r="AR345" s="100">
        <f t="shared" si="206"/>
        <v>0</v>
      </c>
      <c r="AS345" s="100">
        <f t="shared" si="207"/>
        <v>0</v>
      </c>
      <c r="AT345" s="100">
        <f t="shared" si="224"/>
        <v>0</v>
      </c>
      <c r="AU345" s="1">
        <f t="shared" si="208"/>
        <v>0</v>
      </c>
      <c r="AV345" s="100">
        <f t="shared" si="209"/>
        <v>0</v>
      </c>
    </row>
    <row r="346" spans="4:48">
      <c r="D346" s="39">
        <f t="shared" si="210"/>
        <v>338</v>
      </c>
      <c r="E346" s="40">
        <f t="shared" si="225"/>
        <v>2055</v>
      </c>
      <c r="F346" s="35">
        <f t="shared" si="226"/>
        <v>56491</v>
      </c>
      <c r="G346" s="36">
        <f t="shared" si="195"/>
        <v>8</v>
      </c>
      <c r="H346" s="41">
        <f t="shared" si="194"/>
        <v>31</v>
      </c>
      <c r="I346" s="37" t="s">
        <v>123</v>
      </c>
      <c r="J346" s="27">
        <f t="shared" si="211"/>
        <v>0</v>
      </c>
      <c r="K346" s="27">
        <f t="shared" si="200"/>
        <v>0</v>
      </c>
      <c r="L346" s="27">
        <f t="shared" si="212"/>
        <v>0</v>
      </c>
      <c r="M346" s="27">
        <f t="shared" si="201"/>
        <v>0</v>
      </c>
      <c r="N346" s="27">
        <f t="shared" si="202"/>
        <v>0</v>
      </c>
      <c r="P346" s="72" t="s">
        <v>123</v>
      </c>
      <c r="Q346" s="44">
        <f t="shared" si="190"/>
        <v>0</v>
      </c>
      <c r="R346" s="44">
        <f t="shared" si="196"/>
        <v>0</v>
      </c>
      <c r="S346" s="44">
        <f t="shared" si="191"/>
        <v>0</v>
      </c>
      <c r="T346" s="44">
        <f t="shared" si="192"/>
        <v>0</v>
      </c>
      <c r="U346" s="43">
        <f t="shared" si="203"/>
        <v>0</v>
      </c>
      <c r="W346" s="72" t="s">
        <v>123</v>
      </c>
      <c r="X346" s="44">
        <f t="shared" si="213"/>
        <v>0</v>
      </c>
      <c r="Y346" s="44">
        <f t="shared" si="197"/>
        <v>0</v>
      </c>
      <c r="Z346" s="44">
        <f t="shared" si="214"/>
        <v>0</v>
      </c>
      <c r="AA346" s="44">
        <f t="shared" si="215"/>
        <v>0</v>
      </c>
      <c r="AB346" s="43">
        <f t="shared" si="204"/>
        <v>0</v>
      </c>
      <c r="AD346" s="72" t="s">
        <v>123</v>
      </c>
      <c r="AE346" s="44">
        <f t="shared" si="216"/>
        <v>0</v>
      </c>
      <c r="AF346" s="44">
        <f t="shared" si="198"/>
        <v>0</v>
      </c>
      <c r="AG346" s="44">
        <f t="shared" si="217"/>
        <v>0</v>
      </c>
      <c r="AH346" s="44">
        <f t="shared" si="218"/>
        <v>0</v>
      </c>
      <c r="AI346" s="43">
        <f t="shared" si="205"/>
        <v>0</v>
      </c>
      <c r="AK346" s="101">
        <f t="shared" si="227"/>
        <v>2055</v>
      </c>
      <c r="AL346" s="101">
        <f t="shared" si="199"/>
        <v>8</v>
      </c>
      <c r="AM346" s="118">
        <f t="shared" si="219"/>
        <v>0</v>
      </c>
      <c r="AN346" s="100">
        <f t="shared" si="220"/>
        <v>0</v>
      </c>
      <c r="AO346" s="100">
        <f t="shared" si="221"/>
        <v>0</v>
      </c>
      <c r="AP346" s="100">
        <f t="shared" si="222"/>
        <v>0</v>
      </c>
      <c r="AQ346" s="1">
        <f t="shared" si="223"/>
        <v>0</v>
      </c>
      <c r="AR346" s="100">
        <f t="shared" si="206"/>
        <v>0</v>
      </c>
      <c r="AS346" s="100">
        <f t="shared" si="207"/>
        <v>0</v>
      </c>
      <c r="AT346" s="100">
        <f t="shared" si="224"/>
        <v>0</v>
      </c>
      <c r="AU346" s="1">
        <f t="shared" si="208"/>
        <v>0</v>
      </c>
      <c r="AV346" s="100">
        <f t="shared" si="209"/>
        <v>0</v>
      </c>
    </row>
    <row r="347" spans="4:48">
      <c r="D347" s="39">
        <f t="shared" si="210"/>
        <v>339</v>
      </c>
      <c r="E347" s="40">
        <f t="shared" si="225"/>
        <v>2055</v>
      </c>
      <c r="F347" s="35">
        <f t="shared" si="226"/>
        <v>56522</v>
      </c>
      <c r="G347" s="36">
        <f t="shared" si="195"/>
        <v>9</v>
      </c>
      <c r="H347" s="41">
        <f t="shared" si="194"/>
        <v>30</v>
      </c>
      <c r="I347" s="37" t="s">
        <v>123</v>
      </c>
      <c r="J347" s="27">
        <f t="shared" si="211"/>
        <v>0</v>
      </c>
      <c r="K347" s="27">
        <f t="shared" si="200"/>
        <v>0</v>
      </c>
      <c r="L347" s="27">
        <f t="shared" si="212"/>
        <v>0</v>
      </c>
      <c r="M347" s="27">
        <f t="shared" si="201"/>
        <v>0</v>
      </c>
      <c r="N347" s="27">
        <f t="shared" si="202"/>
        <v>0</v>
      </c>
      <c r="P347" s="72" t="s">
        <v>123</v>
      </c>
      <c r="Q347" s="44">
        <f t="shared" si="190"/>
        <v>0</v>
      </c>
      <c r="R347" s="44">
        <f t="shared" si="196"/>
        <v>0</v>
      </c>
      <c r="S347" s="44">
        <f t="shared" si="191"/>
        <v>0</v>
      </c>
      <c r="T347" s="44">
        <f t="shared" si="192"/>
        <v>0</v>
      </c>
      <c r="U347" s="43">
        <f t="shared" si="203"/>
        <v>0</v>
      </c>
      <c r="W347" s="72" t="s">
        <v>123</v>
      </c>
      <c r="X347" s="44">
        <f t="shared" si="213"/>
        <v>0</v>
      </c>
      <c r="Y347" s="44">
        <f t="shared" si="197"/>
        <v>0</v>
      </c>
      <c r="Z347" s="44">
        <f t="shared" si="214"/>
        <v>0</v>
      </c>
      <c r="AA347" s="44">
        <f t="shared" si="215"/>
        <v>0</v>
      </c>
      <c r="AB347" s="43">
        <f t="shared" si="204"/>
        <v>0</v>
      </c>
      <c r="AD347" s="72" t="s">
        <v>123</v>
      </c>
      <c r="AE347" s="44">
        <f t="shared" si="216"/>
        <v>0</v>
      </c>
      <c r="AF347" s="44">
        <f t="shared" si="198"/>
        <v>0</v>
      </c>
      <c r="AG347" s="44">
        <f t="shared" si="217"/>
        <v>0</v>
      </c>
      <c r="AH347" s="44">
        <f t="shared" si="218"/>
        <v>0</v>
      </c>
      <c r="AI347" s="43">
        <f t="shared" si="205"/>
        <v>0</v>
      </c>
      <c r="AK347" s="101">
        <f t="shared" si="227"/>
        <v>2055</v>
      </c>
      <c r="AL347" s="101">
        <f t="shared" si="199"/>
        <v>9</v>
      </c>
      <c r="AM347" s="118">
        <f t="shared" si="219"/>
        <v>0</v>
      </c>
      <c r="AN347" s="100">
        <f t="shared" si="220"/>
        <v>0</v>
      </c>
      <c r="AO347" s="100">
        <f t="shared" si="221"/>
        <v>0</v>
      </c>
      <c r="AP347" s="100">
        <f t="shared" si="222"/>
        <v>0</v>
      </c>
      <c r="AQ347" s="1">
        <f t="shared" si="223"/>
        <v>0</v>
      </c>
      <c r="AR347" s="100">
        <f t="shared" si="206"/>
        <v>0</v>
      </c>
      <c r="AS347" s="100">
        <f t="shared" si="207"/>
        <v>0</v>
      </c>
      <c r="AT347" s="100">
        <f t="shared" si="224"/>
        <v>0</v>
      </c>
      <c r="AU347" s="1">
        <f t="shared" si="208"/>
        <v>0</v>
      </c>
      <c r="AV347" s="100">
        <f t="shared" si="209"/>
        <v>0</v>
      </c>
    </row>
    <row r="348" spans="4:48">
      <c r="D348" s="39">
        <f t="shared" si="210"/>
        <v>340</v>
      </c>
      <c r="E348" s="40">
        <f t="shared" si="225"/>
        <v>2055</v>
      </c>
      <c r="F348" s="35">
        <f t="shared" si="226"/>
        <v>56552</v>
      </c>
      <c r="G348" s="36">
        <f t="shared" si="195"/>
        <v>10</v>
      </c>
      <c r="H348" s="41">
        <f t="shared" si="194"/>
        <v>31</v>
      </c>
      <c r="I348" s="37" t="s">
        <v>123</v>
      </c>
      <c r="J348" s="27">
        <f t="shared" si="211"/>
        <v>0</v>
      </c>
      <c r="K348" s="27">
        <f t="shared" si="200"/>
        <v>0</v>
      </c>
      <c r="L348" s="27">
        <f t="shared" si="212"/>
        <v>0</v>
      </c>
      <c r="M348" s="27">
        <f t="shared" si="201"/>
        <v>0</v>
      </c>
      <c r="N348" s="27">
        <f t="shared" si="202"/>
        <v>0</v>
      </c>
      <c r="P348" s="72" t="s">
        <v>123</v>
      </c>
      <c r="Q348" s="44">
        <f t="shared" si="190"/>
        <v>0</v>
      </c>
      <c r="R348" s="44">
        <f t="shared" si="196"/>
        <v>0</v>
      </c>
      <c r="S348" s="44">
        <f t="shared" si="191"/>
        <v>0</v>
      </c>
      <c r="T348" s="44">
        <f t="shared" si="192"/>
        <v>0</v>
      </c>
      <c r="U348" s="43">
        <f t="shared" si="203"/>
        <v>0</v>
      </c>
      <c r="W348" s="72" t="s">
        <v>123</v>
      </c>
      <c r="X348" s="44">
        <f t="shared" si="213"/>
        <v>0</v>
      </c>
      <c r="Y348" s="44">
        <f t="shared" si="197"/>
        <v>0</v>
      </c>
      <c r="Z348" s="44">
        <f t="shared" si="214"/>
        <v>0</v>
      </c>
      <c r="AA348" s="44">
        <f t="shared" si="215"/>
        <v>0</v>
      </c>
      <c r="AB348" s="43">
        <f t="shared" si="204"/>
        <v>0</v>
      </c>
      <c r="AD348" s="72" t="s">
        <v>123</v>
      </c>
      <c r="AE348" s="44">
        <f t="shared" si="216"/>
        <v>0</v>
      </c>
      <c r="AF348" s="44">
        <f t="shared" si="198"/>
        <v>0</v>
      </c>
      <c r="AG348" s="44">
        <f t="shared" si="217"/>
        <v>0</v>
      </c>
      <c r="AH348" s="44">
        <f t="shared" si="218"/>
        <v>0</v>
      </c>
      <c r="AI348" s="43">
        <f t="shared" si="205"/>
        <v>0</v>
      </c>
      <c r="AK348" s="101">
        <f t="shared" si="227"/>
        <v>2055</v>
      </c>
      <c r="AL348" s="101">
        <f t="shared" si="199"/>
        <v>10</v>
      </c>
      <c r="AM348" s="118">
        <f t="shared" si="219"/>
        <v>0</v>
      </c>
      <c r="AN348" s="100">
        <f t="shared" si="220"/>
        <v>0</v>
      </c>
      <c r="AO348" s="100">
        <f t="shared" si="221"/>
        <v>0</v>
      </c>
      <c r="AP348" s="100">
        <f t="shared" si="222"/>
        <v>0</v>
      </c>
      <c r="AQ348" s="1">
        <f t="shared" si="223"/>
        <v>0</v>
      </c>
      <c r="AR348" s="100">
        <f t="shared" si="206"/>
        <v>0</v>
      </c>
      <c r="AS348" s="100">
        <f t="shared" si="207"/>
        <v>0</v>
      </c>
      <c r="AT348" s="100">
        <f t="shared" si="224"/>
        <v>0</v>
      </c>
      <c r="AU348" s="1">
        <f t="shared" si="208"/>
        <v>0</v>
      </c>
      <c r="AV348" s="100">
        <f t="shared" si="209"/>
        <v>0</v>
      </c>
    </row>
    <row r="349" spans="4:48">
      <c r="D349" s="39">
        <f t="shared" si="210"/>
        <v>341</v>
      </c>
      <c r="E349" s="40">
        <f t="shared" si="225"/>
        <v>2055</v>
      </c>
      <c r="F349" s="35">
        <f t="shared" si="226"/>
        <v>56583</v>
      </c>
      <c r="G349" s="36">
        <f t="shared" si="195"/>
        <v>11</v>
      </c>
      <c r="H349" s="41">
        <f t="shared" si="194"/>
        <v>30</v>
      </c>
      <c r="I349" s="37" t="s">
        <v>123</v>
      </c>
      <c r="J349" s="27">
        <f t="shared" si="211"/>
        <v>0</v>
      </c>
      <c r="K349" s="27">
        <f t="shared" si="200"/>
        <v>0</v>
      </c>
      <c r="L349" s="27">
        <f t="shared" si="212"/>
        <v>0</v>
      </c>
      <c r="M349" s="27">
        <f t="shared" si="201"/>
        <v>0</v>
      </c>
      <c r="N349" s="27">
        <f t="shared" si="202"/>
        <v>0</v>
      </c>
      <c r="P349" s="72" t="s">
        <v>123</v>
      </c>
      <c r="Q349" s="44">
        <f t="shared" si="190"/>
        <v>0</v>
      </c>
      <c r="R349" s="44">
        <f t="shared" si="196"/>
        <v>0</v>
      </c>
      <c r="S349" s="44">
        <f t="shared" si="191"/>
        <v>0</v>
      </c>
      <c r="T349" s="44">
        <f t="shared" si="192"/>
        <v>0</v>
      </c>
      <c r="U349" s="43">
        <f t="shared" si="203"/>
        <v>0</v>
      </c>
      <c r="W349" s="72" t="s">
        <v>123</v>
      </c>
      <c r="X349" s="44">
        <f t="shared" si="213"/>
        <v>0</v>
      </c>
      <c r="Y349" s="44">
        <f t="shared" si="197"/>
        <v>0</v>
      </c>
      <c r="Z349" s="44">
        <f t="shared" si="214"/>
        <v>0</v>
      </c>
      <c r="AA349" s="44">
        <f t="shared" si="215"/>
        <v>0</v>
      </c>
      <c r="AB349" s="43">
        <f t="shared" si="204"/>
        <v>0</v>
      </c>
      <c r="AD349" s="72" t="s">
        <v>123</v>
      </c>
      <c r="AE349" s="44">
        <f t="shared" si="216"/>
        <v>0</v>
      </c>
      <c r="AF349" s="44">
        <f t="shared" si="198"/>
        <v>0</v>
      </c>
      <c r="AG349" s="44">
        <f t="shared" si="217"/>
        <v>0</v>
      </c>
      <c r="AH349" s="44">
        <f t="shared" si="218"/>
        <v>0</v>
      </c>
      <c r="AI349" s="43">
        <f t="shared" si="205"/>
        <v>0</v>
      </c>
      <c r="AK349" s="101">
        <f t="shared" si="227"/>
        <v>2055</v>
      </c>
      <c r="AL349" s="101">
        <f t="shared" si="199"/>
        <v>11</v>
      </c>
      <c r="AM349" s="118">
        <f t="shared" si="219"/>
        <v>0</v>
      </c>
      <c r="AN349" s="100">
        <f t="shared" si="220"/>
        <v>0</v>
      </c>
      <c r="AO349" s="100">
        <f t="shared" si="221"/>
        <v>0</v>
      </c>
      <c r="AP349" s="100">
        <f t="shared" si="222"/>
        <v>0</v>
      </c>
      <c r="AQ349" s="1">
        <f t="shared" si="223"/>
        <v>0</v>
      </c>
      <c r="AR349" s="100">
        <f t="shared" si="206"/>
        <v>0</v>
      </c>
      <c r="AS349" s="100">
        <f t="shared" si="207"/>
        <v>0</v>
      </c>
      <c r="AT349" s="100">
        <f t="shared" si="224"/>
        <v>0</v>
      </c>
      <c r="AU349" s="1">
        <f t="shared" si="208"/>
        <v>0</v>
      </c>
      <c r="AV349" s="100">
        <f t="shared" si="209"/>
        <v>0</v>
      </c>
    </row>
    <row r="350" spans="4:48">
      <c r="D350" s="39">
        <f t="shared" si="210"/>
        <v>342</v>
      </c>
      <c r="E350" s="40">
        <f t="shared" si="225"/>
        <v>2055</v>
      </c>
      <c r="F350" s="35">
        <f t="shared" si="226"/>
        <v>56613</v>
      </c>
      <c r="G350" s="36">
        <f t="shared" si="195"/>
        <v>12</v>
      </c>
      <c r="H350" s="41">
        <f t="shared" si="194"/>
        <v>31</v>
      </c>
      <c r="I350" s="37" t="s">
        <v>123</v>
      </c>
      <c r="J350" s="27">
        <f t="shared" si="211"/>
        <v>0</v>
      </c>
      <c r="K350" s="27">
        <f t="shared" si="200"/>
        <v>0</v>
      </c>
      <c r="L350" s="27">
        <f t="shared" si="212"/>
        <v>0</v>
      </c>
      <c r="M350" s="27">
        <f t="shared" si="201"/>
        <v>0</v>
      </c>
      <c r="N350" s="27">
        <f t="shared" si="202"/>
        <v>0</v>
      </c>
      <c r="P350" s="72" t="s">
        <v>123</v>
      </c>
      <c r="Q350" s="44">
        <f t="shared" si="190"/>
        <v>0</v>
      </c>
      <c r="R350" s="44">
        <f t="shared" si="196"/>
        <v>0</v>
      </c>
      <c r="S350" s="44">
        <f t="shared" si="191"/>
        <v>0</v>
      </c>
      <c r="T350" s="44">
        <f t="shared" si="192"/>
        <v>0</v>
      </c>
      <c r="U350" s="43">
        <f t="shared" si="203"/>
        <v>0</v>
      </c>
      <c r="W350" s="72" t="s">
        <v>123</v>
      </c>
      <c r="X350" s="44">
        <f t="shared" si="213"/>
        <v>0</v>
      </c>
      <c r="Y350" s="44">
        <f t="shared" si="197"/>
        <v>0</v>
      </c>
      <c r="Z350" s="44">
        <f t="shared" si="214"/>
        <v>0</v>
      </c>
      <c r="AA350" s="44">
        <f t="shared" si="215"/>
        <v>0</v>
      </c>
      <c r="AB350" s="43">
        <f t="shared" si="204"/>
        <v>0</v>
      </c>
      <c r="AD350" s="72" t="s">
        <v>123</v>
      </c>
      <c r="AE350" s="44">
        <f t="shared" si="216"/>
        <v>0</v>
      </c>
      <c r="AF350" s="44">
        <f t="shared" si="198"/>
        <v>0</v>
      </c>
      <c r="AG350" s="44">
        <f t="shared" si="217"/>
        <v>0</v>
      </c>
      <c r="AH350" s="44">
        <f t="shared" si="218"/>
        <v>0</v>
      </c>
      <c r="AI350" s="43">
        <f t="shared" si="205"/>
        <v>0</v>
      </c>
      <c r="AK350" s="101">
        <f t="shared" si="227"/>
        <v>2055</v>
      </c>
      <c r="AL350" s="101">
        <f t="shared" si="199"/>
        <v>12</v>
      </c>
      <c r="AM350" s="118">
        <f t="shared" si="219"/>
        <v>0</v>
      </c>
      <c r="AN350" s="100">
        <f t="shared" si="220"/>
        <v>0</v>
      </c>
      <c r="AO350" s="100">
        <f t="shared" si="221"/>
        <v>0</v>
      </c>
      <c r="AP350" s="100">
        <f t="shared" si="222"/>
        <v>0</v>
      </c>
      <c r="AQ350" s="1">
        <f t="shared" si="223"/>
        <v>0</v>
      </c>
      <c r="AR350" s="100">
        <f t="shared" si="206"/>
        <v>0</v>
      </c>
      <c r="AS350" s="100">
        <f t="shared" si="207"/>
        <v>0</v>
      </c>
      <c r="AT350" s="100">
        <f t="shared" si="224"/>
        <v>0</v>
      </c>
      <c r="AU350" s="1">
        <f t="shared" si="208"/>
        <v>0</v>
      </c>
      <c r="AV350" s="100">
        <f t="shared" si="209"/>
        <v>0</v>
      </c>
    </row>
    <row r="351" spans="4:48">
      <c r="D351" s="39">
        <f t="shared" si="210"/>
        <v>343</v>
      </c>
      <c r="E351" s="40">
        <f t="shared" si="225"/>
        <v>2055</v>
      </c>
      <c r="F351" s="35">
        <f t="shared" si="226"/>
        <v>56644</v>
      </c>
      <c r="G351" s="36">
        <f t="shared" si="195"/>
        <v>1</v>
      </c>
      <c r="H351" s="41">
        <f t="shared" si="194"/>
        <v>31</v>
      </c>
      <c r="I351" s="37" t="s">
        <v>123</v>
      </c>
      <c r="J351" s="27">
        <f t="shared" si="211"/>
        <v>0</v>
      </c>
      <c r="K351" s="27">
        <f t="shared" si="200"/>
        <v>0</v>
      </c>
      <c r="L351" s="27">
        <f t="shared" si="212"/>
        <v>0</v>
      </c>
      <c r="M351" s="27">
        <f t="shared" si="201"/>
        <v>0</v>
      </c>
      <c r="N351" s="27">
        <f t="shared" si="202"/>
        <v>0</v>
      </c>
      <c r="P351" s="72" t="s">
        <v>123</v>
      </c>
      <c r="Q351" s="44">
        <f t="shared" si="190"/>
        <v>0</v>
      </c>
      <c r="R351" s="44">
        <f t="shared" si="196"/>
        <v>0</v>
      </c>
      <c r="S351" s="44">
        <f t="shared" si="191"/>
        <v>0</v>
      </c>
      <c r="T351" s="44">
        <f t="shared" si="192"/>
        <v>0</v>
      </c>
      <c r="U351" s="43">
        <f t="shared" si="203"/>
        <v>0</v>
      </c>
      <c r="W351" s="72" t="s">
        <v>123</v>
      </c>
      <c r="X351" s="44">
        <f t="shared" si="213"/>
        <v>0</v>
      </c>
      <c r="Y351" s="44">
        <f t="shared" si="197"/>
        <v>0</v>
      </c>
      <c r="Z351" s="44">
        <f t="shared" si="214"/>
        <v>0</v>
      </c>
      <c r="AA351" s="44">
        <f t="shared" si="215"/>
        <v>0</v>
      </c>
      <c r="AB351" s="43">
        <f t="shared" si="204"/>
        <v>0</v>
      </c>
      <c r="AD351" s="72" t="s">
        <v>123</v>
      </c>
      <c r="AE351" s="44">
        <f t="shared" si="216"/>
        <v>0</v>
      </c>
      <c r="AF351" s="44">
        <f t="shared" si="198"/>
        <v>0</v>
      </c>
      <c r="AG351" s="44">
        <f t="shared" si="217"/>
        <v>0</v>
      </c>
      <c r="AH351" s="44">
        <f t="shared" si="218"/>
        <v>0</v>
      </c>
      <c r="AI351" s="43">
        <f t="shared" si="205"/>
        <v>0</v>
      </c>
      <c r="AK351" s="101">
        <f t="shared" si="227"/>
        <v>2055</v>
      </c>
      <c r="AL351" s="101">
        <f t="shared" si="199"/>
        <v>1</v>
      </c>
      <c r="AM351" s="118">
        <f t="shared" si="219"/>
        <v>0</v>
      </c>
      <c r="AN351" s="100">
        <f t="shared" si="220"/>
        <v>0</v>
      </c>
      <c r="AO351" s="100">
        <f t="shared" si="221"/>
        <v>0</v>
      </c>
      <c r="AP351" s="100">
        <f t="shared" si="222"/>
        <v>0</v>
      </c>
      <c r="AQ351" s="1">
        <f t="shared" si="223"/>
        <v>0</v>
      </c>
      <c r="AR351" s="100">
        <f t="shared" si="206"/>
        <v>0</v>
      </c>
      <c r="AS351" s="100">
        <f t="shared" si="207"/>
        <v>0</v>
      </c>
      <c r="AT351" s="100">
        <f t="shared" si="224"/>
        <v>0</v>
      </c>
      <c r="AU351" s="1">
        <f t="shared" si="208"/>
        <v>0</v>
      </c>
      <c r="AV351" s="100">
        <f t="shared" si="209"/>
        <v>0</v>
      </c>
    </row>
    <row r="352" spans="4:48">
      <c r="D352" s="39">
        <f t="shared" si="210"/>
        <v>344</v>
      </c>
      <c r="E352" s="40">
        <f t="shared" si="225"/>
        <v>2055</v>
      </c>
      <c r="F352" s="35">
        <f t="shared" si="226"/>
        <v>56673</v>
      </c>
      <c r="G352" s="36">
        <f t="shared" si="195"/>
        <v>2</v>
      </c>
      <c r="H352" s="41">
        <f t="shared" si="194"/>
        <v>28</v>
      </c>
      <c r="I352" s="37" t="s">
        <v>123</v>
      </c>
      <c r="J352" s="27">
        <f t="shared" si="211"/>
        <v>0</v>
      </c>
      <c r="K352" s="27">
        <f t="shared" si="200"/>
        <v>0</v>
      </c>
      <c r="L352" s="27">
        <f t="shared" si="212"/>
        <v>0</v>
      </c>
      <c r="M352" s="27">
        <f t="shared" si="201"/>
        <v>0</v>
      </c>
      <c r="N352" s="27">
        <f t="shared" si="202"/>
        <v>0</v>
      </c>
      <c r="P352" s="72" t="s">
        <v>123</v>
      </c>
      <c r="Q352" s="44">
        <f t="shared" si="190"/>
        <v>0</v>
      </c>
      <c r="R352" s="44">
        <f t="shared" si="196"/>
        <v>0</v>
      </c>
      <c r="S352" s="44">
        <f t="shared" si="191"/>
        <v>0</v>
      </c>
      <c r="T352" s="44">
        <f t="shared" si="192"/>
        <v>0</v>
      </c>
      <c r="U352" s="43">
        <f t="shared" si="203"/>
        <v>0</v>
      </c>
      <c r="W352" s="72" t="s">
        <v>123</v>
      </c>
      <c r="X352" s="44">
        <f t="shared" si="213"/>
        <v>0</v>
      </c>
      <c r="Y352" s="44">
        <f t="shared" si="197"/>
        <v>0</v>
      </c>
      <c r="Z352" s="44">
        <f t="shared" si="214"/>
        <v>0</v>
      </c>
      <c r="AA352" s="44">
        <f t="shared" si="215"/>
        <v>0</v>
      </c>
      <c r="AB352" s="43">
        <f t="shared" si="204"/>
        <v>0</v>
      </c>
      <c r="AD352" s="72" t="s">
        <v>123</v>
      </c>
      <c r="AE352" s="44">
        <f t="shared" si="216"/>
        <v>0</v>
      </c>
      <c r="AF352" s="44">
        <f t="shared" si="198"/>
        <v>0</v>
      </c>
      <c r="AG352" s="44">
        <f t="shared" si="217"/>
        <v>0</v>
      </c>
      <c r="AH352" s="44">
        <f t="shared" si="218"/>
        <v>0</v>
      </c>
      <c r="AI352" s="43">
        <f t="shared" si="205"/>
        <v>0</v>
      </c>
      <c r="AK352" s="101">
        <f t="shared" si="227"/>
        <v>2055</v>
      </c>
      <c r="AL352" s="101">
        <f t="shared" si="199"/>
        <v>2</v>
      </c>
      <c r="AM352" s="118">
        <f t="shared" si="219"/>
        <v>0</v>
      </c>
      <c r="AN352" s="100">
        <f t="shared" si="220"/>
        <v>0</v>
      </c>
      <c r="AO352" s="100">
        <f t="shared" si="221"/>
        <v>0</v>
      </c>
      <c r="AP352" s="100">
        <f t="shared" si="222"/>
        <v>0</v>
      </c>
      <c r="AQ352" s="1">
        <f t="shared" si="223"/>
        <v>0</v>
      </c>
      <c r="AR352" s="100">
        <f t="shared" si="206"/>
        <v>0</v>
      </c>
      <c r="AS352" s="100">
        <f t="shared" si="207"/>
        <v>0</v>
      </c>
      <c r="AT352" s="100">
        <f t="shared" si="224"/>
        <v>0</v>
      </c>
      <c r="AU352" s="1">
        <f t="shared" si="208"/>
        <v>0</v>
      </c>
      <c r="AV352" s="100">
        <f t="shared" si="209"/>
        <v>0</v>
      </c>
    </row>
    <row r="353" spans="4:48">
      <c r="D353" s="39">
        <f t="shared" si="210"/>
        <v>345</v>
      </c>
      <c r="E353" s="40">
        <f t="shared" si="225"/>
        <v>2055</v>
      </c>
      <c r="F353" s="35">
        <f t="shared" si="226"/>
        <v>56703</v>
      </c>
      <c r="G353" s="36">
        <f t="shared" si="195"/>
        <v>3</v>
      </c>
      <c r="H353" s="41">
        <f t="shared" si="194"/>
        <v>31</v>
      </c>
      <c r="I353" s="37" t="s">
        <v>123</v>
      </c>
      <c r="J353" s="27">
        <f t="shared" si="211"/>
        <v>0</v>
      </c>
      <c r="K353" s="27">
        <f t="shared" si="200"/>
        <v>0</v>
      </c>
      <c r="L353" s="27">
        <f t="shared" si="212"/>
        <v>0</v>
      </c>
      <c r="M353" s="27">
        <f t="shared" si="201"/>
        <v>0</v>
      </c>
      <c r="N353" s="27">
        <f t="shared" si="202"/>
        <v>0</v>
      </c>
      <c r="P353" s="72" t="s">
        <v>123</v>
      </c>
      <c r="Q353" s="44">
        <f t="shared" si="190"/>
        <v>0</v>
      </c>
      <c r="R353" s="44">
        <f t="shared" si="196"/>
        <v>0</v>
      </c>
      <c r="S353" s="44">
        <f t="shared" si="191"/>
        <v>0</v>
      </c>
      <c r="T353" s="44">
        <f t="shared" si="192"/>
        <v>0</v>
      </c>
      <c r="U353" s="43">
        <f t="shared" si="203"/>
        <v>0</v>
      </c>
      <c r="W353" s="72" t="s">
        <v>123</v>
      </c>
      <c r="X353" s="44">
        <f t="shared" si="213"/>
        <v>0</v>
      </c>
      <c r="Y353" s="44">
        <f t="shared" si="197"/>
        <v>0</v>
      </c>
      <c r="Z353" s="44">
        <f t="shared" si="214"/>
        <v>0</v>
      </c>
      <c r="AA353" s="44">
        <f t="shared" si="215"/>
        <v>0</v>
      </c>
      <c r="AB353" s="43">
        <f t="shared" si="204"/>
        <v>0</v>
      </c>
      <c r="AD353" s="72" t="s">
        <v>123</v>
      </c>
      <c r="AE353" s="44">
        <f t="shared" si="216"/>
        <v>0</v>
      </c>
      <c r="AF353" s="44">
        <f t="shared" si="198"/>
        <v>0</v>
      </c>
      <c r="AG353" s="44">
        <f t="shared" si="217"/>
        <v>0</v>
      </c>
      <c r="AH353" s="44">
        <f t="shared" si="218"/>
        <v>0</v>
      </c>
      <c r="AI353" s="43">
        <f t="shared" si="205"/>
        <v>0</v>
      </c>
      <c r="AK353" s="101">
        <f t="shared" si="227"/>
        <v>2055</v>
      </c>
      <c r="AL353" s="101">
        <f t="shared" si="199"/>
        <v>3</v>
      </c>
      <c r="AM353" s="118">
        <f t="shared" si="219"/>
        <v>0</v>
      </c>
      <c r="AN353" s="100">
        <f t="shared" si="220"/>
        <v>0</v>
      </c>
      <c r="AO353" s="100">
        <f t="shared" si="221"/>
        <v>0</v>
      </c>
      <c r="AP353" s="100">
        <f t="shared" si="222"/>
        <v>0</v>
      </c>
      <c r="AQ353" s="1">
        <f t="shared" si="223"/>
        <v>0</v>
      </c>
      <c r="AR353" s="100">
        <f t="shared" si="206"/>
        <v>0</v>
      </c>
      <c r="AS353" s="100">
        <f t="shared" si="207"/>
        <v>0</v>
      </c>
      <c r="AT353" s="100">
        <f t="shared" si="224"/>
        <v>0</v>
      </c>
      <c r="AU353" s="1">
        <f t="shared" si="208"/>
        <v>0</v>
      </c>
      <c r="AV353" s="100">
        <f t="shared" si="209"/>
        <v>0</v>
      </c>
    </row>
    <row r="354" spans="4:48">
      <c r="D354" s="39">
        <f t="shared" si="210"/>
        <v>346</v>
      </c>
      <c r="E354" s="40">
        <f t="shared" si="225"/>
        <v>2055</v>
      </c>
      <c r="F354" s="35">
        <f t="shared" si="226"/>
        <v>56734</v>
      </c>
      <c r="G354" s="36">
        <f t="shared" si="195"/>
        <v>4</v>
      </c>
      <c r="H354" s="41">
        <f t="shared" si="194"/>
        <v>30</v>
      </c>
      <c r="I354" s="37" t="s">
        <v>123</v>
      </c>
      <c r="J354" s="27">
        <f t="shared" si="211"/>
        <v>0</v>
      </c>
      <c r="K354" s="27">
        <f t="shared" si="200"/>
        <v>0</v>
      </c>
      <c r="L354" s="27">
        <f t="shared" si="212"/>
        <v>0</v>
      </c>
      <c r="M354" s="27">
        <f t="shared" si="201"/>
        <v>0</v>
      </c>
      <c r="N354" s="27">
        <f t="shared" si="202"/>
        <v>0</v>
      </c>
      <c r="P354" s="72" t="s">
        <v>123</v>
      </c>
      <c r="Q354" s="44">
        <f t="shared" si="190"/>
        <v>0</v>
      </c>
      <c r="R354" s="44">
        <f t="shared" si="196"/>
        <v>0</v>
      </c>
      <c r="S354" s="44">
        <f t="shared" si="191"/>
        <v>0</v>
      </c>
      <c r="T354" s="44">
        <f t="shared" si="192"/>
        <v>0</v>
      </c>
      <c r="U354" s="43">
        <f t="shared" si="203"/>
        <v>0</v>
      </c>
      <c r="W354" s="72" t="s">
        <v>123</v>
      </c>
      <c r="X354" s="44">
        <f t="shared" si="213"/>
        <v>0</v>
      </c>
      <c r="Y354" s="44">
        <f t="shared" si="197"/>
        <v>0</v>
      </c>
      <c r="Z354" s="44">
        <f t="shared" si="214"/>
        <v>0</v>
      </c>
      <c r="AA354" s="44">
        <f t="shared" si="215"/>
        <v>0</v>
      </c>
      <c r="AB354" s="43">
        <f t="shared" si="204"/>
        <v>0</v>
      </c>
      <c r="AD354" s="72" t="s">
        <v>123</v>
      </c>
      <c r="AE354" s="44">
        <f t="shared" si="216"/>
        <v>0</v>
      </c>
      <c r="AF354" s="44">
        <f t="shared" si="198"/>
        <v>0</v>
      </c>
      <c r="AG354" s="44">
        <f t="shared" si="217"/>
        <v>0</v>
      </c>
      <c r="AH354" s="44">
        <f t="shared" si="218"/>
        <v>0</v>
      </c>
      <c r="AI354" s="43">
        <f t="shared" si="205"/>
        <v>0</v>
      </c>
      <c r="AK354" s="101">
        <f t="shared" si="227"/>
        <v>2055</v>
      </c>
      <c r="AL354" s="101">
        <f t="shared" si="199"/>
        <v>4</v>
      </c>
      <c r="AM354" s="118">
        <f t="shared" si="219"/>
        <v>0</v>
      </c>
      <c r="AN354" s="100">
        <f t="shared" si="220"/>
        <v>0</v>
      </c>
      <c r="AO354" s="100">
        <f t="shared" si="221"/>
        <v>0</v>
      </c>
      <c r="AP354" s="100">
        <f t="shared" si="222"/>
        <v>0</v>
      </c>
      <c r="AQ354" s="1">
        <f t="shared" si="223"/>
        <v>0</v>
      </c>
      <c r="AR354" s="100">
        <f t="shared" si="206"/>
        <v>0</v>
      </c>
      <c r="AS354" s="100">
        <f t="shared" si="207"/>
        <v>0</v>
      </c>
      <c r="AT354" s="100">
        <f t="shared" si="224"/>
        <v>0</v>
      </c>
      <c r="AU354" s="1">
        <f t="shared" si="208"/>
        <v>0</v>
      </c>
      <c r="AV354" s="100">
        <f t="shared" si="209"/>
        <v>0</v>
      </c>
    </row>
    <row r="355" spans="4:48">
      <c r="D355" s="39">
        <f t="shared" si="210"/>
        <v>347</v>
      </c>
      <c r="E355" s="40">
        <f t="shared" si="225"/>
        <v>2055</v>
      </c>
      <c r="F355" s="35">
        <f t="shared" si="226"/>
        <v>56764</v>
      </c>
      <c r="G355" s="36">
        <f t="shared" si="195"/>
        <v>5</v>
      </c>
      <c r="H355" s="41">
        <f t="shared" si="194"/>
        <v>31</v>
      </c>
      <c r="I355" s="37" t="s">
        <v>123</v>
      </c>
      <c r="J355" s="27">
        <f t="shared" si="211"/>
        <v>0</v>
      </c>
      <c r="K355" s="27">
        <f t="shared" si="200"/>
        <v>0</v>
      </c>
      <c r="L355" s="27">
        <f t="shared" si="212"/>
        <v>0</v>
      </c>
      <c r="M355" s="27">
        <f t="shared" si="201"/>
        <v>0</v>
      </c>
      <c r="N355" s="27">
        <f t="shared" si="202"/>
        <v>0</v>
      </c>
      <c r="P355" s="72" t="s">
        <v>123</v>
      </c>
      <c r="Q355" s="44">
        <f t="shared" si="190"/>
        <v>0</v>
      </c>
      <c r="R355" s="44">
        <f t="shared" si="196"/>
        <v>0</v>
      </c>
      <c r="S355" s="44">
        <f t="shared" si="191"/>
        <v>0</v>
      </c>
      <c r="T355" s="44">
        <f t="shared" si="192"/>
        <v>0</v>
      </c>
      <c r="U355" s="43">
        <f t="shared" si="203"/>
        <v>0</v>
      </c>
      <c r="W355" s="72" t="s">
        <v>123</v>
      </c>
      <c r="X355" s="44">
        <f t="shared" si="213"/>
        <v>0</v>
      </c>
      <c r="Y355" s="44">
        <f t="shared" si="197"/>
        <v>0</v>
      </c>
      <c r="Z355" s="44">
        <f t="shared" si="214"/>
        <v>0</v>
      </c>
      <c r="AA355" s="44">
        <f t="shared" si="215"/>
        <v>0</v>
      </c>
      <c r="AB355" s="43">
        <f t="shared" si="204"/>
        <v>0</v>
      </c>
      <c r="AD355" s="72" t="s">
        <v>123</v>
      </c>
      <c r="AE355" s="44">
        <f t="shared" si="216"/>
        <v>0</v>
      </c>
      <c r="AF355" s="44">
        <f t="shared" si="198"/>
        <v>0</v>
      </c>
      <c r="AG355" s="44">
        <f t="shared" si="217"/>
        <v>0</v>
      </c>
      <c r="AH355" s="44">
        <f t="shared" si="218"/>
        <v>0</v>
      </c>
      <c r="AI355" s="43">
        <f t="shared" si="205"/>
        <v>0</v>
      </c>
      <c r="AK355" s="101">
        <f t="shared" si="227"/>
        <v>2055</v>
      </c>
      <c r="AL355" s="101">
        <f t="shared" si="199"/>
        <v>5</v>
      </c>
      <c r="AM355" s="118">
        <f t="shared" si="219"/>
        <v>0</v>
      </c>
      <c r="AN355" s="100">
        <f t="shared" si="220"/>
        <v>0</v>
      </c>
      <c r="AO355" s="100">
        <f t="shared" si="221"/>
        <v>0</v>
      </c>
      <c r="AP355" s="100">
        <f t="shared" si="222"/>
        <v>0</v>
      </c>
      <c r="AQ355" s="1">
        <f t="shared" si="223"/>
        <v>0</v>
      </c>
      <c r="AR355" s="100">
        <f t="shared" si="206"/>
        <v>0</v>
      </c>
      <c r="AS355" s="100">
        <f t="shared" si="207"/>
        <v>0</v>
      </c>
      <c r="AT355" s="100">
        <f t="shared" si="224"/>
        <v>0</v>
      </c>
      <c r="AU355" s="1">
        <f t="shared" si="208"/>
        <v>0</v>
      </c>
      <c r="AV355" s="100">
        <f t="shared" si="209"/>
        <v>0</v>
      </c>
    </row>
    <row r="356" spans="4:48">
      <c r="D356" s="39">
        <f t="shared" si="210"/>
        <v>348</v>
      </c>
      <c r="E356" s="40">
        <f t="shared" si="225"/>
        <v>2055</v>
      </c>
      <c r="F356" s="35">
        <f t="shared" si="226"/>
        <v>56795</v>
      </c>
      <c r="G356" s="36">
        <f t="shared" si="195"/>
        <v>6</v>
      </c>
      <c r="H356" s="41">
        <f t="shared" si="194"/>
        <v>30</v>
      </c>
      <c r="I356" s="37" t="s">
        <v>123</v>
      </c>
      <c r="J356" s="27">
        <f t="shared" si="211"/>
        <v>0</v>
      </c>
      <c r="K356" s="27">
        <f t="shared" si="200"/>
        <v>0</v>
      </c>
      <c r="L356" s="27">
        <f t="shared" si="212"/>
        <v>0</v>
      </c>
      <c r="M356" s="27">
        <f t="shared" si="201"/>
        <v>0</v>
      </c>
      <c r="N356" s="27">
        <f t="shared" si="202"/>
        <v>0</v>
      </c>
      <c r="P356" s="72" t="s">
        <v>123</v>
      </c>
      <c r="Q356" s="44">
        <f t="shared" si="190"/>
        <v>0</v>
      </c>
      <c r="R356" s="44">
        <f t="shared" si="196"/>
        <v>0</v>
      </c>
      <c r="S356" s="44">
        <f t="shared" si="191"/>
        <v>0</v>
      </c>
      <c r="T356" s="44">
        <f t="shared" si="192"/>
        <v>0</v>
      </c>
      <c r="U356" s="43">
        <f t="shared" si="203"/>
        <v>0</v>
      </c>
      <c r="W356" s="72" t="s">
        <v>123</v>
      </c>
      <c r="X356" s="44">
        <f t="shared" si="213"/>
        <v>0</v>
      </c>
      <c r="Y356" s="44">
        <f t="shared" si="197"/>
        <v>0</v>
      </c>
      <c r="Z356" s="44">
        <f t="shared" si="214"/>
        <v>0</v>
      </c>
      <c r="AA356" s="44">
        <f t="shared" si="215"/>
        <v>0</v>
      </c>
      <c r="AB356" s="43">
        <f t="shared" si="204"/>
        <v>0</v>
      </c>
      <c r="AD356" s="72" t="s">
        <v>123</v>
      </c>
      <c r="AE356" s="44">
        <f t="shared" si="216"/>
        <v>0</v>
      </c>
      <c r="AF356" s="44">
        <f t="shared" si="198"/>
        <v>0</v>
      </c>
      <c r="AG356" s="44">
        <f t="shared" si="217"/>
        <v>0</v>
      </c>
      <c r="AH356" s="44">
        <f t="shared" si="218"/>
        <v>0</v>
      </c>
      <c r="AI356" s="43">
        <f t="shared" si="205"/>
        <v>0</v>
      </c>
      <c r="AK356" s="101">
        <f t="shared" si="227"/>
        <v>2055</v>
      </c>
      <c r="AL356" s="101">
        <f t="shared" si="199"/>
        <v>6</v>
      </c>
      <c r="AM356" s="118">
        <f t="shared" si="219"/>
        <v>0</v>
      </c>
      <c r="AN356" s="100">
        <f t="shared" si="220"/>
        <v>0</v>
      </c>
      <c r="AO356" s="100">
        <f t="shared" si="221"/>
        <v>0</v>
      </c>
      <c r="AP356" s="100">
        <f t="shared" si="222"/>
        <v>0</v>
      </c>
      <c r="AQ356" s="1">
        <f t="shared" si="223"/>
        <v>0</v>
      </c>
      <c r="AR356" s="100">
        <f t="shared" si="206"/>
        <v>0</v>
      </c>
      <c r="AS356" s="100">
        <f t="shared" si="207"/>
        <v>0</v>
      </c>
      <c r="AT356" s="100">
        <f t="shared" si="224"/>
        <v>0</v>
      </c>
      <c r="AU356" s="1">
        <f t="shared" si="208"/>
        <v>0</v>
      </c>
      <c r="AV356" s="100">
        <f t="shared" si="209"/>
        <v>0</v>
      </c>
    </row>
    <row r="357" spans="4:48">
      <c r="D357" s="39">
        <f t="shared" si="210"/>
        <v>349</v>
      </c>
      <c r="E357" s="40">
        <f t="shared" si="225"/>
        <v>2056</v>
      </c>
      <c r="F357" s="35">
        <f t="shared" si="226"/>
        <v>56825</v>
      </c>
      <c r="G357" s="36">
        <f t="shared" si="195"/>
        <v>7</v>
      </c>
      <c r="H357" s="41">
        <f t="shared" si="194"/>
        <v>31</v>
      </c>
      <c r="I357" s="37" t="s">
        <v>123</v>
      </c>
      <c r="J357" s="27">
        <f t="shared" si="211"/>
        <v>0</v>
      </c>
      <c r="K357" s="27">
        <f t="shared" si="200"/>
        <v>0</v>
      </c>
      <c r="L357" s="27">
        <f t="shared" si="212"/>
        <v>0</v>
      </c>
      <c r="M357" s="27">
        <f t="shared" si="201"/>
        <v>0</v>
      </c>
      <c r="N357" s="27">
        <f t="shared" si="202"/>
        <v>0</v>
      </c>
      <c r="P357" s="72" t="s">
        <v>123</v>
      </c>
      <c r="Q357" s="44">
        <f t="shared" si="190"/>
        <v>0</v>
      </c>
      <c r="R357" s="44">
        <f t="shared" si="196"/>
        <v>0</v>
      </c>
      <c r="S357" s="44">
        <f t="shared" si="191"/>
        <v>0</v>
      </c>
      <c r="T357" s="44">
        <f t="shared" si="192"/>
        <v>0</v>
      </c>
      <c r="U357" s="43">
        <f t="shared" si="203"/>
        <v>0</v>
      </c>
      <c r="W357" s="72" t="s">
        <v>123</v>
      </c>
      <c r="X357" s="44">
        <f t="shared" si="213"/>
        <v>0</v>
      </c>
      <c r="Y357" s="44">
        <f t="shared" si="197"/>
        <v>0</v>
      </c>
      <c r="Z357" s="44">
        <f t="shared" si="214"/>
        <v>0</v>
      </c>
      <c r="AA357" s="44">
        <f t="shared" si="215"/>
        <v>0</v>
      </c>
      <c r="AB357" s="43">
        <f t="shared" si="204"/>
        <v>0</v>
      </c>
      <c r="AD357" s="72" t="s">
        <v>123</v>
      </c>
      <c r="AE357" s="44">
        <f t="shared" si="216"/>
        <v>0</v>
      </c>
      <c r="AF357" s="44">
        <f t="shared" si="198"/>
        <v>0</v>
      </c>
      <c r="AG357" s="44">
        <f t="shared" si="217"/>
        <v>0</v>
      </c>
      <c r="AH357" s="44">
        <f t="shared" si="218"/>
        <v>0</v>
      </c>
      <c r="AI357" s="43">
        <f t="shared" si="205"/>
        <v>0</v>
      </c>
      <c r="AK357" s="101">
        <f t="shared" si="227"/>
        <v>2056</v>
      </c>
      <c r="AL357" s="101">
        <f t="shared" si="199"/>
        <v>7</v>
      </c>
      <c r="AM357" s="118">
        <f t="shared" si="219"/>
        <v>0</v>
      </c>
      <c r="AN357" s="100">
        <f t="shared" si="220"/>
        <v>0</v>
      </c>
      <c r="AO357" s="100">
        <f t="shared" si="221"/>
        <v>0</v>
      </c>
      <c r="AP357" s="100">
        <f t="shared" si="222"/>
        <v>0</v>
      </c>
      <c r="AQ357" s="1">
        <f t="shared" si="223"/>
        <v>0</v>
      </c>
      <c r="AR357" s="100">
        <f t="shared" si="206"/>
        <v>0</v>
      </c>
      <c r="AS357" s="100">
        <f t="shared" si="207"/>
        <v>0</v>
      </c>
      <c r="AT357" s="100">
        <f t="shared" si="224"/>
        <v>0</v>
      </c>
      <c r="AU357" s="1">
        <f t="shared" si="208"/>
        <v>0</v>
      </c>
      <c r="AV357" s="100">
        <f t="shared" si="209"/>
        <v>0</v>
      </c>
    </row>
    <row r="358" spans="4:48">
      <c r="D358" s="39">
        <f t="shared" si="210"/>
        <v>350</v>
      </c>
      <c r="E358" s="40">
        <f t="shared" si="225"/>
        <v>2056</v>
      </c>
      <c r="F358" s="35">
        <f t="shared" si="226"/>
        <v>56856</v>
      </c>
      <c r="G358" s="36">
        <f t="shared" si="195"/>
        <v>8</v>
      </c>
      <c r="H358" s="41">
        <f t="shared" si="194"/>
        <v>31</v>
      </c>
      <c r="I358" s="37" t="s">
        <v>123</v>
      </c>
      <c r="J358" s="27">
        <f t="shared" si="211"/>
        <v>0</v>
      </c>
      <c r="K358" s="27">
        <f t="shared" si="200"/>
        <v>0</v>
      </c>
      <c r="L358" s="27">
        <f t="shared" si="212"/>
        <v>0</v>
      </c>
      <c r="M358" s="27">
        <f t="shared" si="201"/>
        <v>0</v>
      </c>
      <c r="N358" s="27">
        <f t="shared" si="202"/>
        <v>0</v>
      </c>
      <c r="P358" s="72" t="s">
        <v>123</v>
      </c>
      <c r="Q358" s="44">
        <f t="shared" si="190"/>
        <v>0</v>
      </c>
      <c r="R358" s="44">
        <f t="shared" si="196"/>
        <v>0</v>
      </c>
      <c r="S358" s="44">
        <f t="shared" si="191"/>
        <v>0</v>
      </c>
      <c r="T358" s="44">
        <f t="shared" si="192"/>
        <v>0</v>
      </c>
      <c r="U358" s="43">
        <f t="shared" si="203"/>
        <v>0</v>
      </c>
      <c r="W358" s="72" t="s">
        <v>123</v>
      </c>
      <c r="X358" s="44">
        <f t="shared" si="213"/>
        <v>0</v>
      </c>
      <c r="Y358" s="44">
        <f t="shared" si="197"/>
        <v>0</v>
      </c>
      <c r="Z358" s="44">
        <f t="shared" si="214"/>
        <v>0</v>
      </c>
      <c r="AA358" s="44">
        <f t="shared" si="215"/>
        <v>0</v>
      </c>
      <c r="AB358" s="43">
        <f t="shared" si="204"/>
        <v>0</v>
      </c>
      <c r="AD358" s="72" t="s">
        <v>123</v>
      </c>
      <c r="AE358" s="44">
        <f t="shared" si="216"/>
        <v>0</v>
      </c>
      <c r="AF358" s="44">
        <f t="shared" si="198"/>
        <v>0</v>
      </c>
      <c r="AG358" s="44">
        <f t="shared" si="217"/>
        <v>0</v>
      </c>
      <c r="AH358" s="44">
        <f t="shared" si="218"/>
        <v>0</v>
      </c>
      <c r="AI358" s="43">
        <f t="shared" si="205"/>
        <v>0</v>
      </c>
      <c r="AK358" s="101">
        <f t="shared" si="227"/>
        <v>2056</v>
      </c>
      <c r="AL358" s="101">
        <f t="shared" si="199"/>
        <v>8</v>
      </c>
      <c r="AM358" s="118">
        <f t="shared" si="219"/>
        <v>0</v>
      </c>
      <c r="AN358" s="100">
        <f t="shared" si="220"/>
        <v>0</v>
      </c>
      <c r="AO358" s="100">
        <f t="shared" si="221"/>
        <v>0</v>
      </c>
      <c r="AP358" s="100">
        <f t="shared" si="222"/>
        <v>0</v>
      </c>
      <c r="AQ358" s="1">
        <f t="shared" si="223"/>
        <v>0</v>
      </c>
      <c r="AR358" s="100">
        <f t="shared" si="206"/>
        <v>0</v>
      </c>
      <c r="AS358" s="100">
        <f t="shared" si="207"/>
        <v>0</v>
      </c>
      <c r="AT358" s="100">
        <f t="shared" si="224"/>
        <v>0</v>
      </c>
      <c r="AU358" s="1">
        <f t="shared" si="208"/>
        <v>0</v>
      </c>
      <c r="AV358" s="100">
        <f t="shared" si="209"/>
        <v>0</v>
      </c>
    </row>
    <row r="359" spans="4:48">
      <c r="D359" s="39">
        <f t="shared" si="210"/>
        <v>351</v>
      </c>
      <c r="E359" s="40">
        <f t="shared" si="225"/>
        <v>2056</v>
      </c>
      <c r="F359" s="35">
        <f t="shared" si="226"/>
        <v>56887</v>
      </c>
      <c r="G359" s="36">
        <f t="shared" si="195"/>
        <v>9</v>
      </c>
      <c r="H359" s="41">
        <f t="shared" si="194"/>
        <v>30</v>
      </c>
      <c r="I359" s="37" t="s">
        <v>123</v>
      </c>
      <c r="J359" s="27">
        <f t="shared" si="211"/>
        <v>0</v>
      </c>
      <c r="K359" s="27">
        <f t="shared" si="200"/>
        <v>0</v>
      </c>
      <c r="L359" s="27">
        <f t="shared" si="212"/>
        <v>0</v>
      </c>
      <c r="M359" s="27">
        <f t="shared" si="201"/>
        <v>0</v>
      </c>
      <c r="N359" s="27">
        <f t="shared" si="202"/>
        <v>0</v>
      </c>
      <c r="P359" s="72" t="s">
        <v>123</v>
      </c>
      <c r="Q359" s="44">
        <f t="shared" si="190"/>
        <v>0</v>
      </c>
      <c r="R359" s="44">
        <f t="shared" si="196"/>
        <v>0</v>
      </c>
      <c r="S359" s="44">
        <f t="shared" si="191"/>
        <v>0</v>
      </c>
      <c r="T359" s="44">
        <f t="shared" si="192"/>
        <v>0</v>
      </c>
      <c r="U359" s="43">
        <f t="shared" si="203"/>
        <v>0</v>
      </c>
      <c r="W359" s="72" t="s">
        <v>123</v>
      </c>
      <c r="X359" s="44">
        <f t="shared" si="213"/>
        <v>0</v>
      </c>
      <c r="Y359" s="44">
        <f t="shared" si="197"/>
        <v>0</v>
      </c>
      <c r="Z359" s="44">
        <f t="shared" si="214"/>
        <v>0</v>
      </c>
      <c r="AA359" s="44">
        <f t="shared" si="215"/>
        <v>0</v>
      </c>
      <c r="AB359" s="43">
        <f t="shared" si="204"/>
        <v>0</v>
      </c>
      <c r="AD359" s="72" t="s">
        <v>123</v>
      </c>
      <c r="AE359" s="44">
        <f t="shared" si="216"/>
        <v>0</v>
      </c>
      <c r="AF359" s="44">
        <f t="shared" si="198"/>
        <v>0</v>
      </c>
      <c r="AG359" s="44">
        <f t="shared" si="217"/>
        <v>0</v>
      </c>
      <c r="AH359" s="44">
        <f t="shared" si="218"/>
        <v>0</v>
      </c>
      <c r="AI359" s="43">
        <f t="shared" si="205"/>
        <v>0</v>
      </c>
      <c r="AK359" s="101">
        <f t="shared" si="227"/>
        <v>2056</v>
      </c>
      <c r="AL359" s="101">
        <f t="shared" si="199"/>
        <v>9</v>
      </c>
      <c r="AM359" s="118">
        <f t="shared" si="219"/>
        <v>0</v>
      </c>
      <c r="AN359" s="100">
        <f t="shared" si="220"/>
        <v>0</v>
      </c>
      <c r="AO359" s="100">
        <f t="shared" si="221"/>
        <v>0</v>
      </c>
      <c r="AP359" s="100">
        <f t="shared" si="222"/>
        <v>0</v>
      </c>
      <c r="AQ359" s="1">
        <f t="shared" si="223"/>
        <v>0</v>
      </c>
      <c r="AR359" s="100">
        <f t="shared" si="206"/>
        <v>0</v>
      </c>
      <c r="AS359" s="100">
        <f t="shared" si="207"/>
        <v>0</v>
      </c>
      <c r="AT359" s="100">
        <f t="shared" si="224"/>
        <v>0</v>
      </c>
      <c r="AU359" s="1">
        <f t="shared" si="208"/>
        <v>0</v>
      </c>
      <c r="AV359" s="100">
        <f t="shared" si="209"/>
        <v>0</v>
      </c>
    </row>
    <row r="360" spans="4:48">
      <c r="D360" s="39">
        <f t="shared" si="210"/>
        <v>352</v>
      </c>
      <c r="E360" s="40">
        <f t="shared" si="225"/>
        <v>2056</v>
      </c>
      <c r="F360" s="35">
        <f t="shared" si="226"/>
        <v>56917</v>
      </c>
      <c r="G360" s="36">
        <f t="shared" si="195"/>
        <v>10</v>
      </c>
      <c r="H360" s="41">
        <f t="shared" si="194"/>
        <v>31</v>
      </c>
      <c r="I360" s="37" t="s">
        <v>123</v>
      </c>
      <c r="J360" s="27">
        <f t="shared" si="211"/>
        <v>0</v>
      </c>
      <c r="K360" s="27">
        <f t="shared" si="200"/>
        <v>0</v>
      </c>
      <c r="L360" s="27">
        <f t="shared" si="212"/>
        <v>0</v>
      </c>
      <c r="M360" s="27">
        <f t="shared" si="201"/>
        <v>0</v>
      </c>
      <c r="N360" s="27">
        <f t="shared" si="202"/>
        <v>0</v>
      </c>
      <c r="P360" s="72" t="s">
        <v>123</v>
      </c>
      <c r="Q360" s="44">
        <f t="shared" si="190"/>
        <v>0</v>
      </c>
      <c r="R360" s="44">
        <f t="shared" si="196"/>
        <v>0</v>
      </c>
      <c r="S360" s="44">
        <f t="shared" si="191"/>
        <v>0</v>
      </c>
      <c r="T360" s="44">
        <f t="shared" si="192"/>
        <v>0</v>
      </c>
      <c r="U360" s="43">
        <f t="shared" si="203"/>
        <v>0</v>
      </c>
      <c r="W360" s="72" t="s">
        <v>123</v>
      </c>
      <c r="X360" s="44">
        <f t="shared" si="213"/>
        <v>0</v>
      </c>
      <c r="Y360" s="44">
        <f t="shared" si="197"/>
        <v>0</v>
      </c>
      <c r="Z360" s="44">
        <f t="shared" si="214"/>
        <v>0</v>
      </c>
      <c r="AA360" s="44">
        <f t="shared" si="215"/>
        <v>0</v>
      </c>
      <c r="AB360" s="43">
        <f t="shared" si="204"/>
        <v>0</v>
      </c>
      <c r="AD360" s="72" t="s">
        <v>123</v>
      </c>
      <c r="AE360" s="44">
        <f t="shared" si="216"/>
        <v>0</v>
      </c>
      <c r="AF360" s="44">
        <f t="shared" si="198"/>
        <v>0</v>
      </c>
      <c r="AG360" s="44">
        <f t="shared" si="217"/>
        <v>0</v>
      </c>
      <c r="AH360" s="44">
        <f t="shared" si="218"/>
        <v>0</v>
      </c>
      <c r="AI360" s="43">
        <f t="shared" si="205"/>
        <v>0</v>
      </c>
      <c r="AK360" s="101">
        <f t="shared" si="227"/>
        <v>2056</v>
      </c>
      <c r="AL360" s="101">
        <f t="shared" si="199"/>
        <v>10</v>
      </c>
      <c r="AM360" s="118">
        <f t="shared" si="219"/>
        <v>0</v>
      </c>
      <c r="AN360" s="100">
        <f t="shared" si="220"/>
        <v>0</v>
      </c>
      <c r="AO360" s="100">
        <f t="shared" si="221"/>
        <v>0</v>
      </c>
      <c r="AP360" s="100">
        <f t="shared" si="222"/>
        <v>0</v>
      </c>
      <c r="AQ360" s="1">
        <f t="shared" si="223"/>
        <v>0</v>
      </c>
      <c r="AR360" s="100">
        <f t="shared" si="206"/>
        <v>0</v>
      </c>
      <c r="AS360" s="100">
        <f t="shared" si="207"/>
        <v>0</v>
      </c>
      <c r="AT360" s="100">
        <f t="shared" si="224"/>
        <v>0</v>
      </c>
      <c r="AU360" s="1">
        <f t="shared" si="208"/>
        <v>0</v>
      </c>
      <c r="AV360" s="100">
        <f t="shared" si="209"/>
        <v>0</v>
      </c>
    </row>
    <row r="361" spans="4:48">
      <c r="D361" s="39">
        <f t="shared" si="210"/>
        <v>353</v>
      </c>
      <c r="E361" s="40">
        <f t="shared" si="225"/>
        <v>2056</v>
      </c>
      <c r="F361" s="35">
        <f t="shared" si="226"/>
        <v>56948</v>
      </c>
      <c r="G361" s="36">
        <f t="shared" si="195"/>
        <v>11</v>
      </c>
      <c r="H361" s="41">
        <f t="shared" si="194"/>
        <v>30</v>
      </c>
      <c r="I361" s="37" t="s">
        <v>123</v>
      </c>
      <c r="J361" s="27">
        <f t="shared" si="211"/>
        <v>0</v>
      </c>
      <c r="K361" s="27">
        <f t="shared" si="200"/>
        <v>0</v>
      </c>
      <c r="L361" s="27">
        <f t="shared" si="212"/>
        <v>0</v>
      </c>
      <c r="M361" s="27">
        <f t="shared" si="201"/>
        <v>0</v>
      </c>
      <c r="N361" s="27">
        <f t="shared" si="202"/>
        <v>0</v>
      </c>
      <c r="P361" s="72" t="s">
        <v>123</v>
      </c>
      <c r="Q361" s="44">
        <f t="shared" si="190"/>
        <v>0</v>
      </c>
      <c r="R361" s="44">
        <f t="shared" si="196"/>
        <v>0</v>
      </c>
      <c r="S361" s="44">
        <f t="shared" si="191"/>
        <v>0</v>
      </c>
      <c r="T361" s="44">
        <f t="shared" si="192"/>
        <v>0</v>
      </c>
      <c r="U361" s="43">
        <f t="shared" si="203"/>
        <v>0</v>
      </c>
      <c r="W361" s="72" t="s">
        <v>123</v>
      </c>
      <c r="X361" s="44">
        <f t="shared" si="213"/>
        <v>0</v>
      </c>
      <c r="Y361" s="44">
        <f t="shared" si="197"/>
        <v>0</v>
      </c>
      <c r="Z361" s="44">
        <f t="shared" si="214"/>
        <v>0</v>
      </c>
      <c r="AA361" s="44">
        <f t="shared" si="215"/>
        <v>0</v>
      </c>
      <c r="AB361" s="43">
        <f t="shared" si="204"/>
        <v>0</v>
      </c>
      <c r="AD361" s="72" t="s">
        <v>123</v>
      </c>
      <c r="AE361" s="44">
        <f t="shared" si="216"/>
        <v>0</v>
      </c>
      <c r="AF361" s="44">
        <f t="shared" si="198"/>
        <v>0</v>
      </c>
      <c r="AG361" s="44">
        <f t="shared" si="217"/>
        <v>0</v>
      </c>
      <c r="AH361" s="44">
        <f t="shared" si="218"/>
        <v>0</v>
      </c>
      <c r="AI361" s="43">
        <f t="shared" si="205"/>
        <v>0</v>
      </c>
      <c r="AK361" s="101">
        <f t="shared" si="227"/>
        <v>2056</v>
      </c>
      <c r="AL361" s="101">
        <f t="shared" si="199"/>
        <v>11</v>
      </c>
      <c r="AM361" s="118">
        <f t="shared" si="219"/>
        <v>0</v>
      </c>
      <c r="AN361" s="100">
        <f t="shared" si="220"/>
        <v>0</v>
      </c>
      <c r="AO361" s="100">
        <f t="shared" si="221"/>
        <v>0</v>
      </c>
      <c r="AP361" s="100">
        <f t="shared" si="222"/>
        <v>0</v>
      </c>
      <c r="AQ361" s="1">
        <f t="shared" si="223"/>
        <v>0</v>
      </c>
      <c r="AR361" s="100">
        <f t="shared" si="206"/>
        <v>0</v>
      </c>
      <c r="AS361" s="100">
        <f t="shared" si="207"/>
        <v>0</v>
      </c>
      <c r="AT361" s="100">
        <f t="shared" si="224"/>
        <v>0</v>
      </c>
      <c r="AU361" s="1">
        <f t="shared" si="208"/>
        <v>0</v>
      </c>
      <c r="AV361" s="100">
        <f t="shared" si="209"/>
        <v>0</v>
      </c>
    </row>
    <row r="362" spans="4:48">
      <c r="D362" s="39">
        <f t="shared" si="210"/>
        <v>354</v>
      </c>
      <c r="E362" s="40">
        <f t="shared" si="225"/>
        <v>2056</v>
      </c>
      <c r="F362" s="35">
        <f t="shared" si="226"/>
        <v>56978</v>
      </c>
      <c r="G362" s="36">
        <f t="shared" si="195"/>
        <v>12</v>
      </c>
      <c r="H362" s="41">
        <f t="shared" si="194"/>
        <v>31</v>
      </c>
      <c r="I362" s="37" t="s">
        <v>123</v>
      </c>
      <c r="J362" s="27">
        <f t="shared" si="211"/>
        <v>0</v>
      </c>
      <c r="K362" s="27">
        <f t="shared" si="200"/>
        <v>0</v>
      </c>
      <c r="L362" s="27">
        <f t="shared" si="212"/>
        <v>0</v>
      </c>
      <c r="M362" s="27">
        <f t="shared" si="201"/>
        <v>0</v>
      </c>
      <c r="N362" s="27">
        <f t="shared" si="202"/>
        <v>0</v>
      </c>
      <c r="P362" s="72" t="s">
        <v>123</v>
      </c>
      <c r="Q362" s="44">
        <f t="shared" si="190"/>
        <v>0</v>
      </c>
      <c r="R362" s="44">
        <f t="shared" si="196"/>
        <v>0</v>
      </c>
      <c r="S362" s="44">
        <f t="shared" si="191"/>
        <v>0</v>
      </c>
      <c r="T362" s="44">
        <f t="shared" si="192"/>
        <v>0</v>
      </c>
      <c r="U362" s="43">
        <f t="shared" si="203"/>
        <v>0</v>
      </c>
      <c r="W362" s="72" t="s">
        <v>123</v>
      </c>
      <c r="X362" s="44">
        <f t="shared" si="213"/>
        <v>0</v>
      </c>
      <c r="Y362" s="44">
        <f t="shared" si="197"/>
        <v>0</v>
      </c>
      <c r="Z362" s="44">
        <f t="shared" si="214"/>
        <v>0</v>
      </c>
      <c r="AA362" s="44">
        <f t="shared" si="215"/>
        <v>0</v>
      </c>
      <c r="AB362" s="43">
        <f t="shared" si="204"/>
        <v>0</v>
      </c>
      <c r="AD362" s="72" t="s">
        <v>123</v>
      </c>
      <c r="AE362" s="44">
        <f t="shared" si="216"/>
        <v>0</v>
      </c>
      <c r="AF362" s="44">
        <f t="shared" si="198"/>
        <v>0</v>
      </c>
      <c r="AG362" s="44">
        <f t="shared" si="217"/>
        <v>0</v>
      </c>
      <c r="AH362" s="44">
        <f t="shared" si="218"/>
        <v>0</v>
      </c>
      <c r="AI362" s="43">
        <f t="shared" si="205"/>
        <v>0</v>
      </c>
      <c r="AK362" s="101">
        <f t="shared" si="227"/>
        <v>2056</v>
      </c>
      <c r="AL362" s="101">
        <f t="shared" si="199"/>
        <v>12</v>
      </c>
      <c r="AM362" s="118">
        <f t="shared" si="219"/>
        <v>0</v>
      </c>
      <c r="AN362" s="100">
        <f t="shared" si="220"/>
        <v>0</v>
      </c>
      <c r="AO362" s="100">
        <f t="shared" si="221"/>
        <v>0</v>
      </c>
      <c r="AP362" s="100">
        <f t="shared" si="222"/>
        <v>0</v>
      </c>
      <c r="AQ362" s="1">
        <f t="shared" si="223"/>
        <v>0</v>
      </c>
      <c r="AR362" s="100">
        <f t="shared" si="206"/>
        <v>0</v>
      </c>
      <c r="AS362" s="100">
        <f t="shared" si="207"/>
        <v>0</v>
      </c>
      <c r="AT362" s="100">
        <f t="shared" si="224"/>
        <v>0</v>
      </c>
      <c r="AU362" s="1">
        <f t="shared" si="208"/>
        <v>0</v>
      </c>
      <c r="AV362" s="100">
        <f t="shared" si="209"/>
        <v>0</v>
      </c>
    </row>
    <row r="363" spans="4:48">
      <c r="D363" s="39">
        <f t="shared" si="210"/>
        <v>355</v>
      </c>
      <c r="E363" s="40">
        <f t="shared" si="225"/>
        <v>2056</v>
      </c>
      <c r="F363" s="35">
        <f t="shared" si="226"/>
        <v>57009</v>
      </c>
      <c r="G363" s="36">
        <f t="shared" si="195"/>
        <v>1</v>
      </c>
      <c r="H363" s="41">
        <f t="shared" si="194"/>
        <v>31</v>
      </c>
      <c r="I363" s="37" t="s">
        <v>123</v>
      </c>
      <c r="J363" s="27">
        <f t="shared" si="211"/>
        <v>0</v>
      </c>
      <c r="K363" s="27">
        <f t="shared" si="200"/>
        <v>0</v>
      </c>
      <c r="L363" s="27">
        <f t="shared" si="212"/>
        <v>0</v>
      </c>
      <c r="M363" s="27">
        <f t="shared" si="201"/>
        <v>0</v>
      </c>
      <c r="N363" s="27">
        <f t="shared" si="202"/>
        <v>0</v>
      </c>
      <c r="P363" s="72" t="s">
        <v>123</v>
      </c>
      <c r="Q363" s="44">
        <f t="shared" si="190"/>
        <v>0</v>
      </c>
      <c r="R363" s="44">
        <f t="shared" si="196"/>
        <v>0</v>
      </c>
      <c r="S363" s="44">
        <f t="shared" si="191"/>
        <v>0</v>
      </c>
      <c r="T363" s="44">
        <f t="shared" si="192"/>
        <v>0</v>
      </c>
      <c r="U363" s="43">
        <f t="shared" si="203"/>
        <v>0</v>
      </c>
      <c r="W363" s="72" t="s">
        <v>123</v>
      </c>
      <c r="X363" s="44">
        <f t="shared" si="213"/>
        <v>0</v>
      </c>
      <c r="Y363" s="44">
        <f t="shared" si="197"/>
        <v>0</v>
      </c>
      <c r="Z363" s="44">
        <f t="shared" si="214"/>
        <v>0</v>
      </c>
      <c r="AA363" s="44">
        <f t="shared" si="215"/>
        <v>0</v>
      </c>
      <c r="AB363" s="43">
        <f t="shared" si="204"/>
        <v>0</v>
      </c>
      <c r="AD363" s="72" t="s">
        <v>123</v>
      </c>
      <c r="AE363" s="44">
        <f t="shared" si="216"/>
        <v>0</v>
      </c>
      <c r="AF363" s="44">
        <f t="shared" si="198"/>
        <v>0</v>
      </c>
      <c r="AG363" s="44">
        <f t="shared" si="217"/>
        <v>0</v>
      </c>
      <c r="AH363" s="44">
        <f t="shared" si="218"/>
        <v>0</v>
      </c>
      <c r="AI363" s="43">
        <f t="shared" si="205"/>
        <v>0</v>
      </c>
      <c r="AK363" s="101">
        <f t="shared" si="227"/>
        <v>2056</v>
      </c>
      <c r="AL363" s="101">
        <f t="shared" si="199"/>
        <v>1</v>
      </c>
      <c r="AM363" s="118">
        <f t="shared" si="219"/>
        <v>0</v>
      </c>
      <c r="AN363" s="100">
        <f t="shared" si="220"/>
        <v>0</v>
      </c>
      <c r="AO363" s="100">
        <f t="shared" si="221"/>
        <v>0</v>
      </c>
      <c r="AP363" s="100">
        <f t="shared" si="222"/>
        <v>0</v>
      </c>
      <c r="AQ363" s="1">
        <f t="shared" si="223"/>
        <v>0</v>
      </c>
      <c r="AR363" s="100">
        <f t="shared" si="206"/>
        <v>0</v>
      </c>
      <c r="AS363" s="100">
        <f t="shared" si="207"/>
        <v>0</v>
      </c>
      <c r="AT363" s="100">
        <f t="shared" si="224"/>
        <v>0</v>
      </c>
      <c r="AU363" s="1">
        <f t="shared" si="208"/>
        <v>0</v>
      </c>
      <c r="AV363" s="100">
        <f t="shared" si="209"/>
        <v>0</v>
      </c>
    </row>
    <row r="364" spans="4:48">
      <c r="D364" s="39">
        <f t="shared" si="210"/>
        <v>356</v>
      </c>
      <c r="E364" s="40">
        <f t="shared" si="225"/>
        <v>2056</v>
      </c>
      <c r="F364" s="35">
        <f t="shared" si="226"/>
        <v>57039</v>
      </c>
      <c r="G364" s="36">
        <f t="shared" si="195"/>
        <v>2</v>
      </c>
      <c r="H364" s="41">
        <f t="shared" si="194"/>
        <v>29</v>
      </c>
      <c r="I364" s="37" t="s">
        <v>123</v>
      </c>
      <c r="J364" s="27">
        <f t="shared" si="211"/>
        <v>0</v>
      </c>
      <c r="K364" s="27">
        <f t="shared" si="200"/>
        <v>0</v>
      </c>
      <c r="L364" s="27">
        <f t="shared" si="212"/>
        <v>0</v>
      </c>
      <c r="M364" s="27">
        <f t="shared" si="201"/>
        <v>0</v>
      </c>
      <c r="N364" s="27">
        <f t="shared" si="202"/>
        <v>0</v>
      </c>
      <c r="P364" s="72" t="s">
        <v>123</v>
      </c>
      <c r="Q364" s="44">
        <f t="shared" si="190"/>
        <v>0</v>
      </c>
      <c r="R364" s="44">
        <f t="shared" si="196"/>
        <v>0</v>
      </c>
      <c r="S364" s="44">
        <f t="shared" si="191"/>
        <v>0</v>
      </c>
      <c r="T364" s="44">
        <f t="shared" si="192"/>
        <v>0</v>
      </c>
      <c r="U364" s="43">
        <f t="shared" si="203"/>
        <v>0</v>
      </c>
      <c r="W364" s="72" t="s">
        <v>123</v>
      </c>
      <c r="X364" s="44">
        <f t="shared" si="213"/>
        <v>0</v>
      </c>
      <c r="Y364" s="44">
        <f t="shared" si="197"/>
        <v>0</v>
      </c>
      <c r="Z364" s="44">
        <f t="shared" si="214"/>
        <v>0</v>
      </c>
      <c r="AA364" s="44">
        <f t="shared" si="215"/>
        <v>0</v>
      </c>
      <c r="AB364" s="43">
        <f t="shared" si="204"/>
        <v>0</v>
      </c>
      <c r="AD364" s="72" t="s">
        <v>123</v>
      </c>
      <c r="AE364" s="44">
        <f t="shared" si="216"/>
        <v>0</v>
      </c>
      <c r="AF364" s="44">
        <f t="shared" si="198"/>
        <v>0</v>
      </c>
      <c r="AG364" s="44">
        <f t="shared" si="217"/>
        <v>0</v>
      </c>
      <c r="AH364" s="44">
        <f t="shared" si="218"/>
        <v>0</v>
      </c>
      <c r="AI364" s="43">
        <f t="shared" si="205"/>
        <v>0</v>
      </c>
      <c r="AK364" s="101">
        <f t="shared" si="227"/>
        <v>2056</v>
      </c>
      <c r="AL364" s="101">
        <f t="shared" si="199"/>
        <v>2</v>
      </c>
      <c r="AM364" s="118">
        <f t="shared" si="219"/>
        <v>0</v>
      </c>
      <c r="AN364" s="100">
        <f t="shared" si="220"/>
        <v>0</v>
      </c>
      <c r="AO364" s="100">
        <f t="shared" si="221"/>
        <v>0</v>
      </c>
      <c r="AP364" s="100">
        <f t="shared" si="222"/>
        <v>0</v>
      </c>
      <c r="AQ364" s="1">
        <f t="shared" si="223"/>
        <v>0</v>
      </c>
      <c r="AR364" s="100">
        <f t="shared" si="206"/>
        <v>0</v>
      </c>
      <c r="AS364" s="100">
        <f t="shared" si="207"/>
        <v>0</v>
      </c>
      <c r="AT364" s="100">
        <f t="shared" si="224"/>
        <v>0</v>
      </c>
      <c r="AU364" s="1">
        <f t="shared" si="208"/>
        <v>0</v>
      </c>
      <c r="AV364" s="100">
        <f t="shared" si="209"/>
        <v>0</v>
      </c>
    </row>
    <row r="365" spans="4:48">
      <c r="D365" s="39">
        <f t="shared" si="210"/>
        <v>357</v>
      </c>
      <c r="E365" s="40">
        <f t="shared" si="225"/>
        <v>2056</v>
      </c>
      <c r="F365" s="35">
        <f t="shared" si="226"/>
        <v>57069</v>
      </c>
      <c r="G365" s="36">
        <f t="shared" si="195"/>
        <v>3</v>
      </c>
      <c r="H365" s="41">
        <f t="shared" si="194"/>
        <v>31</v>
      </c>
      <c r="I365" s="37" t="s">
        <v>123</v>
      </c>
      <c r="J365" s="27">
        <f t="shared" si="211"/>
        <v>0</v>
      </c>
      <c r="K365" s="27">
        <f t="shared" si="200"/>
        <v>0</v>
      </c>
      <c r="L365" s="27">
        <f t="shared" si="212"/>
        <v>0</v>
      </c>
      <c r="M365" s="27">
        <f t="shared" si="201"/>
        <v>0</v>
      </c>
      <c r="N365" s="27">
        <f t="shared" si="202"/>
        <v>0</v>
      </c>
      <c r="P365" s="72" t="s">
        <v>123</v>
      </c>
      <c r="Q365" s="44">
        <f t="shared" ref="Q365:Q367" si="228">IF(P365="PI",IF(U364&lt;=0,0,U364),(IF(P365="IO",Q364,"")))*IF(U364&lt;=0,0,1)</f>
        <v>0</v>
      </c>
      <c r="R365" s="44">
        <f t="shared" si="196"/>
        <v>0</v>
      </c>
      <c r="S365" s="44">
        <f>IF(P365="IO",0,$R$6-R365)*IF(Q365&gt;0,1,0)</f>
        <v>0</v>
      </c>
      <c r="T365" s="44">
        <f>IF(P365="IO",$R$6-R365+IF(ISNUMBER(T364),T364,0),IF(ISNUMBER(T364),T364,0))</f>
        <v>0</v>
      </c>
      <c r="U365" s="43">
        <f t="shared" si="203"/>
        <v>0</v>
      </c>
      <c r="W365" s="72" t="s">
        <v>123</v>
      </c>
      <c r="X365" s="44">
        <f t="shared" si="213"/>
        <v>0</v>
      </c>
      <c r="Y365" s="44">
        <f t="shared" si="197"/>
        <v>0</v>
      </c>
      <c r="Z365" s="44">
        <f t="shared" si="214"/>
        <v>0</v>
      </c>
      <c r="AA365" s="44">
        <f t="shared" si="215"/>
        <v>0</v>
      </c>
      <c r="AB365" s="43">
        <f t="shared" si="204"/>
        <v>0</v>
      </c>
      <c r="AD365" s="72" t="s">
        <v>123</v>
      </c>
      <c r="AE365" s="44">
        <f t="shared" si="216"/>
        <v>0</v>
      </c>
      <c r="AF365" s="44">
        <f t="shared" si="198"/>
        <v>0</v>
      </c>
      <c r="AG365" s="44">
        <f t="shared" si="217"/>
        <v>0</v>
      </c>
      <c r="AH365" s="44">
        <f t="shared" si="218"/>
        <v>0</v>
      </c>
      <c r="AI365" s="43">
        <f t="shared" si="205"/>
        <v>0</v>
      </c>
      <c r="AK365" s="101">
        <f t="shared" si="227"/>
        <v>2056</v>
      </c>
      <c r="AL365" s="101">
        <f t="shared" si="199"/>
        <v>3</v>
      </c>
      <c r="AM365" s="118">
        <f t="shared" si="219"/>
        <v>0</v>
      </c>
      <c r="AN365" s="100">
        <f t="shared" si="220"/>
        <v>0</v>
      </c>
      <c r="AO365" s="100">
        <f t="shared" si="221"/>
        <v>0</v>
      </c>
      <c r="AP365" s="100">
        <f t="shared" si="222"/>
        <v>0</v>
      </c>
      <c r="AQ365" s="1">
        <f t="shared" si="223"/>
        <v>0</v>
      </c>
      <c r="AR365" s="100">
        <f t="shared" si="206"/>
        <v>0</v>
      </c>
      <c r="AS365" s="100">
        <f t="shared" si="207"/>
        <v>0</v>
      </c>
      <c r="AT365" s="100">
        <f t="shared" si="224"/>
        <v>0</v>
      </c>
      <c r="AU365" s="1">
        <f t="shared" si="208"/>
        <v>0</v>
      </c>
      <c r="AV365" s="100">
        <f t="shared" si="209"/>
        <v>0</v>
      </c>
    </row>
    <row r="366" spans="4:48">
      <c r="D366" s="39">
        <f t="shared" si="210"/>
        <v>358</v>
      </c>
      <c r="E366" s="40">
        <f>IF(MONTH(EDATE($E$5,D366))&lt;7,YEAR(EDATE($E$5,D366)),YEAR(EDATE($E$5,D366))+1)</f>
        <v>2056</v>
      </c>
      <c r="F366" s="35">
        <f>EDATE($E$5,D366)</f>
        <v>57100</v>
      </c>
      <c r="G366" s="36">
        <f t="shared" si="195"/>
        <v>4</v>
      </c>
      <c r="H366" s="41">
        <f t="shared" si="194"/>
        <v>30</v>
      </c>
      <c r="I366" s="37" t="s">
        <v>123</v>
      </c>
      <c r="J366" s="27">
        <f t="shared" si="211"/>
        <v>0</v>
      </c>
      <c r="K366" s="27">
        <f t="shared" si="200"/>
        <v>0</v>
      </c>
      <c r="L366" s="27">
        <f t="shared" si="212"/>
        <v>0</v>
      </c>
      <c r="M366" s="27">
        <f t="shared" si="201"/>
        <v>0</v>
      </c>
      <c r="N366" s="27">
        <f t="shared" si="202"/>
        <v>0</v>
      </c>
      <c r="P366" s="72" t="s">
        <v>123</v>
      </c>
      <c r="Q366" s="44">
        <f t="shared" si="228"/>
        <v>0</v>
      </c>
      <c r="R366" s="44">
        <f t="shared" si="196"/>
        <v>0</v>
      </c>
      <c r="S366" s="44">
        <f>IF(P366="IO",0,$R$6-R366)*IF(Q366&gt;0,1,0)</f>
        <v>0</v>
      </c>
      <c r="T366" s="44">
        <f>IF(P366="IO",$R$6-R366+IF(ISNUMBER(T365),T365,0),IF(ISNUMBER(T365),T365,0))</f>
        <v>0</v>
      </c>
      <c r="U366" s="43">
        <f t="shared" si="203"/>
        <v>0</v>
      </c>
      <c r="W366" s="72" t="s">
        <v>123</v>
      </c>
      <c r="X366" s="44">
        <f t="shared" si="213"/>
        <v>0</v>
      </c>
      <c r="Y366" s="44">
        <f t="shared" si="197"/>
        <v>0</v>
      </c>
      <c r="Z366" s="44">
        <f t="shared" si="214"/>
        <v>0</v>
      </c>
      <c r="AA366" s="44">
        <f t="shared" si="215"/>
        <v>0</v>
      </c>
      <c r="AB366" s="43">
        <f t="shared" si="204"/>
        <v>0</v>
      </c>
      <c r="AD366" s="72" t="s">
        <v>123</v>
      </c>
      <c r="AE366" s="44">
        <f t="shared" si="216"/>
        <v>0</v>
      </c>
      <c r="AF366" s="44">
        <f t="shared" si="198"/>
        <v>0</v>
      </c>
      <c r="AG366" s="44">
        <f t="shared" si="217"/>
        <v>0</v>
      </c>
      <c r="AH366" s="44">
        <f t="shared" si="218"/>
        <v>0</v>
      </c>
      <c r="AI366" s="43">
        <f t="shared" si="205"/>
        <v>0</v>
      </c>
      <c r="AK366" s="101">
        <f t="shared" si="227"/>
        <v>2056</v>
      </c>
      <c r="AL366" s="101">
        <f t="shared" si="199"/>
        <v>4</v>
      </c>
      <c r="AM366" s="118">
        <f t="shared" si="219"/>
        <v>0</v>
      </c>
      <c r="AN366" s="100">
        <f t="shared" si="220"/>
        <v>0</v>
      </c>
      <c r="AO366" s="100">
        <f t="shared" si="221"/>
        <v>0</v>
      </c>
      <c r="AP366" s="100">
        <f t="shared" si="222"/>
        <v>0</v>
      </c>
      <c r="AQ366" s="1">
        <f t="shared" si="223"/>
        <v>0</v>
      </c>
      <c r="AR366" s="100">
        <f t="shared" si="206"/>
        <v>0</v>
      </c>
      <c r="AS366" s="100">
        <f t="shared" si="207"/>
        <v>0</v>
      </c>
      <c r="AT366" s="100">
        <f t="shared" si="224"/>
        <v>0</v>
      </c>
      <c r="AU366" s="1">
        <f t="shared" si="208"/>
        <v>0</v>
      </c>
      <c r="AV366" s="100">
        <f t="shared" si="209"/>
        <v>0</v>
      </c>
    </row>
    <row r="367" spans="4:48">
      <c r="D367" s="39">
        <f t="shared" si="210"/>
        <v>359</v>
      </c>
      <c r="E367" s="40">
        <f t="shared" ref="E367" si="229">IF(MONTH(EDATE($E$5,D367))&lt;7,YEAR(EDATE($E$5,D367)),YEAR(EDATE($E$5,D367))+1)</f>
        <v>2056</v>
      </c>
      <c r="F367" s="35">
        <f t="shared" ref="F367" si="230">EDATE($E$5,D367)</f>
        <v>57130</v>
      </c>
      <c r="G367" s="36">
        <f t="shared" si="195"/>
        <v>5</v>
      </c>
      <c r="H367" s="41">
        <f t="shared" si="194"/>
        <v>31</v>
      </c>
      <c r="I367" s="37" t="s">
        <v>123</v>
      </c>
      <c r="J367" s="27">
        <f t="shared" si="211"/>
        <v>0</v>
      </c>
      <c r="K367" s="27">
        <f t="shared" si="200"/>
        <v>0</v>
      </c>
      <c r="L367" s="27">
        <f t="shared" si="212"/>
        <v>0</v>
      </c>
      <c r="M367" s="27">
        <f t="shared" si="201"/>
        <v>0</v>
      </c>
      <c r="N367" s="27">
        <f t="shared" si="202"/>
        <v>0</v>
      </c>
      <c r="P367" s="72" t="s">
        <v>123</v>
      </c>
      <c r="Q367" s="44">
        <f t="shared" si="228"/>
        <v>0</v>
      </c>
      <c r="R367" s="44">
        <f t="shared" si="196"/>
        <v>0</v>
      </c>
      <c r="S367" s="44">
        <f>IF(P367="IO",0,$R$6-R367)*IF(Q367&gt;0,1,0)</f>
        <v>0</v>
      </c>
      <c r="T367" s="44">
        <f>IF(P367="IO",$R$6-R367+IF(ISNUMBER(T366),T366,0),IF(ISNUMBER(T366),T366,0))</f>
        <v>0</v>
      </c>
      <c r="U367" s="43">
        <f t="shared" si="203"/>
        <v>0</v>
      </c>
      <c r="W367" s="72" t="s">
        <v>123</v>
      </c>
      <c r="X367" s="44">
        <f t="shared" si="213"/>
        <v>0</v>
      </c>
      <c r="Y367" s="44">
        <f t="shared" si="197"/>
        <v>0</v>
      </c>
      <c r="Z367" s="44">
        <f t="shared" si="214"/>
        <v>0</v>
      </c>
      <c r="AA367" s="44">
        <f t="shared" si="215"/>
        <v>0</v>
      </c>
      <c r="AB367" s="43">
        <f t="shared" si="204"/>
        <v>0</v>
      </c>
      <c r="AD367" s="72" t="s">
        <v>123</v>
      </c>
      <c r="AE367" s="44">
        <f t="shared" si="216"/>
        <v>0</v>
      </c>
      <c r="AF367" s="44">
        <f t="shared" si="198"/>
        <v>0</v>
      </c>
      <c r="AG367" s="44">
        <f t="shared" si="217"/>
        <v>0</v>
      </c>
      <c r="AH367" s="44">
        <f t="shared" si="218"/>
        <v>0</v>
      </c>
      <c r="AI367" s="43">
        <f t="shared" si="205"/>
        <v>0</v>
      </c>
      <c r="AK367" s="101">
        <f t="shared" si="227"/>
        <v>2056</v>
      </c>
      <c r="AL367" s="101">
        <f t="shared" si="199"/>
        <v>5</v>
      </c>
      <c r="AM367" s="118">
        <f t="shared" si="219"/>
        <v>0</v>
      </c>
      <c r="AN367" s="100">
        <f t="shared" si="220"/>
        <v>0</v>
      </c>
      <c r="AO367" s="100">
        <f t="shared" si="221"/>
        <v>0</v>
      </c>
      <c r="AP367" s="100">
        <f t="shared" si="222"/>
        <v>0</v>
      </c>
      <c r="AQ367" s="1">
        <f t="shared" si="223"/>
        <v>0</v>
      </c>
      <c r="AR367" s="100">
        <f t="shared" si="206"/>
        <v>0</v>
      </c>
      <c r="AS367" s="100">
        <f t="shared" si="207"/>
        <v>0</v>
      </c>
      <c r="AT367" s="100">
        <f t="shared" si="224"/>
        <v>0</v>
      </c>
      <c r="AU367" s="1">
        <f t="shared" si="208"/>
        <v>0</v>
      </c>
      <c r="AV367" s="100">
        <f t="shared" si="209"/>
        <v>0</v>
      </c>
    </row>
    <row r="368" spans="4:48">
      <c r="D368" s="39"/>
      <c r="E368" s="40"/>
      <c r="F368" s="35"/>
      <c r="G368" s="36"/>
      <c r="H368" s="41"/>
      <c r="I368" s="37"/>
      <c r="J368" s="38"/>
      <c r="K368" s="38"/>
      <c r="M368" s="71"/>
      <c r="P368" s="72"/>
      <c r="Q368" s="44"/>
      <c r="R368" s="44"/>
      <c r="S368" s="44"/>
      <c r="T368" s="44"/>
      <c r="U368" s="43"/>
      <c r="W368" s="72"/>
      <c r="X368" s="44"/>
      <c r="Y368" s="44"/>
      <c r="Z368" s="44"/>
      <c r="AA368" s="44"/>
      <c r="AB368" s="43"/>
      <c r="AD368" s="72"/>
      <c r="AE368" s="44"/>
      <c r="AF368" s="44"/>
      <c r="AG368" s="44"/>
      <c r="AH368" s="44"/>
      <c r="AI368" s="43"/>
      <c r="AK368" s="101"/>
      <c r="AL368" s="101"/>
      <c r="AM368" s="101"/>
      <c r="AN368" s="100"/>
      <c r="AO368" s="100"/>
      <c r="AP368" s="100"/>
      <c r="AQ368" s="100"/>
      <c r="AR368" s="100"/>
      <c r="AS368" s="100"/>
      <c r="AT368" s="100"/>
      <c r="AU368" s="100"/>
      <c r="AV368" s="100"/>
    </row>
  </sheetData>
  <mergeCells count="4">
    <mergeCell ref="I7:N7"/>
    <mergeCell ref="AD7:AI7"/>
    <mergeCell ref="W7:AB7"/>
    <mergeCell ref="P7:U7"/>
  </mergeCells>
  <pageMargins left="0.7" right="0.7" top="0.75" bottom="0.75" header="0.3" footer="0.3"/>
  <pageSetup orientation="portrait" r:id="rId8"/>
  <headerFooter>
    <oddFooter>&amp;L&amp;1#&amp;"Arial"&amp;9&amp;K000000</oddFooter>
  </headerFooter>
  <legacyDrawing r:id="rId9"/>
  <tableParts count="1">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1" sqref="B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I23"/>
  <sheetViews>
    <sheetView topLeftCell="Z1" zoomScale="85" zoomScaleNormal="85" workbookViewId="0">
      <selection activeCell="AE35" sqref="AE35"/>
    </sheetView>
  </sheetViews>
  <sheetFormatPr defaultColWidth="17.26953125" defaultRowHeight="17" customHeight="1"/>
  <cols>
    <col min="1" max="29" width="17.26953125" style="136"/>
    <col min="30" max="30" width="27" style="136" customWidth="1"/>
    <col min="31" max="16384" width="17.26953125" style="136"/>
  </cols>
  <sheetData>
    <row r="1" spans="2:35" ht="17" customHeight="1" thickBot="1">
      <c r="B1" s="135">
        <v>45413</v>
      </c>
      <c r="I1" s="135">
        <v>45717</v>
      </c>
      <c r="P1" s="135">
        <v>45992</v>
      </c>
      <c r="W1" s="135">
        <v>46204</v>
      </c>
    </row>
    <row r="2" spans="2:35" ht="17" customHeight="1">
      <c r="B2" s="137" t="s">
        <v>3</v>
      </c>
      <c r="C2" s="146" t="s">
        <v>201</v>
      </c>
      <c r="D2" s="146" t="s">
        <v>128</v>
      </c>
      <c r="E2" s="146" t="s">
        <v>202</v>
      </c>
      <c r="F2" s="146" t="s">
        <v>203</v>
      </c>
      <c r="G2" s="146" t="s">
        <v>204</v>
      </c>
      <c r="I2" s="137" t="s">
        <v>3</v>
      </c>
      <c r="J2" s="146" t="s">
        <v>201</v>
      </c>
      <c r="K2" s="146" t="s">
        <v>128</v>
      </c>
      <c r="L2" s="146" t="s">
        <v>202</v>
      </c>
      <c r="M2" s="146" t="s">
        <v>203</v>
      </c>
      <c r="N2" s="146" t="s">
        <v>204</v>
      </c>
      <c r="P2" s="137" t="s">
        <v>3</v>
      </c>
      <c r="Q2" s="146" t="s">
        <v>201</v>
      </c>
      <c r="R2" s="146" t="s">
        <v>128</v>
      </c>
      <c r="S2" s="146" t="s">
        <v>202</v>
      </c>
      <c r="T2" s="146" t="s">
        <v>203</v>
      </c>
      <c r="U2" s="146" t="s">
        <v>204</v>
      </c>
      <c r="W2" s="137" t="s">
        <v>3</v>
      </c>
      <c r="X2" s="146" t="s">
        <v>201</v>
      </c>
      <c r="Y2" s="146" t="s">
        <v>128</v>
      </c>
      <c r="Z2" s="146" t="s">
        <v>202</v>
      </c>
      <c r="AA2" s="146" t="s">
        <v>203</v>
      </c>
      <c r="AB2" s="146" t="s">
        <v>204</v>
      </c>
      <c r="AD2" s="137" t="s">
        <v>3</v>
      </c>
      <c r="AE2" s="146" t="s">
        <v>201</v>
      </c>
      <c r="AF2" s="146" t="s">
        <v>128</v>
      </c>
      <c r="AG2" s="146" t="s">
        <v>202</v>
      </c>
      <c r="AH2" s="146" t="s">
        <v>203</v>
      </c>
      <c r="AI2" s="146" t="s">
        <v>204</v>
      </c>
    </row>
    <row r="3" spans="2:35" ht="17" customHeight="1" thickBot="1">
      <c r="B3" s="138" t="s">
        <v>200</v>
      </c>
      <c r="C3" s="147"/>
      <c r="D3" s="147"/>
      <c r="E3" s="147"/>
      <c r="F3" s="147"/>
      <c r="G3" s="147"/>
      <c r="I3" s="138" t="s">
        <v>200</v>
      </c>
      <c r="J3" s="147"/>
      <c r="K3" s="147"/>
      <c r="L3" s="147"/>
      <c r="M3" s="147"/>
      <c r="N3" s="147"/>
      <c r="P3" s="138" t="s">
        <v>200</v>
      </c>
      <c r="Q3" s="147"/>
      <c r="R3" s="147"/>
      <c r="S3" s="147"/>
      <c r="T3" s="147"/>
      <c r="U3" s="147"/>
      <c r="W3" s="138" t="s">
        <v>200</v>
      </c>
      <c r="X3" s="147"/>
      <c r="Y3" s="147"/>
      <c r="Z3" s="147"/>
      <c r="AA3" s="147"/>
      <c r="AB3" s="147"/>
      <c r="AD3" s="138" t="s">
        <v>200</v>
      </c>
      <c r="AE3" s="147"/>
      <c r="AF3" s="147"/>
      <c r="AG3" s="147"/>
      <c r="AH3" s="147"/>
      <c r="AI3" s="147"/>
    </row>
    <row r="4" spans="2:35" ht="17" customHeight="1" thickBot="1">
      <c r="B4" s="139" t="s">
        <v>31</v>
      </c>
      <c r="C4" s="140"/>
      <c r="D4" s="140">
        <v>701000</v>
      </c>
      <c r="E4" s="140" t="s">
        <v>10</v>
      </c>
      <c r="F4" s="140"/>
      <c r="G4" s="140"/>
      <c r="I4" s="139" t="s">
        <v>31</v>
      </c>
      <c r="J4" s="140"/>
      <c r="K4" s="140">
        <v>740000</v>
      </c>
      <c r="L4" s="140" t="s">
        <v>10</v>
      </c>
      <c r="M4" s="140"/>
      <c r="N4" s="140"/>
      <c r="P4" s="139" t="s">
        <v>31</v>
      </c>
      <c r="Q4" s="140"/>
      <c r="R4" s="140">
        <v>740000</v>
      </c>
      <c r="S4" s="140" t="s">
        <v>10</v>
      </c>
      <c r="T4" s="140"/>
      <c r="U4" s="140"/>
      <c r="W4" s="139" t="s">
        <v>31</v>
      </c>
      <c r="X4" s="140"/>
      <c r="Y4" s="140">
        <v>740000</v>
      </c>
      <c r="Z4" s="140" t="s">
        <v>10</v>
      </c>
      <c r="AA4" s="140"/>
      <c r="AB4" s="140"/>
      <c r="AD4" s="139" t="s">
        <v>31</v>
      </c>
      <c r="AE4" s="140"/>
      <c r="AF4" s="140">
        <v>850000</v>
      </c>
      <c r="AG4" s="140" t="s">
        <v>10</v>
      </c>
      <c r="AH4" s="140"/>
      <c r="AI4" s="140"/>
    </row>
    <row r="5" spans="2:35" ht="17" customHeight="1" thickBot="1">
      <c r="B5" s="139" t="s">
        <v>32</v>
      </c>
      <c r="C5" s="140"/>
      <c r="D5" s="140">
        <v>570000</v>
      </c>
      <c r="E5" s="140" t="s">
        <v>10</v>
      </c>
      <c r="F5" s="140"/>
      <c r="G5" s="140"/>
      <c r="I5" s="139" t="s">
        <v>32</v>
      </c>
      <c r="J5" s="140"/>
      <c r="K5" s="140">
        <v>570000</v>
      </c>
      <c r="L5" s="140" t="s">
        <v>10</v>
      </c>
      <c r="M5" s="140"/>
      <c r="N5" s="140"/>
      <c r="P5" s="139" t="s">
        <v>32</v>
      </c>
      <c r="Q5" s="140"/>
      <c r="R5" s="140">
        <v>570000</v>
      </c>
      <c r="S5" s="140" t="s">
        <v>10</v>
      </c>
      <c r="T5" s="140"/>
      <c r="U5" s="140"/>
      <c r="W5" s="139" t="s">
        <v>32</v>
      </c>
      <c r="X5" s="140"/>
      <c r="Y5" s="140">
        <v>570000</v>
      </c>
      <c r="Z5" s="140" t="s">
        <v>10</v>
      </c>
      <c r="AA5" s="140"/>
      <c r="AB5" s="140"/>
      <c r="AD5" s="139" t="s">
        <v>32</v>
      </c>
      <c r="AE5" s="140"/>
      <c r="AF5" s="140">
        <v>565000</v>
      </c>
      <c r="AG5" s="140" t="s">
        <v>10</v>
      </c>
      <c r="AH5" s="140"/>
      <c r="AI5" s="140"/>
    </row>
    <row r="6" spans="2:35" ht="17" customHeight="1" thickBot="1">
      <c r="B6" s="139" t="s">
        <v>33</v>
      </c>
      <c r="C6" s="140"/>
      <c r="D6" s="140">
        <v>500000</v>
      </c>
      <c r="E6" s="140" t="s">
        <v>10</v>
      </c>
      <c r="F6" s="140"/>
      <c r="G6" s="140"/>
      <c r="I6" s="139" t="s">
        <v>33</v>
      </c>
      <c r="J6" s="140"/>
      <c r="K6" s="140">
        <v>500000</v>
      </c>
      <c r="L6" s="140" t="s">
        <v>10</v>
      </c>
      <c r="M6" s="140"/>
      <c r="N6" s="140"/>
      <c r="P6" s="139" t="s">
        <v>33</v>
      </c>
      <c r="Q6" s="140"/>
      <c r="R6" s="140">
        <v>500000</v>
      </c>
      <c r="S6" s="140" t="s">
        <v>10</v>
      </c>
      <c r="T6" s="140"/>
      <c r="U6" s="140"/>
      <c r="W6" s="139" t="s">
        <v>33</v>
      </c>
      <c r="X6" s="140"/>
      <c r="Y6" s="140">
        <v>500000</v>
      </c>
      <c r="Z6" s="140" t="s">
        <v>10</v>
      </c>
      <c r="AA6" s="140"/>
      <c r="AB6" s="140"/>
      <c r="AD6" s="139" t="s">
        <v>33</v>
      </c>
      <c r="AE6" s="140"/>
      <c r="AF6" s="140">
        <v>515000</v>
      </c>
      <c r="AG6" s="140" t="s">
        <v>10</v>
      </c>
      <c r="AH6" s="140"/>
      <c r="AI6" s="140"/>
    </row>
    <row r="7" spans="2:35" ht="17" customHeight="1" thickBot="1">
      <c r="B7" s="139" t="s">
        <v>34</v>
      </c>
      <c r="C7" s="140"/>
      <c r="D7" s="140">
        <v>960000</v>
      </c>
      <c r="E7" s="140" t="s">
        <v>18</v>
      </c>
      <c r="F7" s="140"/>
      <c r="G7" s="140"/>
      <c r="I7" s="139" t="s">
        <v>34</v>
      </c>
      <c r="J7" s="140"/>
      <c r="K7" s="140">
        <v>960000</v>
      </c>
      <c r="L7" s="140" t="s">
        <v>18</v>
      </c>
      <c r="M7" s="140"/>
      <c r="N7" s="140"/>
      <c r="P7" s="139" t="s">
        <v>34</v>
      </c>
      <c r="Q7" s="140"/>
      <c r="R7" s="140">
        <v>960000</v>
      </c>
      <c r="S7" s="140" t="s">
        <v>18</v>
      </c>
      <c r="T7" s="140"/>
      <c r="U7" s="140"/>
      <c r="W7" s="139" t="s">
        <v>34</v>
      </c>
      <c r="X7" s="140"/>
      <c r="Y7" s="140">
        <v>960000</v>
      </c>
      <c r="Z7" s="140" t="s">
        <v>18</v>
      </c>
      <c r="AA7" s="140"/>
      <c r="AB7" s="140"/>
      <c r="AD7" s="139" t="s">
        <v>34</v>
      </c>
      <c r="AE7" s="140"/>
      <c r="AF7" s="140">
        <v>1200000</v>
      </c>
      <c r="AG7" s="140" t="s">
        <v>18</v>
      </c>
      <c r="AH7" s="140"/>
      <c r="AI7" s="140"/>
    </row>
    <row r="8" spans="2:35" ht="17" customHeight="1" thickBot="1">
      <c r="B8" s="139" t="s">
        <v>205</v>
      </c>
      <c r="C8" s="140"/>
      <c r="D8" s="140">
        <v>33406</v>
      </c>
      <c r="E8" s="140" t="s">
        <v>10</v>
      </c>
      <c r="F8" s="141">
        <v>41791</v>
      </c>
      <c r="G8" s="140"/>
      <c r="I8" s="139" t="s">
        <v>205</v>
      </c>
      <c r="J8" s="140"/>
      <c r="K8" s="140">
        <v>33406</v>
      </c>
      <c r="L8" s="140" t="s">
        <v>10</v>
      </c>
      <c r="M8" s="141">
        <v>41791</v>
      </c>
      <c r="N8" s="140"/>
      <c r="P8" s="139" t="s">
        <v>205</v>
      </c>
      <c r="Q8" s="140"/>
      <c r="R8" s="140">
        <v>33406</v>
      </c>
      <c r="S8" s="140" t="s">
        <v>10</v>
      </c>
      <c r="T8" s="141">
        <v>41791</v>
      </c>
      <c r="U8" s="140"/>
      <c r="W8" s="139" t="s">
        <v>205</v>
      </c>
      <c r="X8" s="140"/>
      <c r="Y8" s="140">
        <v>33406</v>
      </c>
      <c r="Z8" s="140" t="s">
        <v>10</v>
      </c>
      <c r="AA8" s="141">
        <v>41791</v>
      </c>
      <c r="AB8" s="140"/>
      <c r="AD8" s="139" t="s">
        <v>215</v>
      </c>
      <c r="AE8" s="140"/>
      <c r="AF8" s="140">
        <v>51148.45</v>
      </c>
      <c r="AG8" s="140" t="s">
        <v>10</v>
      </c>
      <c r="AH8" s="141">
        <v>41791</v>
      </c>
      <c r="AI8" s="140"/>
    </row>
    <row r="9" spans="2:35" ht="17" customHeight="1" thickBot="1">
      <c r="B9" s="139" t="s">
        <v>206</v>
      </c>
      <c r="C9" s="140"/>
      <c r="D9" s="140">
        <v>16281</v>
      </c>
      <c r="E9" s="140" t="s">
        <v>207</v>
      </c>
      <c r="F9" s="140"/>
      <c r="G9" s="140"/>
      <c r="I9" s="139" t="s">
        <v>206</v>
      </c>
      <c r="J9" s="140"/>
      <c r="K9" s="140">
        <v>16281</v>
      </c>
      <c r="L9" s="140" t="s">
        <v>207</v>
      </c>
      <c r="M9" s="140"/>
      <c r="N9" s="140"/>
      <c r="P9" s="139" t="s">
        <v>206</v>
      </c>
      <c r="Q9" s="140"/>
      <c r="R9" s="140">
        <v>16281</v>
      </c>
      <c r="S9" s="140" t="s">
        <v>207</v>
      </c>
      <c r="T9" s="140"/>
      <c r="U9" s="140"/>
      <c r="W9" s="139" t="s">
        <v>206</v>
      </c>
      <c r="X9" s="140"/>
      <c r="Y9" s="140">
        <v>16281</v>
      </c>
      <c r="Z9" s="140" t="s">
        <v>207</v>
      </c>
      <c r="AA9" s="140"/>
      <c r="AB9" s="140"/>
      <c r="AD9" s="139" t="s">
        <v>54</v>
      </c>
      <c r="AE9" s="140"/>
      <c r="AF9" s="140">
        <v>6617</v>
      </c>
      <c r="AG9" s="140" t="s">
        <v>207</v>
      </c>
      <c r="AH9" s="140"/>
      <c r="AI9" s="140"/>
    </row>
    <row r="10" spans="2:35" ht="17" customHeight="1" thickBot="1">
      <c r="B10" s="139" t="s">
        <v>54</v>
      </c>
      <c r="C10" s="140"/>
      <c r="D10" s="140">
        <v>4628</v>
      </c>
      <c r="E10" s="140" t="s">
        <v>207</v>
      </c>
      <c r="F10" s="140"/>
      <c r="G10" s="140"/>
      <c r="I10" s="139" t="s">
        <v>54</v>
      </c>
      <c r="J10" s="140"/>
      <c r="K10" s="140">
        <v>4628</v>
      </c>
      <c r="L10" s="140" t="s">
        <v>207</v>
      </c>
      <c r="M10" s="140"/>
      <c r="N10" s="140"/>
      <c r="P10" s="139" t="s">
        <v>54</v>
      </c>
      <c r="Q10" s="140"/>
      <c r="R10" s="140">
        <v>4628</v>
      </c>
      <c r="S10" s="140" t="s">
        <v>207</v>
      </c>
      <c r="T10" s="140"/>
      <c r="U10" s="140"/>
      <c r="W10" s="139" t="s">
        <v>54</v>
      </c>
      <c r="X10" s="140"/>
      <c r="Y10" s="140">
        <v>4628</v>
      </c>
      <c r="Z10" s="140" t="s">
        <v>207</v>
      </c>
      <c r="AA10" s="140"/>
      <c r="AB10" s="140"/>
      <c r="AD10" s="139" t="s">
        <v>9</v>
      </c>
      <c r="AE10" s="140"/>
      <c r="AF10" s="140">
        <v>38331.49</v>
      </c>
      <c r="AG10" s="140" t="s">
        <v>207</v>
      </c>
      <c r="AH10" s="140"/>
      <c r="AI10" s="140"/>
    </row>
    <row r="11" spans="2:35" ht="17" customHeight="1" thickBot="1">
      <c r="B11" s="139" t="s">
        <v>208</v>
      </c>
      <c r="C11" s="140"/>
      <c r="D11" s="140">
        <v>1076</v>
      </c>
      <c r="E11" s="140" t="s">
        <v>207</v>
      </c>
      <c r="F11" s="140"/>
      <c r="G11" s="140"/>
      <c r="I11" s="139" t="s">
        <v>208</v>
      </c>
      <c r="J11" s="140"/>
      <c r="K11" s="140">
        <v>1076</v>
      </c>
      <c r="L11" s="140" t="s">
        <v>207</v>
      </c>
      <c r="M11" s="140"/>
      <c r="N11" s="140"/>
      <c r="P11" s="139" t="s">
        <v>208</v>
      </c>
      <c r="Q11" s="140"/>
      <c r="R11" s="140">
        <v>1076</v>
      </c>
      <c r="S11" s="140" t="s">
        <v>207</v>
      </c>
      <c r="T11" s="140"/>
      <c r="U11" s="140"/>
      <c r="W11" s="139" t="s">
        <v>208</v>
      </c>
      <c r="X11" s="140"/>
      <c r="Y11" s="140">
        <v>1076</v>
      </c>
      <c r="Z11" s="140" t="s">
        <v>207</v>
      </c>
      <c r="AA11" s="140"/>
      <c r="AB11" s="140"/>
      <c r="AD11" s="139" t="s">
        <v>11</v>
      </c>
      <c r="AE11" s="140"/>
      <c r="AF11" s="140">
        <v>60679.23</v>
      </c>
      <c r="AG11" s="140" t="s">
        <v>10</v>
      </c>
      <c r="AH11" s="140"/>
      <c r="AI11" s="140"/>
    </row>
    <row r="12" spans="2:35" ht="17" customHeight="1" thickBot="1">
      <c r="B12" s="139" t="s">
        <v>11</v>
      </c>
      <c r="C12" s="140"/>
      <c r="D12" s="140">
        <v>40600</v>
      </c>
      <c r="E12" s="140" t="s">
        <v>10</v>
      </c>
      <c r="F12" s="140"/>
      <c r="G12" s="140"/>
      <c r="I12" s="139" t="s">
        <v>11</v>
      </c>
      <c r="J12" s="140"/>
      <c r="K12" s="140">
        <v>83053</v>
      </c>
      <c r="L12" s="140" t="s">
        <v>10</v>
      </c>
      <c r="M12" s="140"/>
      <c r="N12" s="140"/>
      <c r="P12" s="139" t="s">
        <v>11</v>
      </c>
      <c r="Q12" s="140"/>
      <c r="R12" s="140">
        <v>83053</v>
      </c>
      <c r="S12" s="140" t="s">
        <v>10</v>
      </c>
      <c r="T12" s="140"/>
      <c r="U12" s="140"/>
      <c r="W12" s="139" t="s">
        <v>11</v>
      </c>
      <c r="X12" s="140"/>
      <c r="Y12" s="140">
        <v>83053</v>
      </c>
      <c r="Z12" s="140" t="s">
        <v>10</v>
      </c>
      <c r="AA12" s="140"/>
      <c r="AB12" s="140"/>
      <c r="AD12" s="139" t="s">
        <v>12</v>
      </c>
      <c r="AE12" s="140"/>
      <c r="AF12" s="140">
        <v>21747.040000000001</v>
      </c>
      <c r="AG12" s="140" t="s">
        <v>10</v>
      </c>
      <c r="AH12" s="140"/>
      <c r="AI12" s="140"/>
    </row>
    <row r="13" spans="2:35" ht="17" customHeight="1" thickBot="1">
      <c r="B13" s="139" t="s">
        <v>12</v>
      </c>
      <c r="C13" s="140"/>
      <c r="D13" s="140">
        <v>25994</v>
      </c>
      <c r="E13" s="140" t="s">
        <v>10</v>
      </c>
      <c r="F13" s="140"/>
      <c r="G13" s="140"/>
      <c r="I13" s="139" t="s">
        <v>12</v>
      </c>
      <c r="J13" s="140"/>
      <c r="K13" s="140">
        <v>24321</v>
      </c>
      <c r="L13" s="140" t="s">
        <v>10</v>
      </c>
      <c r="M13" s="140"/>
      <c r="N13" s="140"/>
      <c r="P13" s="139" t="s">
        <v>12</v>
      </c>
      <c r="Q13" s="140"/>
      <c r="R13" s="140">
        <v>24321</v>
      </c>
      <c r="S13" s="140" t="s">
        <v>10</v>
      </c>
      <c r="T13" s="140"/>
      <c r="U13" s="140"/>
      <c r="W13" s="139" t="s">
        <v>12</v>
      </c>
      <c r="X13" s="140"/>
      <c r="Y13" s="140">
        <v>24321</v>
      </c>
      <c r="Z13" s="140" t="s">
        <v>10</v>
      </c>
      <c r="AA13" s="140"/>
      <c r="AB13" s="140"/>
      <c r="AD13" s="139" t="s">
        <v>13</v>
      </c>
      <c r="AE13" s="140"/>
      <c r="AF13" s="140">
        <v>936.68</v>
      </c>
      <c r="AG13" s="140" t="s">
        <v>209</v>
      </c>
      <c r="AH13" s="140"/>
      <c r="AI13" s="140"/>
    </row>
    <row r="14" spans="2:35" ht="17" customHeight="1" thickBot="1">
      <c r="B14" s="139" t="s">
        <v>13</v>
      </c>
      <c r="C14" s="140"/>
      <c r="D14" s="140">
        <v>167</v>
      </c>
      <c r="E14" s="140" t="s">
        <v>209</v>
      </c>
      <c r="F14" s="140"/>
      <c r="G14" s="140"/>
      <c r="I14" s="139" t="s">
        <v>13</v>
      </c>
      <c r="J14" s="140"/>
      <c r="K14" s="140">
        <v>167</v>
      </c>
      <c r="L14" s="140" t="s">
        <v>209</v>
      </c>
      <c r="M14" s="140"/>
      <c r="N14" s="140"/>
      <c r="P14" s="139" t="s">
        <v>13</v>
      </c>
      <c r="Q14" s="140"/>
      <c r="R14" s="140">
        <v>167</v>
      </c>
      <c r="S14" s="140" t="s">
        <v>209</v>
      </c>
      <c r="T14" s="140"/>
      <c r="U14" s="140"/>
      <c r="W14" s="139" t="s">
        <v>13</v>
      </c>
      <c r="X14" s="140"/>
      <c r="Y14" s="140">
        <v>167</v>
      </c>
      <c r="Z14" s="140" t="s">
        <v>209</v>
      </c>
      <c r="AA14" s="140"/>
      <c r="AB14" s="140"/>
      <c r="AD14" s="139" t="s">
        <v>55</v>
      </c>
      <c r="AE14" s="140"/>
      <c r="AF14" s="140">
        <v>30123</v>
      </c>
      <c r="AG14" s="140" t="s">
        <v>207</v>
      </c>
      <c r="AH14" s="140"/>
      <c r="AI14" s="140"/>
    </row>
    <row r="15" spans="2:35" ht="17" customHeight="1" thickBot="1">
      <c r="B15" s="139" t="s">
        <v>210</v>
      </c>
      <c r="C15" s="140"/>
      <c r="D15" s="140">
        <v>3000</v>
      </c>
      <c r="E15" s="140" t="s">
        <v>209</v>
      </c>
      <c r="F15" s="140"/>
      <c r="G15" s="140"/>
      <c r="I15" s="139" t="s">
        <v>211</v>
      </c>
      <c r="J15" s="140"/>
      <c r="K15" s="140">
        <v>3402</v>
      </c>
      <c r="L15" s="140" t="s">
        <v>207</v>
      </c>
      <c r="M15" s="140"/>
      <c r="N15" s="140"/>
      <c r="P15" s="139" t="s">
        <v>211</v>
      </c>
      <c r="Q15" s="140"/>
      <c r="R15" s="140">
        <v>3402</v>
      </c>
      <c r="S15" s="140" t="s">
        <v>207</v>
      </c>
      <c r="T15" s="140"/>
      <c r="U15" s="140"/>
      <c r="W15" s="139" t="s">
        <v>211</v>
      </c>
      <c r="X15" s="140"/>
      <c r="Y15" s="140">
        <v>3402</v>
      </c>
      <c r="Z15" s="140" t="s">
        <v>207</v>
      </c>
      <c r="AA15" s="140"/>
      <c r="AB15" s="140"/>
      <c r="AD15" s="139" t="s">
        <v>56</v>
      </c>
      <c r="AE15" s="140"/>
      <c r="AF15" s="140">
        <v>325</v>
      </c>
      <c r="AG15" s="140" t="s">
        <v>207</v>
      </c>
      <c r="AH15" s="141">
        <v>42265</v>
      </c>
      <c r="AI15" s="140"/>
    </row>
    <row r="16" spans="2:35" ht="17" customHeight="1" thickBot="1">
      <c r="B16" s="139" t="s">
        <v>211</v>
      </c>
      <c r="C16" s="140"/>
      <c r="D16" s="140">
        <v>3402</v>
      </c>
      <c r="E16" s="140" t="s">
        <v>207</v>
      </c>
      <c r="F16" s="140"/>
      <c r="G16" s="140"/>
      <c r="I16" s="139" t="s">
        <v>56</v>
      </c>
      <c r="J16" s="140"/>
      <c r="K16" s="140">
        <v>243</v>
      </c>
      <c r="L16" s="140" t="s">
        <v>207</v>
      </c>
      <c r="M16" s="141">
        <v>42265</v>
      </c>
      <c r="N16" s="140"/>
      <c r="P16" s="139" t="s">
        <v>56</v>
      </c>
      <c r="Q16" s="140"/>
      <c r="R16" s="140">
        <v>243</v>
      </c>
      <c r="S16" s="140" t="s">
        <v>207</v>
      </c>
      <c r="T16" s="141">
        <v>42265</v>
      </c>
      <c r="U16" s="140"/>
      <c r="W16" s="139" t="s">
        <v>56</v>
      </c>
      <c r="X16" s="140"/>
      <c r="Y16" s="140">
        <v>243</v>
      </c>
      <c r="Z16" s="140" t="s">
        <v>207</v>
      </c>
      <c r="AA16" s="141">
        <v>42265</v>
      </c>
      <c r="AB16" s="140"/>
      <c r="AD16" s="139" t="s">
        <v>14</v>
      </c>
      <c r="AE16" s="140"/>
      <c r="AF16" s="140">
        <v>3323</v>
      </c>
      <c r="AG16" s="140" t="s">
        <v>209</v>
      </c>
      <c r="AH16" s="140"/>
      <c r="AI16" s="140"/>
    </row>
    <row r="17" spans="2:35" ht="17" customHeight="1" thickBot="1">
      <c r="B17" s="139" t="s">
        <v>56</v>
      </c>
      <c r="C17" s="140"/>
      <c r="D17" s="140">
        <v>243</v>
      </c>
      <c r="E17" s="140" t="s">
        <v>207</v>
      </c>
      <c r="F17" s="141">
        <v>42265</v>
      </c>
      <c r="G17" s="140"/>
      <c r="I17" s="139" t="s">
        <v>14</v>
      </c>
      <c r="J17" s="140"/>
      <c r="K17" s="140">
        <v>3323</v>
      </c>
      <c r="L17" s="140" t="s">
        <v>209</v>
      </c>
      <c r="M17" s="140"/>
      <c r="N17" s="140"/>
      <c r="P17" s="139" t="s">
        <v>14</v>
      </c>
      <c r="Q17" s="140"/>
      <c r="R17" s="140">
        <v>3323</v>
      </c>
      <c r="S17" s="140" t="s">
        <v>209</v>
      </c>
      <c r="T17" s="140"/>
      <c r="U17" s="140"/>
      <c r="W17" s="139" t="s">
        <v>14</v>
      </c>
      <c r="X17" s="140"/>
      <c r="Y17" s="140">
        <v>3323</v>
      </c>
      <c r="Z17" s="140" t="s">
        <v>209</v>
      </c>
      <c r="AA17" s="140"/>
      <c r="AB17" s="140"/>
      <c r="AD17" s="139" t="s">
        <v>16</v>
      </c>
      <c r="AE17" s="140"/>
      <c r="AF17" s="140">
        <v>47864.37</v>
      </c>
      <c r="AG17" s="140" t="s">
        <v>15</v>
      </c>
      <c r="AH17" s="140"/>
      <c r="AI17" s="140"/>
    </row>
    <row r="18" spans="2:35" ht="17" customHeight="1" thickBot="1">
      <c r="B18" s="139" t="s">
        <v>212</v>
      </c>
      <c r="C18" s="140"/>
      <c r="D18" s="140">
        <v>176000</v>
      </c>
      <c r="E18" s="140" t="s">
        <v>207</v>
      </c>
      <c r="F18" s="140"/>
      <c r="G18" s="140"/>
      <c r="I18" s="139" t="s">
        <v>214</v>
      </c>
      <c r="J18" s="140"/>
      <c r="K18" s="140">
        <v>12502</v>
      </c>
      <c r="L18" s="140" t="s">
        <v>10</v>
      </c>
      <c r="M18" s="140"/>
      <c r="N18" s="140"/>
      <c r="P18" s="139" t="s">
        <v>214</v>
      </c>
      <c r="Q18" s="140"/>
      <c r="R18" s="140">
        <v>12502</v>
      </c>
      <c r="S18" s="140" t="s">
        <v>10</v>
      </c>
      <c r="T18" s="140"/>
      <c r="U18" s="140"/>
      <c r="W18" s="139" t="s">
        <v>214</v>
      </c>
      <c r="X18" s="140"/>
      <c r="Y18" s="140">
        <v>12502</v>
      </c>
      <c r="Z18" s="140" t="s">
        <v>10</v>
      </c>
      <c r="AA18" s="140"/>
      <c r="AB18" s="140"/>
      <c r="AD18" s="139" t="s">
        <v>17</v>
      </c>
      <c r="AE18" s="140"/>
      <c r="AF18" s="140">
        <v>36081.46</v>
      </c>
      <c r="AG18" s="140" t="s">
        <v>10</v>
      </c>
      <c r="AH18" s="140"/>
      <c r="AI18" s="140"/>
    </row>
    <row r="19" spans="2:35" ht="17" customHeight="1" thickBot="1">
      <c r="B19" s="139" t="s">
        <v>213</v>
      </c>
      <c r="C19" s="140"/>
      <c r="D19" s="140">
        <v>175000</v>
      </c>
      <c r="E19" s="140" t="s">
        <v>207</v>
      </c>
      <c r="F19" s="140"/>
      <c r="G19" s="140"/>
      <c r="I19" s="139" t="s">
        <v>212</v>
      </c>
      <c r="J19" s="140"/>
      <c r="K19" s="140">
        <v>185769</v>
      </c>
      <c r="L19" s="140" t="s">
        <v>207</v>
      </c>
      <c r="M19" s="140"/>
      <c r="N19" s="140"/>
      <c r="P19" s="139" t="s">
        <v>212</v>
      </c>
      <c r="Q19" s="140"/>
      <c r="R19" s="140">
        <v>185769</v>
      </c>
      <c r="S19" s="140" t="s">
        <v>207</v>
      </c>
      <c r="T19" s="140"/>
      <c r="U19" s="140"/>
      <c r="W19" s="139" t="s">
        <v>212</v>
      </c>
      <c r="X19" s="140"/>
      <c r="Y19" s="140">
        <v>185769</v>
      </c>
      <c r="Z19" s="140" t="s">
        <v>207</v>
      </c>
      <c r="AA19" s="140"/>
      <c r="AB19" s="140"/>
      <c r="AD19" s="139" t="s">
        <v>19</v>
      </c>
      <c r="AE19" s="140"/>
      <c r="AF19" s="140">
        <v>979.42</v>
      </c>
      <c r="AG19" s="140" t="s">
        <v>18</v>
      </c>
      <c r="AH19" s="140"/>
      <c r="AI19" s="140"/>
    </row>
    <row r="20" spans="2:35" ht="17" customHeight="1" thickBot="1">
      <c r="B20" s="139"/>
      <c r="C20" s="140"/>
      <c r="D20" s="140"/>
      <c r="E20" s="140"/>
      <c r="F20" s="140"/>
      <c r="G20" s="140"/>
      <c r="I20" s="139" t="s">
        <v>213</v>
      </c>
      <c r="J20" s="140"/>
      <c r="K20" s="140">
        <v>184799</v>
      </c>
      <c r="L20" s="140" t="s">
        <v>207</v>
      </c>
      <c r="M20" s="140"/>
      <c r="N20" s="140"/>
      <c r="P20" s="139" t="s">
        <v>213</v>
      </c>
      <c r="Q20" s="140"/>
      <c r="R20" s="140">
        <v>184799</v>
      </c>
      <c r="S20" s="140" t="s">
        <v>207</v>
      </c>
      <c r="T20" s="140"/>
      <c r="U20" s="140"/>
      <c r="W20" s="139" t="s">
        <v>213</v>
      </c>
      <c r="X20" s="140"/>
      <c r="Y20" s="140">
        <v>184799</v>
      </c>
      <c r="Z20" s="140" t="s">
        <v>207</v>
      </c>
      <c r="AA20" s="140"/>
      <c r="AB20" s="140"/>
      <c r="AD20" s="139" t="s">
        <v>216</v>
      </c>
      <c r="AE20" s="140"/>
      <c r="AF20" s="140"/>
      <c r="AG20" s="140"/>
      <c r="AH20" s="140"/>
      <c r="AI20" s="140"/>
    </row>
    <row r="21" spans="2:35" ht="17" customHeight="1" thickBot="1">
      <c r="I21" s="139"/>
      <c r="J21" s="140"/>
      <c r="K21" s="140"/>
      <c r="L21" s="140"/>
      <c r="M21" s="140"/>
      <c r="N21" s="140"/>
      <c r="P21" s="139"/>
      <c r="Q21" s="140"/>
      <c r="R21" s="140"/>
      <c r="S21" s="140"/>
      <c r="T21" s="140"/>
      <c r="U21" s="140"/>
      <c r="W21" s="139"/>
      <c r="X21" s="140"/>
      <c r="Y21" s="140"/>
      <c r="Z21" s="140"/>
      <c r="AA21" s="140"/>
      <c r="AB21" s="140"/>
      <c r="AD21" s="139" t="s">
        <v>212</v>
      </c>
      <c r="AE21" s="140"/>
      <c r="AF21" s="140">
        <v>213239</v>
      </c>
      <c r="AG21" s="140" t="s">
        <v>207</v>
      </c>
      <c r="AH21" s="140"/>
      <c r="AI21" s="140"/>
    </row>
    <row r="22" spans="2:35" ht="17" customHeight="1" thickBot="1">
      <c r="AD22" s="139" t="s">
        <v>213</v>
      </c>
      <c r="AE22" s="140"/>
      <c r="AF22" s="140">
        <v>213549</v>
      </c>
      <c r="AG22" s="140" t="s">
        <v>207</v>
      </c>
      <c r="AH22" s="140"/>
      <c r="AI22" s="140"/>
    </row>
    <row r="23" spans="2:35" ht="17" customHeight="1" thickBot="1">
      <c r="AD23" s="139"/>
      <c r="AE23" s="140"/>
      <c r="AF23" s="140"/>
      <c r="AG23" s="140"/>
      <c r="AH23" s="140"/>
      <c r="AI23" s="140"/>
    </row>
  </sheetData>
  <mergeCells count="25">
    <mergeCell ref="J2:J3"/>
    <mergeCell ref="C2:C3"/>
    <mergeCell ref="D2:D3"/>
    <mergeCell ref="E2:E3"/>
    <mergeCell ref="F2:F3"/>
    <mergeCell ref="G2:G3"/>
    <mergeCell ref="Z2:Z3"/>
    <mergeCell ref="K2:K3"/>
    <mergeCell ref="L2:L3"/>
    <mergeCell ref="M2:M3"/>
    <mergeCell ref="N2:N3"/>
    <mergeCell ref="Q2:Q3"/>
    <mergeCell ref="R2:R3"/>
    <mergeCell ref="S2:S3"/>
    <mergeCell ref="T2:T3"/>
    <mergeCell ref="U2:U3"/>
    <mergeCell ref="X2:X3"/>
    <mergeCell ref="Y2:Y3"/>
    <mergeCell ref="AI2:AI3"/>
    <mergeCell ref="AA2:AA3"/>
    <mergeCell ref="AB2:AB3"/>
    <mergeCell ref="AE2:AE3"/>
    <mergeCell ref="AF2:AF3"/>
    <mergeCell ref="AG2:AG3"/>
    <mergeCell ref="AH2:AH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
  <sheetViews>
    <sheetView workbookViewId="0">
      <selection activeCell="B5" sqref="B5"/>
    </sheetView>
  </sheetViews>
  <sheetFormatPr defaultRowHeight="14.5"/>
  <sheetData>
    <row r="2" spans="2:2">
      <c r="B2" t="s">
        <v>223</v>
      </c>
    </row>
    <row r="3" spans="2:2">
      <c r="B3" t="s">
        <v>224</v>
      </c>
    </row>
    <row r="4" spans="2:2">
      <c r="B4" t="s">
        <v>225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000E9D-3236-40CA-BB61-F7C96C45E2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Forecast</vt:lpstr>
      <vt:lpstr>Income</vt:lpstr>
      <vt:lpstr>Assets</vt:lpstr>
      <vt:lpstr>Liabilities</vt:lpstr>
      <vt:lpstr>Expenses</vt:lpstr>
      <vt:lpstr>Repayments</vt:lpstr>
      <vt:lpstr>Depreciation</vt:lpstr>
      <vt:lpstr>WizdomActuals</vt:lpstr>
      <vt:lpstr>ToDo</vt:lpstr>
      <vt:lpstr>WizdomActuals!_Hlk503351175</vt:lpstr>
      <vt:lpstr>Expenses!_Hlk517339798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Hernandez</dc:creator>
  <cp:lastModifiedBy>Jeffrey Hernandez</cp:lastModifiedBy>
  <dcterms:created xsi:type="dcterms:W3CDTF">2026-07-22T10:22:59Z</dcterms:created>
  <dcterms:modified xsi:type="dcterms:W3CDTF">2026-08-10T11:29:46Z</dcterms:modified>
</cp:coreProperties>
</file>